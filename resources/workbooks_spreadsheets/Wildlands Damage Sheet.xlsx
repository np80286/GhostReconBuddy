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niper Rifles" sheetId="1" r:id="rId4"/>
    <sheet state="visible" name="Assault Rifles" sheetId="2" r:id="rId5"/>
    <sheet state="visible" name="LMGs" sheetId="3" r:id="rId6"/>
    <sheet state="visible" name="SMGs" sheetId="4" r:id="rId7"/>
    <sheet state="visible" name="Shotguns" sheetId="5" r:id="rId8"/>
    <sheet state="visible" name="Sidearms" sheetId="6" r:id="rId9"/>
    <sheet state="visible" name="Shot to kill vs UniHeavy" sheetId="7" r:id="rId10"/>
    <sheet state="visible" name="WIP Damage chart" sheetId="8" r:id="rId11"/>
    <sheet state="visible" name="Shot to kill vs UniHeavy No tie" sheetId="9" r:id="rId12"/>
    <sheet state="visible" name="RAW Shot to kill" sheetId="10" r:id="rId13"/>
    <sheet state="visible" name="Throwaway sheet for calcs" sheetId="11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tc={c9afb489-c5e3-4be3-a270-e50cc08f0ba1}</author>
    <author>tc={f6673d1e-cc32-4bfb-bfa3-7c0641ff36bd}</author>
  </authors>
  <commentList>
    <comment authorId="0" ref="B2">
      <text>
        <t xml:space="preserve">Weapons with underlined names can be suppressed.</t>
      </text>
    </comment>
    <comment authorId="0" ref="B66">
      <text>
        <t xml:space="preserve">Long Barrel</t>
      </text>
    </comment>
    <comment authorId="0" ref="B64">
      <text>
        <t xml:space="preserve">Long Barrel</t>
      </text>
    </comment>
    <comment authorId="0" ref="B62">
      <text>
        <t xml:space="preserve">Long Barrel</t>
      </text>
    </comment>
    <comment authorId="0" ref="B57">
      <text>
        <t xml:space="preserve">Long Barrel</t>
      </text>
    </comment>
    <comment authorId="0" ref="B54">
      <text>
        <t xml:space="preserve">Long Barrel</t>
      </text>
    </comment>
    <comment authorId="0" ref="B52">
      <text>
        <t xml:space="preserve">Long Barrel</t>
      </text>
    </comment>
    <comment authorId="0" ref="S4">
      <text>
        <t xml:space="preserve">Standard</t>
      </text>
    </comment>
    <comment authorId="0" ref="B51">
      <text>
        <t xml:space="preserve">Long Barrel</t>
      </text>
    </comment>
    <comment authorId="0" ref="Y73">
      <text>
        <t xml:space="preserve">15.29s for all 15 rounds, 2.92s for 1 round.</t>
      </text>
    </comment>
    <comment authorId="0" ref="U4">
      <text>
        <t xml:space="preserve">Extended</t>
      </text>
    </comment>
    <comment authorId="0" ref="W4">
      <text>
        <t xml:space="preserve">Large</t>
      </text>
    </comment>
    <comment authorId="0" ref="Y4">
      <text>
        <t xml:space="preserve">Standard Magazine = 100% Reload Time
Extended Magazine = 115% Reload Time
Large Magazine = 130% Reload Time</t>
      </text>
    </comment>
    <comment authorId="1" xr:uid="{c9afb489-c5e3-4be3-a270-e50cc08f0ba1}" ref="B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any chance for the M110 making this list?
</t>
      </text>
    </comment>
    <comment authorId="2" xr:uid="{f6673d1e-cc32-4bfb-bfa3-7c0641ff36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haven't used this chart since 2018
Funny I found it!!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Weapons with underlined names can be suppressed.</t>
      </text>
    </comment>
    <comment authorId="0" ref="B66">
      <text>
        <t xml:space="preserve">Long Barrel</t>
      </text>
    </comment>
    <comment authorId="0" ref="B65">
      <text>
        <t xml:space="preserve">Long Barrel</t>
      </text>
    </comment>
    <comment authorId="0" ref="B64">
      <text>
        <t xml:space="preserve">Long Barrel</t>
      </text>
    </comment>
    <comment authorId="0" ref="B60">
      <text>
        <t xml:space="preserve">Short Barrel</t>
      </text>
    </comment>
    <comment authorId="0" ref="S69">
      <text>
        <t xml:space="preserve">Comes with the penalties of an extended mag (i.e. 15% longer reload)</t>
      </text>
    </comment>
    <comment authorId="0" ref="S4">
      <text>
        <t xml:space="preserve">Standard</t>
      </text>
    </comment>
    <comment authorId="0" ref="U4">
      <text>
        <t xml:space="preserve">Extended</t>
      </text>
    </comment>
    <comment authorId="0" ref="W4">
      <text>
        <t xml:space="preserve">Large</t>
      </text>
    </comment>
    <comment authorId="0" ref="Y4">
      <text>
        <t xml:space="preserve">Standard Magazine = 100% Reload Time
Extended Magazine = 115% Reload Time
Large Magazine = 130% Reload Time</t>
      </text>
    </comment>
    <comment authorId="0" ref="B77">
      <text>
        <t xml:space="preserve">Short Barrel</t>
      </text>
    </comment>
    <comment authorId="0" ref="B74">
      <text>
        <t xml:space="preserve">Long Barrel</t>
      </text>
    </comment>
    <comment authorId="0" ref="B67">
      <text>
        <t xml:space="preserve">Short Barrel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Weapons with underlined names can be suppressed.</t>
      </text>
    </comment>
    <comment authorId="0" ref="U4">
      <text>
        <t xml:space="preserve">Extended</t>
      </text>
    </comment>
    <comment authorId="0" ref="W4">
      <text>
        <t xml:space="preserve">Large</t>
      </text>
    </comment>
    <comment authorId="0" ref="S32">
      <text>
        <t xml:space="preserve">Comes with the penalties of an extended mag (i.e. 15% longer reload)</t>
      </text>
    </comment>
    <comment authorId="0" ref="Y4">
      <text>
        <t xml:space="preserve">Standard Magazine = 100% Reload Time
Extended Magazine = 115% Reload Time
Large Magazine = 130% Reload Time</t>
      </text>
    </comment>
    <comment authorId="0" ref="B36">
      <text>
        <t xml:space="preserve">Short Barrel</t>
      </text>
    </comment>
    <comment authorId="0" ref="S4">
      <text>
        <t xml:space="preserve">Standard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tc={2e973dd6-b029-4cce-b585-8c57a72ffc3f}</author>
  </authors>
  <commentList>
    <comment authorId="0" ref="B2">
      <text>
        <t xml:space="preserve">Weapons with underlined names can be suppressed.</t>
      </text>
    </comment>
    <comment authorId="0" ref="S49">
      <text>
        <t xml:space="preserve">Comes with the penalties of an extended mag (i.e. 15% longer reload)</t>
      </text>
    </comment>
    <comment authorId="0" ref="S48">
      <text>
        <t xml:space="preserve">Comes with the penalties of an extended mag (i.e. 15% longer reload)</t>
      </text>
    </comment>
    <comment authorId="0" ref="S47">
      <text>
        <t xml:space="preserve">Comes with the penalties of an extended mag (i.e. 15% longer reload)</t>
      </text>
    </comment>
    <comment authorId="0" ref="S46">
      <text>
        <t xml:space="preserve">Comes with the penalties of an extended mag (i.e. 15% longer reload)</t>
      </text>
    </comment>
    <comment authorId="0" ref="S44">
      <text>
        <t xml:space="preserve">Comes with the penalties of an extended mag (i.e. 15% longer reload)</t>
      </text>
    </comment>
    <comment authorId="0" ref="S42">
      <text>
        <t xml:space="preserve">Comes with the penalties of an extended mag (i.e. 15% longer reload)</t>
      </text>
    </comment>
    <comment authorId="0" ref="S40">
      <text>
        <t xml:space="preserve">Comes with the penalties of an extended mag (i.e. 15% longer reload)</t>
      </text>
    </comment>
    <comment authorId="0" ref="S39">
      <text>
        <t xml:space="preserve">Comes with the penalties of an extended mag (i.e. 15% longer reload)</t>
      </text>
    </comment>
    <comment authorId="0" ref="S4">
      <text>
        <t xml:space="preserve">Standard</t>
      </text>
    </comment>
    <comment authorId="0" ref="S36">
      <text>
        <t xml:space="preserve">Comes with the penalties of an extended mag (i.e. 15% longer reload)</t>
      </text>
    </comment>
    <comment authorId="0" ref="U4">
      <text>
        <t xml:space="preserve">Extended</t>
      </text>
    </comment>
    <comment authorId="0" ref="W4">
      <text>
        <t xml:space="preserve">Large</t>
      </text>
    </comment>
    <comment authorId="0" ref="Y4">
      <text>
        <t xml:space="preserve">Standard Magazine = 100% Reload Time
Extended Magazine = 115% Reload Time
Large Magazine = 130% Reload Time</t>
      </text>
    </comment>
    <comment authorId="0" ref="B40">
      <text>
        <t xml:space="preserve">Short Barrel</t>
      </text>
    </comment>
    <comment authorId="0" ref="S56">
      <text>
        <t xml:space="preserve">Comes with the penalties of an extended mag (i.e. 15% longer reload)</t>
      </text>
    </comment>
    <comment authorId="0" ref="S55">
      <text>
        <t xml:space="preserve">Comes with the penalties of an extended mag (i.e. 15% longer reload)</t>
      </text>
    </comment>
    <comment authorId="1" xr:uid="{2e973dd6-b029-4cce-b585-8c57a72ffc3f}" ref="S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and 25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Weapons with underlined names can be suppressed.</t>
      </text>
    </comment>
    <comment authorId="0" ref="U4">
      <text>
        <t xml:space="preserve">Extended</t>
      </text>
    </comment>
    <comment authorId="0" ref="W4">
      <text>
        <t xml:space="preserve">Large</t>
      </text>
    </comment>
    <comment authorId="0" ref="Y4">
      <text>
        <t xml:space="preserve">Standard Magazine = 100% Reload Time
Extended Magazine = 115% Reload Time
Large Magazine = 130% Reload Time</t>
      </text>
    </comment>
    <comment authorId="0" ref="S4">
      <text>
        <t xml:space="preserve">Standard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Weapons with underlined names can be suppressed.</t>
      </text>
    </comment>
    <comment authorId="0" ref="U4">
      <text>
        <t xml:space="preserve">Extended</t>
      </text>
    </comment>
    <comment authorId="0" ref="W4">
      <text>
        <t xml:space="preserve">Large</t>
      </text>
    </comment>
    <comment authorId="0" ref="Y4">
      <text>
        <t xml:space="preserve">Standard Magazine = 100% Reload Time
Extended Magazine = 115% Reload Time
Large Magazine = 130% Reload Time</t>
      </text>
    </comment>
    <comment authorId="0" ref="S4">
      <text>
        <t xml:space="preserve">Standard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tc={02e531ca-5c18-4c4e-a62f-21d8ac120ebd}</author>
    <author>tc={121252ea-b4e0-49a1-9d0c-2f53ac80ec37}</author>
    <author>tc={18cb2da3-fa4b-45d2-b97f-363ccc994225}</author>
    <author>tc={21871731-c90d-428e-bb8e-6ca9d34e6264}</author>
    <author>tc={236ea0cf-778d-4344-a8d5-0b2c80d75c57}</author>
    <author>tc={24deb7bb-ebad-472d-9ef1-b1a73ed61cf6}</author>
    <author>tc={2d0c9f68-d12c-4dae-a8f9-1c02dc1170a6}</author>
    <author>tc={2d172367-c4b2-4e01-b158-8e2fbb6efaed}</author>
    <author>tc={346a5e82-4544-4b1b-9ac6-13f1f119d40b}</author>
    <author>tc={34fd53a8-5585-42e8-81a1-6c149fa998ec}</author>
    <author>tc={3f307d48-449a-467a-a9ec-bba86196c57c}</author>
    <author>tc={426cf93b-eba8-4373-931c-98a4e3fa5010}</author>
    <author>tc={42ef8193-4ddd-424d-9e57-1eaa64c728f2}</author>
    <author>tc={45baf539-3d75-4eb5-8c15-1416c962a3d2}</author>
    <author>tc={46e1fedf-eae4-4474-a3cb-f58316d09063}</author>
    <author>tc={47cfd511-163b-414e-a730-5601097af6e3}</author>
    <author>tc={4acc383e-ca36-425b-8262-df451d698c3c}</author>
    <author>tc={4c9479c7-8993-4a2e-a021-71670ca58a9f}</author>
    <author>tc={4d73a972-dbac-427f-9fea-b1f865cf61f2}</author>
    <author>tc={50a4dbdc-6024-47c0-acbe-d98d54797342}</author>
    <author>tc={53417bae-5d84-474c-9ed2-70a231fc8d53}</author>
    <author>tc={56a32475-87ec-474c-944c-53bdbbd18517}</author>
    <author>tc={57bf99e7-4dc1-4d5d-b3e4-ff0361c4eb4e}</author>
    <author>tc={60c77c8f-d88e-4148-85ef-2ea097e616b6}</author>
    <author>tc={66d81878-085f-4341-abf9-db93d048b16e}</author>
    <author>tc={680d5874-72a7-4f93-a4cd-f63a0a1b760c}</author>
    <author>tc={6f0aebc2-2d59-44a2-9cc6-a588ed0c9952}</author>
    <author>tc={70345221-fb70-4fe6-a41a-aac58e625ccc}</author>
    <author>tc={70d2a08e-be86-47dd-9fe4-cca149fe7e6e}</author>
    <author>tc={73ddd0df-0183-4c58-b452-33ee73bc293e}</author>
    <author>tc={74b6d487-dfdd-4f94-b627-11e84b18e00c}</author>
    <author>tc={78553c21-01de-43bb-9485-bfd754ba9e4c}</author>
    <author>tc={7c6e7d7e-9414-49e7-8d01-0f4481db8747}</author>
    <author>tc={7e7e4986-4a72-46db-adb1-7236351e440c}</author>
    <author>tc={7e860674-7cc6-4703-a0e7-96c849145912}</author>
    <author>tc={82f03329-bafa-4d15-80cb-e08ec8d01a05}</author>
    <author>tc={87bde62b-bf20-4ec5-a258-8c0021c4f96a}</author>
    <author>tc={91177e5e-def1-4246-83d1-b82297203214}</author>
    <author>tc={9183a16e-c753-417f-8366-45eaddfc53cb}</author>
    <author>tc={94222c3d-9f4b-4319-9fca-5a9d9a18d3f6}</author>
    <author>tc={98599fec-8181-44bf-9378-18b135e25da1}</author>
    <author>tc={9c44ce01-d1c0-4b06-bc78-b07b49c312c4}</author>
    <author>tc={9c6f1965-cdc8-49b4-ab80-56c0c978e51e}</author>
    <author>tc={9e320ff0-1722-4932-9601-5b834d2b1c75}</author>
    <author>tc={a6e8214b-848f-446e-bc0e-c2cf7649f421}</author>
    <author>tc={ab1b5561-f0b4-4891-a438-7c6db6d3c9e1}</author>
    <author>tc={b1b77c8b-b032-4d01-a901-070335f091b2}</author>
    <author>tc={be7dbf60-9c22-4a67-8679-d6582c6b2a8a}</author>
    <author>tc={c06d2999-e64a-49a6-89f2-8dd61241d3df}</author>
    <author>tc={c823c80a-fab6-4b13-bdb3-40609d0d3da0}</author>
    <author>tc={cae7fe4e-cdf1-4d97-b95e-c05fc96baa77}</author>
    <author>tc={d08c1c2d-51f7-4f46-b34f-e238e36d4d9e}</author>
    <author>tc={d544cf0c-5b7a-48ff-82c0-ed0d1da49683}</author>
    <author>tc={d6e9101a-ef0f-4746-9bc4-67545f00ddd8}</author>
    <author>tc={d81a9545-7ec1-4d73-bad7-3ae7ea308965}</author>
    <author>tc={d82320bb-6b00-4de5-abfa-9b23ba9f5515}</author>
    <author>tc={de59603b-daef-4697-8b70-e7439a02f700}</author>
    <author>tc={dffc79e6-1b40-470d-8300-39fabc83f929}</author>
    <author>tc={e550044e-071a-4541-ba14-13224e255059}</author>
    <author>tc={f15ae1b0-1b48-4a74-b225-6c4e3d9756cd}</author>
    <author>tc={f39312d5-63aa-40f2-82bc-4b2e34874543}</author>
    <author>tc={f86d86cd-6295-4656-8f72-702ece3360a7}</author>
    <author>tc={f9526745-2082-4d36-8602-aa84c4e8f642}</author>
  </authors>
  <commentList>
    <comment authorId="0" xr:uid="{02e531ca-5c18-4c4e-a62f-21d8ac120ebd}" ref="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1 round
</t>
      </text>
    </comment>
    <comment authorId="1" xr:uid="{121252ea-b4e0-49a1-9d0c-2f53ac80ec37}" ref="F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1hs+3bs for uni, 1hs+2bs for SB in semi
</t>
      </text>
    </comment>
    <comment authorId="2" xr:uid="{18cb2da3-fa4b-45d2-b97f-363ccc994225}" ref="F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2hs or 1hs+3bs for SB
</t>
      </text>
    </comment>
    <comment authorId="3" xr:uid="{21871731-c90d-428e-bb8e-6ca9d34e6264}" ref="F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3hs for SB in full
</t>
      </text>
    </comment>
    <comment authorId="4" xr:uid="{236ea0cf-778d-4344-a8d5-0b2c80d75c57}" ref="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2hs or 1hs+3bs for SB in semi
</t>
      </text>
    </comment>
    <comment authorId="5" xr:uid="{24deb7bb-ebad-472d-9ef1-b1a73ed61cf6}" ref="D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3hs for SB
</t>
      </text>
    </comment>
    <comment authorId="6" xr:uid="{2d0c9f68-d12c-4dae-a8f9-1c02dc1170a6}" ref="G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6bs for regulars in full
</t>
      </text>
    </comment>
    <comment authorId="7" xr:uid="{2d172367-c4b2-4e01-b158-8e2fbb6efaed}" ref="D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4hs for SB
</t>
      </text>
    </comment>
    <comment authorId="8" xr:uid="{346a5e82-4544-4b1b-9ac6-13f1f119d40b}" ref="D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1hs+2bs in semi, 2hs or 1hs+3bs for SB in full
</t>
      </text>
    </comment>
    <comment authorId="9" xr:uid="{34fd53a8-5585-42e8-81a1-6c149fa998ec}" ref="D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1hs+1bs
</t>
      </text>
    </comment>
    <comment authorId="10" xr:uid="{3f307d48-449a-467a-a9ec-bba86196c57c}" ref="G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5bs for regulars in semi
</t>
      </text>
    </comment>
    <comment authorId="11" xr:uid="{426cf93b-eba8-4373-931c-98a4e3fa5010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Long barrel, bodyshots
</t>
      </text>
    </comment>
    <comment authorId="12" xr:uid="{42ef8193-4ddd-424d-9e57-1eaa64c728f2}" ref="D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4hs for SB
</t>
      </text>
    </comment>
    <comment authorId="13" xr:uid="{45baf539-3d75-4eb5-8c15-1416c962a3d2}" ref="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2hs or 1hs+3bs for SB in semi
</t>
      </text>
    </comment>
    <comment authorId="14" xr:uid="{46e1fedf-eae4-4474-a3cb-f58316d09063}" ref="F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3hs for SB in full
</t>
      </text>
    </comment>
    <comment authorId="15" xr:uid="{47cfd511-163b-414e-a730-5601097af6e3}" ref="D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1hs+2bs in semi
</t>
      </text>
    </comment>
    <comment authorId="16" xr:uid="{4acc383e-ca36-425b-8262-df451d698c3c}" ref="B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4hs for SB in full
</t>
      </text>
    </comment>
    <comment authorId="17" xr:uid="{4c9479c7-8993-4a2e-a021-71670ca58a9f}" ref="D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4hs for SB in full
</t>
      </text>
    </comment>
    <comment authorId="18" xr:uid="{4d73a972-dbac-427f-9fea-b1f865cf61f2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2hs or 1hs+3bs for SB in semi
</t>
      </text>
    </comment>
    <comment authorId="19" xr:uid="{50a4dbdc-6024-47c0-acbe-d98d54797342}" ref="F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1hs+3bs in semi
</t>
      </text>
    </comment>
    <comment authorId="20" xr:uid="{53417bae-5d84-474c-9ed2-70a231fc8d53}" ref="D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2hs or 1hs+3bs for SB in semi
</t>
      </text>
    </comment>
    <comment authorId="21" xr:uid="{56a32475-87ec-474c-944c-53bdbbd18517}" ref="F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2hs for SB in semi
</t>
      </text>
    </comment>
    <comment authorId="22" xr:uid="{57bf99e7-4dc1-4d5d-b3e4-ff0361c4eb4e}" ref="F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2hs for SB in semi
</t>
      </text>
    </comment>
    <comment authorId="23" xr:uid="{60c77c8f-d88e-4148-85ef-2ea097e616b6}" ref="F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2hs or 1hs+3bs for SB in semi
</t>
      </text>
    </comment>
    <comment authorId="24" xr:uid="{66d81878-085f-4341-abf9-db93d048b16e}" ref="E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6bs for regulars in full
</t>
      </text>
    </comment>
    <comment authorId="25" xr:uid="{680d5874-72a7-4f93-a4cd-f63a0a1b760c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Long barrel, headshots
</t>
      </text>
    </comment>
    <comment authorId="26" xr:uid="{6f0aebc2-2d59-44a2-9cc6-a588ed0c9952}" ref="F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2hs or 1hs+3bs for SB in semi
</t>
      </text>
    </comment>
    <comment authorId="27" xr:uid="{70345221-fb70-4fe6-a41a-aac58e625ccc}" ref="D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4hs for SB
</t>
      </text>
    </comment>
    <comment authorId="28" xr:uid="{70d2a08e-be86-47dd-9fe4-cca149fe7e6e}" ref="D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3hs for SB in full
</t>
      </text>
    </comment>
    <comment authorId="29" xr:uid="{73ddd0df-0183-4c58-b452-33ee73bc293e}" ref="D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3hs for SB
</t>
      </text>
    </comment>
    <comment authorId="30" xr:uid="{74b6d487-dfdd-4f94-b627-11e84b18e00c}" ref="F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1hs+3bs for uni, 1hs+2bs for SB in semi
</t>
      </text>
    </comment>
    <comment authorId="31" xr:uid="{78553c21-01de-43bb-9485-bfd754ba9e4c}" ref="D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3hs for SB in full
</t>
      </text>
    </comment>
    <comment authorId="32" xr:uid="{7c6e7d7e-9414-49e7-8d01-0f4481db8747}" ref="D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4hs for SB
</t>
      </text>
    </comment>
    <comment authorId="33" xr:uid="{7e7e4986-4a72-46db-adb1-7236351e440c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from empty mag
</t>
      </text>
    </comment>
    <comment authorId="34" xr:uid="{7e860674-7cc6-4703-a0e7-96c849145912}" ref="F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2hs or 1hs+3bs for SB in semi
</t>
      </text>
    </comment>
    <comment authorId="35" xr:uid="{82f03329-bafa-4d15-80cb-e08ec8d01a05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Standard barrel, bodyshots
</t>
      </text>
    </comment>
    <comment authorId="36" xr:uid="{87bde62b-bf20-4ec5-a258-8c0021c4f96a}" ref="G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5bs for regulars in full
</t>
      </text>
    </comment>
    <comment authorId="37" xr:uid="{91177e5e-def1-4246-83d1-b82297203214}" ref="D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1hs+2bs in semi
</t>
      </text>
    </comment>
    <comment authorId="38" xr:uid="{9183a16e-c753-417f-8366-45eaddfc53cb}" ref="D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1hs+2bs
</t>
      </text>
    </comment>
    <comment authorId="39" xr:uid="{94222c3d-9f4b-4319-9fca-5a9d9a18d3f6}" ref="D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2hs or 1hs+3bs for SB in semi
</t>
      </text>
    </comment>
    <comment authorId="40" xr:uid="{98599fec-8181-44bf-9378-18b135e25da1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1hs+2bs
</t>
      </text>
    </comment>
    <comment authorId="41" xr:uid="{9c44ce01-d1c0-4b06-bc78-b07b49c312c4}" ref="F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2hs or 1hs+3bs for SB in semi
</t>
      </text>
    </comment>
    <comment authorId="42" xr:uid="{9c6f1965-cdc8-49b4-ab80-56c0c978e51e}" ref="D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1hs+2bs
</t>
      </text>
    </comment>
    <comment authorId="43" xr:uid="{9e320ff0-1722-4932-9601-5b834d2b1c75}" ref="D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1hs+3bs for uni, 1hs+2bs for SB in semi
</t>
      </text>
    </comment>
    <comment authorId="44" xr:uid="{a6e8214b-848f-446e-bc0e-c2cf7649f421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Short barrel, bodyshots
</t>
      </text>
    </comment>
    <comment authorId="45" xr:uid="{ab1b5561-f0b4-4891-a438-7c6db6d3c9e1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9bs for regulars
</t>
      </text>
    </comment>
    <comment authorId="46" xr:uid="{b1b77c8b-b032-4d01-a901-070335f091b2}" ref="E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6bs for regulars in full
</t>
      </text>
    </comment>
    <comment authorId="47" xr:uid="{be7dbf60-9c22-4a67-8679-d6582c6b2a8a}" ref="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1hs+2bs
</t>
      </text>
    </comment>
    <comment authorId="48" xr:uid="{c06d2999-e64a-49a6-89f2-8dd61241d3df}" ref="F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2hs for SB in semi
</t>
      </text>
    </comment>
    <comment authorId="49" xr:uid="{c823c80a-fab6-4b13-bdb3-40609d0d3da0}" ref="F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1hs+2bs in semi, 1hs+3bs for uni, 1hs+2bs for sb in full
</t>
      </text>
    </comment>
    <comment authorId="50" xr:uid="{cae7fe4e-cdf1-4d97-b95e-c05fc96baa77}" ref="G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6bs for regulars in full
</t>
      </text>
    </comment>
    <comment authorId="51" xr:uid="{d08c1c2d-51f7-4f46-b34f-e238e36d4d9e}" ref="D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1hs+2bs
</t>
      </text>
    </comment>
    <comment authorId="52" xr:uid="{d544cf0c-5b7a-48ff-82c0-ed0d1da49683}" ref="D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1hs+1bs
</t>
      </text>
    </comment>
    <comment authorId="53" xr:uid="{d6e9101a-ef0f-4746-9bc4-67545f00ddd8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Short barrel, headshots
</t>
      </text>
    </comment>
    <comment authorId="54" xr:uid="{d81a9545-7ec1-4d73-bad7-3ae7ea308965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Standard barrel, headshots
</t>
      </text>
    </comment>
    <comment authorId="55" xr:uid="{d82320bb-6b00-4de5-abfa-9b23ba9f5515}" ref="F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2hs for SB in semi
</t>
      </text>
    </comment>
    <comment authorId="56" xr:uid="{de59603b-daef-4697-8b70-e7439a02f700}" ref="O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Possibly no improvement over standard barrel
</t>
      </text>
    </comment>
    <comment authorId="57" xr:uid="{dffc79e6-1b40-470d-8300-39fabc83f929}" ref="F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1hs+2bs in semi
</t>
      </text>
    </comment>
    <comment authorId="58" xr:uid="{e550044e-071a-4541-ba14-13224e255059}" ref="F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2hs or 1hs+3bs for SB in semi
</t>
      </text>
    </comment>
    <comment authorId="59" xr:uid="{f15ae1b0-1b48-4a74-b225-6c4e3d9756cd}" ref="G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6bs for regulars in full
</t>
      </text>
    </comment>
    <comment authorId="60" xr:uid="{f39312d5-63aa-40f2-82bc-4b2e34874543}" ref="F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1hs+3bs in semi
</t>
      </text>
    </comment>
    <comment authorId="61" xr:uid="{f86d86cd-6295-4656-8f72-702ece3360a7}" ref="N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Possibly no improvement over short barrel
</t>
      </text>
    </comment>
    <comment authorId="62" xr:uid="{f9526745-2082-4d36-8602-aa84c4e8f642}" ref="B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1hs+2bs in semi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tc={1e1c1ad3-19db-412c-b5eb-5df8435b7e84}</author>
    <author>tc={326c93c1-88a5-4742-b356-f4730f5a6cd1}</author>
    <author>tc={5e113448-bfca-4a9c-9241-396c39c7e8a5}</author>
    <author>tc={6670e757-8914-41e6-ac81-6bd61dcdb7dc}</author>
    <author>tc={79f4d8a3-5c5b-439e-8fd3-832fe6b1520e}</author>
    <author>tc={8f6ce497-1e8f-4966-9bea-a151d7773fa9}</author>
    <author>tc={b783e46d-e1df-439d-8d25-495120cc9182}</author>
    <author>tc={b787f869-1eea-4e64-93d2-91add569954a}</author>
  </authors>
  <commentList>
    <comment authorId="0" xr:uid="{1e1c1ad3-19db-412c-b5eb-5df8435b7e84}" ref="C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8bs!? for regulars in semi
</t>
      </text>
    </comment>
    <comment authorId="1" xr:uid="{326c93c1-88a5-4742-b356-f4730f5a6cd1}" ref="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5bs for regulars
</t>
      </text>
    </comment>
    <comment authorId="2" xr:uid="{5e113448-bfca-4a9c-9241-396c39c7e8a5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4/5bs for regulars
</t>
      </text>
    </comment>
    <comment authorId="3" xr:uid="{6670e757-8914-41e6-ac81-6bd61dcdb7dc}" ref="G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6bs for regulars in semi
</t>
      </text>
    </comment>
    <comment authorId="4" xr:uid="{79f4d8a3-5c5b-439e-8fd3-832fe6b1520e}" ref="E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8bs for regulars in full
</t>
      </text>
    </comment>
    <comment authorId="5" xr:uid="{8f6ce497-1e8f-4966-9bea-a151d7773fa9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2bs for regulars
</t>
      </text>
    </comment>
    <comment authorId="6" xr:uid="{b783e46d-e1df-439d-8d25-495120cc9182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1hs for SB
</t>
      </text>
    </comment>
    <comment authorId="7" xr:uid="{b787f869-1eea-4e64-93d2-91add569954a}" ref="C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6bs for regulars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tc={000558cf-9f37-4154-8248-1e3576845f9c}</author>
    <author>tc={07c47815-2581-4e90-838a-2f9c9171a481}</author>
    <author>tc={08387905-4c02-44fb-844a-a7d0e82596c1}</author>
    <author>tc={0aa1c40a-e33c-4213-a22a-24791793fc57}</author>
    <author>tc={0acd868e-5646-4308-961f-115c54d687a7}</author>
    <author>tc={0bcae917-4df0-4321-be01-803346b4b031}</author>
    <author>tc={0c67d288-7f58-4d89-b029-1a7bce343772}</author>
    <author>tc={0cd80f51-740d-4349-b917-dcde0020d0d3}</author>
    <author>tc={10cd7102-8f93-4c71-8d6a-2d94207ec989}</author>
    <author>tc={15417f79-7ce6-4fa7-a350-d297366d9d9f}</author>
    <author>tc={1d5181f4-b6c1-4462-af33-573af794284a}</author>
    <author>tc={2670d97d-ba49-4cf5-8dcf-15a0edbe2139}</author>
    <author>tc={27ac6509-421d-4c04-9416-0d3ae431c11b}</author>
    <author>tc={3057b0e6-efce-4e13-a60a-fc323740596f}</author>
    <author>tc={33c8897d-dee2-49b8-a795-a8863945eeb3}</author>
    <author>tc={33f73d3c-c2ec-48fb-bfeb-a43c2fd4dc74}</author>
    <author>tc={36e4b2bd-324b-4e0d-8867-ed2f4d70a899}</author>
    <author>tc={3da7054c-7510-4d3c-9b12-7d9b55100da0}</author>
    <author>tc={41ebb472-534f-49cb-bebe-5bd287e3604a}</author>
    <author>tc={43a6e56f-b7fd-409a-8dfa-76edbc97fa1a}</author>
    <author>tc={460c94be-3bd4-4eaf-bb41-ba43f89b2455}</author>
    <author>tc={49974136-5242-471e-b5b5-4f9dae2a2229}</author>
    <author>tc={4f672cbc-f841-4ed4-bce8-33cc7d78c053}</author>
    <author>tc={522ad083-17fb-4389-a256-6d7aa963c8a3}</author>
    <author>tc={52becd17-259d-440c-b679-5a838e683805}</author>
    <author>tc={53bd3136-7bfd-46f7-b6c9-01e3f62fb8ac}</author>
    <author>tc={5b9b7713-3ca6-4d81-9ea3-2c51995175f2}</author>
    <author>tc={5cf29b05-eb5c-4150-9664-7f2e518c5a27}</author>
    <author>tc={6045bde0-1423-49b0-b88d-55910ef1ae32}</author>
    <author>tc={65ecc9d2-6b7d-40a7-baac-09949ce5d5bd}</author>
    <author>tc={66b53072-b6b6-4990-b3e4-9fcd70eaf952}</author>
    <author>tc={6882ef81-f1a3-4c0e-a3f8-0c4d5b6f637e}</author>
    <author>tc={6b5981d4-93a1-42fc-a049-6c6f3990a27d}</author>
    <author>tc={6d207894-5e14-42b9-a0b3-744109a4bd4a}</author>
    <author>tc={6f094671-ddd1-48bc-ade9-0e47d5cd04d1}</author>
    <author>tc={705f46b8-42b8-4f5b-8d1b-85d4f9a9e64d}</author>
    <author>tc={718b1fd4-2649-4c32-b0f8-625f91765801}</author>
    <author>tc={72cef40c-cbac-409e-9cc9-155ebd869286}</author>
    <author>tc={7a2c95c5-4430-4563-93af-6fc3e754311e}</author>
    <author>tc={7f17aea0-0e28-4215-add3-3f607a59c0d9}</author>
    <author>tc={88776768-67a9-4445-afb3-98a6f7635fac}</author>
    <author>tc={895eab39-9150-444e-8e0d-89e9dea46cbb}</author>
    <author>tc={8bdbab86-44b9-4129-b539-c0f2bf59e7e8}</author>
    <author>tc={8eb01f53-7f04-4cd8-a4ce-32bb503cc077}</author>
    <author>tc={8f7376a0-be5b-4fa8-89c9-b349b18c4e3a}</author>
    <author>tc={98d50b4f-af53-4f0a-b3f3-4ce840a4d503}</author>
    <author>tc={9e109569-474e-46cc-9ed3-86907cdfeed9}</author>
    <author>tc={a129861c-829c-4e6e-b64b-8ebf93b87bf6}</author>
    <author>tc={a8429efe-90f0-4eb5-93ac-284c3e3d10fd}</author>
    <author>tc={a8e3bc42-ebde-4c21-802e-71ef6c76aab2}</author>
    <author>tc={ab3eb946-c235-48d4-9237-7ebfad33d4e6}</author>
    <author>tc={ac682787-b046-4679-8551-ebcc9232c5c6}</author>
    <author>tc={afe3cca8-798f-4b3b-bd7c-3db47a054ad4}</author>
    <author>tc={b2a5b6f5-ef5b-484f-8bfe-6cc22854da33}</author>
    <author>tc={b33b9a66-9301-4de7-b5b5-6b28607c280a}</author>
    <author>tc={b5050f88-22b0-476e-8b24-761a7d25d3d5}</author>
    <author>tc={b5db2ccc-5974-420c-affb-e677615a146e}</author>
    <author>tc={baedf078-57cf-453e-963b-da20015dada2}</author>
    <author>tc={bd23857d-91cc-4332-a6f1-e7880a5a2856}</author>
    <author>tc={c8aae895-576b-481f-b85e-e54ea9695a99}</author>
    <author>tc={c9bb6b35-5bdd-4eb4-90aa-eb977a467f9f}</author>
    <author>tc={cecf058a-4d11-4a01-9cb5-3e52e4020982}</author>
    <author>tc={d0add732-0124-44b1-af05-35788614b46f}</author>
    <author>tc={d4542983-8e88-4c47-b64b-aef5353b9f37}</author>
    <author>tc={d79aa5a4-e181-4281-8215-1156c27c6d34}</author>
    <author>tc={d7c1ea83-605e-475f-9ee3-a80d003e15b1}</author>
    <author>tc={dd794d7e-5638-4b6e-8255-3e7497b21a11}</author>
    <author>tc={e3e1a1c9-c589-4e50-a829-5ca1392d8f62}</author>
    <author>tc={e79493d9-bf6e-4dc2-b050-cffea5b78c88}</author>
    <author>tc={e948c50f-f4de-4087-b85e-06e057621544}</author>
    <author>tc={eb6ab56d-29a6-4626-bdb1-d56a98fe5fc1}</author>
    <author>tc={edec558e-b68d-4f6f-95a3-b919dd471b40}</author>
    <author>tc={f275b5f9-eacc-4dcf-a1a6-3cce6c36ae11}</author>
    <author>tc={f2c9dfb0-b8ec-42df-a8db-2776e5a9e8a8}</author>
    <author>tc={f59df3b2-157a-46fe-a7bf-28baa1f5310e}</author>
    <author>tc={f77fbf0d-673d-4218-a6d7-a40604919a4e}</author>
    <author>tc={f8663cce-75b5-4774-99a4-e86425098364}</author>
    <author>tc={fd4fa848-4f3f-45de-b013-ea0bd2de56a1}</author>
  </authors>
  <commentList>
    <comment authorId="0" ref="I128">
      <text>
        <t xml:space="preserve">1hs+1bs</t>
      </text>
    </comment>
    <comment authorId="1" xr:uid="{000558cf-9f37-4154-8248-1e3576845f9c}" ref="L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shots, +3 Leg shots
</t>
      </text>
    </comment>
    <comment authorId="2" xr:uid="{07c47815-2581-4e90-838a-2f9c9171a481}" ref="X1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Body, 3 Leg shots
</t>
      </text>
    </comment>
    <comment authorId="3" xr:uid="{08387905-4c02-44fb-844a-a7d0e82596c1}" ref="R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4" xr:uid="{0aa1c40a-e33c-4213-a22a-24791793fc57}" ref="R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5" xr:uid="{0acd868e-5646-4308-961f-115c54d687a7}" ref="X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shots, +4 Leg shots
</t>
      </text>
    </comment>
    <comment authorId="6" xr:uid="{0bcae917-4df0-4321-be01-803346b4b031}" ref="R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7" xr:uid="{0c67d288-7f58-4d89-b029-1a7bce343772}" ref="U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+5 Body shots
</t>
      </text>
    </comment>
    <comment authorId="8" xr:uid="{0cd80f51-740d-4349-b917-dcde0020d0d3}" ref="U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9" xr:uid="{10cd7102-8f93-4c71-8d6a-2d94207ec989}" ref="R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shots, +3 Leg shots
</t>
      </text>
    </comment>
    <comment authorId="10" xr:uid="{15417f79-7ce6-4fa7-a350-d297366d9d9f}" ref="U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+1 Body shot
</t>
      </text>
    </comment>
    <comment authorId="11" xr:uid="{1d5181f4-b6c1-4462-af33-573af794284a}" ref="X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12" xr:uid="{2670d97d-ba49-4cf5-8dcf-15a0edbe2139}" ref="X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shots, +3 Leg shots
</t>
      </text>
    </comment>
    <comment authorId="13" xr:uid="{27ac6509-421d-4c04-9416-0d3ae431c11b}" ref="U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14" xr:uid="{3057b0e6-efce-4e13-a60a-fc323740596f}" ref="R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15" xr:uid="{33c8897d-dee2-49b8-a795-a8863945eeb3}" ref="R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16" xr:uid="{33f73d3c-c2ec-48fb-bfeb-a43c2fd4dc74}" ref="R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17" xr:uid="{36e4b2bd-324b-4e0d-8867-ed2f4d70a899}" ref="R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+4 Body shots
</t>
      </text>
    </comment>
    <comment authorId="18" xr:uid="{3da7054c-7510-4d3c-9b12-7d9b55100da0}" ref="R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19" xr:uid="{41ebb472-534f-49cb-bebe-5bd287e3604a}" ref="R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20" xr:uid="{43a6e56f-b7fd-409a-8dfa-76edbc97fa1a}" ref="U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+6 Body shots
</t>
      </text>
    </comment>
    <comment authorId="21" xr:uid="{460c94be-3bd4-4eaf-bb41-ba43f89b2455}" ref="X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22" xr:uid="{49974136-5242-471e-b5b5-4f9dae2a2229}" ref="R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23" xr:uid="{4f672cbc-f841-4ed4-bce8-33cc7d78c053}" ref="U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+1 Body shot
</t>
      </text>
    </comment>
    <comment authorId="24" xr:uid="{522ad083-17fb-4389-a256-6d7aa963c8a3}" ref="R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25" xr:uid="{52becd17-259d-440c-b679-5a838e683805}" ref="R2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+1 Body shot
</t>
      </text>
    </comment>
    <comment authorId="26" xr:uid="{53bd3136-7bfd-46f7-b6c9-01e3f62fb8ac}" ref="X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27" xr:uid="{5b9b7713-3ca6-4d81-9ea3-2c51995175f2}" ref="R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28" xr:uid="{5cf29b05-eb5c-4150-9664-7f2e518c5a27}" ref="X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shots, +3 Leg shots
</t>
      </text>
    </comment>
    <comment authorId="29" xr:uid="{6045bde0-1423-49b0-b88d-55910ef1ae32}" ref="X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30" xr:uid="{65ecc9d2-6b7d-40a7-baac-09949ce5d5bd}" ref="X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31" xr:uid="{66b53072-b6b6-4990-b3e4-9fcd70eaf952}" ref="U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32" xr:uid="{6882ef81-f1a3-4c0e-a3f8-0c4d5b6f637e}" ref="X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33" xr:uid="{6b5981d4-93a1-42fc-a049-6c6f3990a27d}" ref="X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shots, +4 Leg shots
</t>
      </text>
    </comment>
    <comment authorId="34" xr:uid="{6d207894-5e14-42b9-a0b3-744109a4bd4a}" ref="U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+1 Body shot
</t>
      </text>
    </comment>
    <comment authorId="35" xr:uid="{6f094671-ddd1-48bc-ade9-0e47d5cd04d1}" ref="X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36" xr:uid="{705f46b8-42b8-4f5b-8d1b-85d4f9a9e64d}" ref="R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37" xr:uid="{718b1fd4-2649-4c32-b0f8-625f91765801}" ref="X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shots, +4 Leg shots
</t>
      </text>
    </comment>
    <comment authorId="38" xr:uid="{72cef40c-cbac-409e-9cc9-155ebd869286}" ref="R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39" xr:uid="{7a2c95c5-4430-4563-93af-6fc3e754311e}" ref="R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shots, +3 Leg shots
</t>
      </text>
    </comment>
    <comment authorId="40" xr:uid="{7f17aea0-0e28-4215-add3-3f607a59c0d9}" ref="X1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41" xr:uid="{88776768-67a9-4445-afb3-98a6f7635fac}" ref="X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42" xr:uid="{895eab39-9150-444e-8e0d-89e9dea46cbb}" ref="X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43" xr:uid="{8bdbab86-44b9-4129-b539-c0f2bf59e7e8}" ref="X1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shots, 4 Leg shots
</t>
      </text>
    </comment>
    <comment authorId="44" xr:uid="{8eb01f53-7f04-4cd8-a4ce-32bb503cc077}" ref="U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+1 Body shot
</t>
      </text>
    </comment>
    <comment authorId="45" xr:uid="{8f7376a0-be5b-4fa8-89c9-b349b18c4e3a}" ref="R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46" xr:uid="{98d50b4f-af53-4f0a-b3f3-4ce840a4d503}" ref="X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47" xr:uid="{9e109569-474e-46cc-9ed3-86907cdfeed9}" ref="R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48" xr:uid="{a129861c-829c-4e6e-b64b-8ebf93b87bf6}" ref="R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49" xr:uid="{a8429efe-90f0-4eb5-93ac-284c3e3d10fd}" ref="U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50" xr:uid="{a8e3bc42-ebde-4c21-802e-71ef6c76aab2}" ref="X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+1 Body shot
</t>
      </text>
    </comment>
    <comment authorId="51" xr:uid="{ab3eb946-c235-48d4-9237-7ebfad33d4e6}" ref="U2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52" xr:uid="{ac682787-b046-4679-8551-ebcc9232c5c6}" ref="R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53" xr:uid="{afe3cca8-798f-4b3b-bd7c-3db47a054ad4}" ref="U1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54" xr:uid="{b2a5b6f5-ef5b-484f-8bfe-6cc22854da33}" ref="X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55" xr:uid="{b33b9a66-9301-4de7-b5b5-6b28607c280a}" ref="R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56" xr:uid="{b5050f88-22b0-476e-8b24-761a7d25d3d5}" ref="R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57" xr:uid="{b5db2ccc-5974-420c-affb-e677615a146e}" ref="R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58" xr:uid="{baedf078-57cf-453e-963b-da20015dada2}" ref="U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59" xr:uid="{bd23857d-91cc-4332-a6f1-e7880a5a2856}" ref="U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60" xr:uid="{c8aae895-576b-481f-b85e-e54ea9695a99}" ref="U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+1 Body shot
</t>
      </text>
    </comment>
    <comment authorId="61" xr:uid="{c9bb6b35-5bdd-4eb4-90aa-eb977a467f9f}" ref="R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62" xr:uid="{cecf058a-4d11-4a01-9cb5-3e52e4020982}" ref="I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+1 Body shot
</t>
      </text>
    </comment>
    <comment authorId="63" xr:uid="{d0add732-0124-44b1-af05-35788614b46f}" ref="X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64" xr:uid="{d4542983-8e88-4c47-b64b-aef5353b9f37}" ref="X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65" xr:uid="{d79aa5a4-e181-4281-8215-1156c27c6d34}" ref="U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66" xr:uid="{d7c1ea83-605e-475f-9ee3-a80d003e15b1}" ref="X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67" xr:uid="{dd794d7e-5638-4b6e-8255-3e7497b21a11}" ref="U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+1 Body shot
</t>
      </text>
    </comment>
    <comment authorId="68" xr:uid="{e3e1a1c9-c589-4e50-a829-5ca1392d8f62}" ref="X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69" xr:uid="{e79493d9-bf6e-4dc2-b050-cffea5b78c88}" ref="U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+1 Body shot
</t>
      </text>
    </comment>
    <comment authorId="70" xr:uid="{e948c50f-f4de-4087-b85e-06e057621544}" ref="U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+1 Body shot
</t>
      </text>
    </comment>
    <comment authorId="71" xr:uid="{eb6ab56d-29a6-4626-bdb1-d56a98fe5fc1}" ref="R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72" xr:uid="{edec558e-b68d-4f6f-95a3-b919dd471b40}" ref="U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+1 Body shot
</t>
      </text>
    </comment>
    <comment authorId="73" xr:uid="{f275b5f9-eacc-4dcf-a1a6-3cce6c36ae11}" ref="U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+1 Body shot
</t>
      </text>
    </comment>
    <comment authorId="74" xr:uid="{f2c9dfb0-b8ec-42df-a8db-2776e5a9e8a8}" ref="R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Body shots
</t>
      </text>
    </comment>
    <comment authorId="75" xr:uid="{f59df3b2-157a-46fe-a7bf-28baa1f5310e}" ref="U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+4 Body shots
</t>
      </text>
    </comment>
    <comment authorId="76" xr:uid="{f77fbf0d-673d-4218-a6d7-a40604919a4e}" ref="U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  <comment authorId="77" xr:uid="{f8663cce-75b5-4774-99a4-e86425098364}" ref="U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2hs+1bs enough to kill, but 1hs+8bs
</t>
      </text>
    </comment>
    <comment authorId="78" xr:uid="{fd4fa848-4f3f-45de-b013-ea0bd2de56a1}" ref="R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Body shots
</t>
      </text>
    </comment>
  </commentList>
</comments>
</file>

<file path=xl/sharedStrings.xml><?xml version="1.0" encoding="utf-8"?>
<sst xmlns="http://schemas.openxmlformats.org/spreadsheetml/2006/main" count="3335" uniqueCount="466">
  <si>
    <t>Sniper Rifle</t>
  </si>
  <si>
    <t>Submachine Guns</t>
  </si>
  <si>
    <t>Assault Rifles</t>
  </si>
  <si>
    <t>Shots To Kill Target</t>
  </si>
  <si>
    <t>Rate of Fire</t>
  </si>
  <si>
    <t>TTK</t>
  </si>
  <si>
    <t>T1 Damage</t>
  </si>
  <si>
    <t>Magazine</t>
  </si>
  <si>
    <t>Reload</t>
  </si>
  <si>
    <t>Aim
Delay</t>
  </si>
  <si>
    <t>Aim
Sens.</t>
  </si>
  <si>
    <t>Unidad Heavy Tier 1</t>
  </si>
  <si>
    <t>Light Machine Guns</t>
  </si>
  <si>
    <t>Unidad Heavy Non-Tier</t>
  </si>
  <si>
    <t>Semi-Auto</t>
  </si>
  <si>
    <t>Full-Auto</t>
  </si>
  <si>
    <t>RPM</t>
  </si>
  <si>
    <t>RPS</t>
  </si>
  <si>
    <t>Inter.</t>
  </si>
  <si>
    <t>T1</t>
  </si>
  <si>
    <t>No
Tier</t>
  </si>
  <si>
    <t>Semi</t>
  </si>
  <si>
    <t>Full</t>
  </si>
  <si>
    <t>St.</t>
  </si>
  <si>
    <t>Ex.</t>
  </si>
  <si>
    <t>La.</t>
  </si>
  <si>
    <t>Base</t>
  </si>
  <si>
    <t>Head</t>
  </si>
  <si>
    <t>Body</t>
  </si>
  <si>
    <t>Customizable Sniper Rifles</t>
  </si>
  <si>
    <t>M40A5</t>
  </si>
  <si>
    <t>Short Barrel</t>
  </si>
  <si>
    <t>N/A</t>
  </si>
  <si>
    <t>Customizable Assault Rifles</t>
  </si>
  <si>
    <t>Customizable Light Machine Guns</t>
  </si>
  <si>
    <t>Customizable Submachine Guns</t>
  </si>
  <si>
    <t>29.3
(2.05s)</t>
  </si>
  <si>
    <t>MG121</t>
  </si>
  <si>
    <t>P416</t>
  </si>
  <si>
    <t>MP5</t>
  </si>
  <si>
    <t>Standard Barrel</t>
  </si>
  <si>
    <t>-</t>
  </si>
  <si>
    <t>Long Barrel</t>
  </si>
  <si>
    <t>one-hit</t>
  </si>
  <si>
    <t>M1891</t>
  </si>
  <si>
    <t>28.8
(2.08s)</t>
  </si>
  <si>
    <t>Stoner LMG A1</t>
  </si>
  <si>
    <t>SR3M</t>
  </si>
  <si>
    <t>SRSA1</t>
  </si>
  <si>
    <t>SR-635</t>
  </si>
  <si>
    <t>27.9
(2.15s)</t>
  </si>
  <si>
    <t>SR1</t>
  </si>
  <si>
    <t>27.1
(2.22s)</t>
  </si>
  <si>
    <t>L115A3</t>
  </si>
  <si>
    <t>MK-48</t>
  </si>
  <si>
    <t>MSR</t>
  </si>
  <si>
    <t>26.1
(2.3s)</t>
  </si>
  <si>
    <t>HTI</t>
  </si>
  <si>
    <t>25.5
(2.35s)</t>
  </si>
  <si>
    <t>AK-12</t>
  </si>
  <si>
    <t>SR25</t>
  </si>
  <si>
    <t>P90</t>
  </si>
  <si>
    <t>Dragunov</t>
  </si>
  <si>
    <t>Mk14</t>
  </si>
  <si>
    <t>Type 95</t>
  </si>
  <si>
    <t>G28</t>
  </si>
  <si>
    <t>PP19</t>
  </si>
  <si>
    <t>Fallen Ghosts</t>
  </si>
  <si>
    <t>PSG-1</t>
  </si>
  <si>
    <t>AUG-A3</t>
  </si>
  <si>
    <t>6P41</t>
  </si>
  <si>
    <t>BFG-50A</t>
  </si>
  <si>
    <t>MP7</t>
  </si>
  <si>
    <t>Other</t>
  </si>
  <si>
    <t>TAC-50</t>
  </si>
  <si>
    <t>R93 LRS2</t>
  </si>
  <si>
    <t>Mk249</t>
  </si>
  <si>
    <t>MPX</t>
  </si>
  <si>
    <t>FRF-2</t>
  </si>
  <si>
    <t>556xi</t>
  </si>
  <si>
    <t>Z93 AMR</t>
  </si>
  <si>
    <t>1?</t>
  </si>
  <si>
    <t>25.5?</t>
  </si>
  <si>
    <t>0.426?</t>
  </si>
  <si>
    <t>2.35?</t>
  </si>
  <si>
    <t>5?</t>
  </si>
  <si>
    <t>3.95?</t>
  </si>
  <si>
    <t>Unique Sniper Rifles</t>
  </si>
  <si>
    <t>U100</t>
  </si>
  <si>
    <t>Buchon Rewards</t>
  </si>
  <si>
    <t>4?</t>
  </si>
  <si>
    <t>9?</t>
  </si>
  <si>
    <t>Chica Mala</t>
  </si>
  <si>
    <t>Lanza Sagrada</t>
  </si>
  <si>
    <t>2?</t>
  </si>
  <si>
    <t>The Warhawk</t>
  </si>
  <si>
    <t>PSG</t>
  </si>
  <si>
    <t>8?</t>
  </si>
  <si>
    <t>M60E4</t>
  </si>
  <si>
    <t>Extranjeros BFG</t>
  </si>
  <si>
    <t>HTI Muddy Bones</t>
  </si>
  <si>
    <t>Unique Light Machine Guns</t>
  </si>
  <si>
    <t>805 Bren A2</t>
  </si>
  <si>
    <t>9mm C1</t>
  </si>
  <si>
    <t>MK14 Occult</t>
  </si>
  <si>
    <t>El Bastón</t>
  </si>
  <si>
    <t>PSG-1 Mercenary</t>
  </si>
  <si>
    <t>SR-25 Jungle</t>
  </si>
  <si>
    <t>Llamativo</t>
  </si>
  <si>
    <t>T95 Spectre</t>
  </si>
  <si>
    <t>Tier 1 Reward</t>
  </si>
  <si>
    <t>Desert Tech HTI BDC</t>
  </si>
  <si>
    <t>9x19VSN</t>
  </si>
  <si>
    <t>6P41 Reaver</t>
  </si>
  <si>
    <t>Crossbow</t>
  </si>
  <si>
    <t>Deimos Crossbow</t>
  </si>
  <si>
    <t>Mk249 America</t>
  </si>
  <si>
    <t>MK48 Wasteland</t>
  </si>
  <si>
    <t>Type 95 Initiate</t>
  </si>
  <si>
    <t>Dragunov SVD Guerrilla</t>
  </si>
  <si>
    <t>G28 Rookie</t>
  </si>
  <si>
    <t>L115A3 London Call</t>
  </si>
  <si>
    <t>Stoner Veteran</t>
  </si>
  <si>
    <t>M40A5 Golden Sun</t>
  </si>
  <si>
    <t>Scorpion EVO 3</t>
  </si>
  <si>
    <t>MK14 Captain</t>
  </si>
  <si>
    <t>MSR Eagle Shot</t>
  </si>
  <si>
    <t>Unidad RPK-74</t>
  </si>
  <si>
    <t>G2</t>
  </si>
  <si>
    <t>MSR Thermite</t>
  </si>
  <si>
    <t>Musket</t>
  </si>
  <si>
    <t>Veteran Bren</t>
  </si>
  <si>
    <t>SR-1 Chameleon</t>
  </si>
  <si>
    <t>SR-25 Liberator</t>
  </si>
  <si>
    <t>SR25 Machinery</t>
  </si>
  <si>
    <t>SRSA1 Black Widow</t>
  </si>
  <si>
    <t>Stampede</t>
  </si>
  <si>
    <t>Vector .45 ACP</t>
  </si>
  <si>
    <t>L85A2</t>
  </si>
  <si>
    <t>PDR</t>
  </si>
  <si>
    <t>R5</t>
  </si>
  <si>
    <t>Unique Submachine Guns</t>
  </si>
  <si>
    <t>¡UY!</t>
  </si>
  <si>
    <t>Experimento #42</t>
  </si>
  <si>
    <t>Mendeleyev</t>
  </si>
  <si>
    <t>Residuos</t>
  </si>
  <si>
    <t>Extranjeros PDR</t>
  </si>
  <si>
    <t>SR635 Apparition</t>
  </si>
  <si>
    <t>AK-47</t>
  </si>
  <si>
    <t>Ubisoft Club Rewards</t>
  </si>
  <si>
    <t>Scorpion EVO 3 R6</t>
  </si>
  <si>
    <t>9x19 VSN Replicant</t>
  </si>
  <si>
    <t>9mmC1 Blaze</t>
  </si>
  <si>
    <t>Golden Vector</t>
  </si>
  <si>
    <t>MP5 Dragon’s Breath</t>
  </si>
  <si>
    <t>MP7 Cartel</t>
  </si>
  <si>
    <t>MPX Traveler</t>
  </si>
  <si>
    <t>P90 Doorkicker</t>
  </si>
  <si>
    <t>P90 Glory</t>
  </si>
  <si>
    <t>P90 Mirmillo</t>
  </si>
  <si>
    <t>PP19 Executioner</t>
  </si>
  <si>
    <t>SR-635 Jaw</t>
  </si>
  <si>
    <t>Vector .45 ACP Venom</t>
  </si>
  <si>
    <t>Vector Spectra</t>
  </si>
  <si>
    <t>M4A1</t>
  </si>
  <si>
    <t>Mk17</t>
  </si>
  <si>
    <t>ACR</t>
  </si>
  <si>
    <t>TAR-21</t>
  </si>
  <si>
    <t>G36C</t>
  </si>
  <si>
    <t>R4</t>
  </si>
  <si>
    <t>MDR</t>
  </si>
  <si>
    <t>M16</t>
  </si>
  <si>
    <t>SC4000</t>
  </si>
  <si>
    <t>HK416</t>
  </si>
  <si>
    <t>LVOA-C</t>
  </si>
  <si>
    <t>Mk 18</t>
  </si>
  <si>
    <t>FAL</t>
  </si>
  <si>
    <t>Unique Assault Rifles</t>
  </si>
  <si>
    <t>Her AK-47</t>
  </si>
  <si>
    <t>His AK-47</t>
  </si>
  <si>
    <t>El Commandante</t>
  </si>
  <si>
    <t>M4A1 Tactical</t>
  </si>
  <si>
    <t>Ritmo</t>
  </si>
  <si>
    <t>556xi Dragon</t>
  </si>
  <si>
    <t>Extranjeros MDR</t>
  </si>
  <si>
    <t>Extranjeros R4</t>
  </si>
  <si>
    <t>L85A2 Crocodile</t>
  </si>
  <si>
    <t>LVOA-C Bad News</t>
  </si>
  <si>
    <t>AK12 GR Network</t>
  </si>
  <si>
    <t>GRFS ACR</t>
  </si>
  <si>
    <t>LVOA-C Division</t>
  </si>
  <si>
    <t>SIG556 Llama</t>
  </si>
  <si>
    <t>ACR Baby Vintage</t>
  </si>
  <si>
    <t>AK-47 Uprising</t>
  </si>
  <si>
    <t>AK12 Victory</t>
  </si>
  <si>
    <t>G2 70s</t>
  </si>
  <si>
    <t>M4A1 Commando</t>
  </si>
  <si>
    <t>M4A1 Explorer</t>
  </si>
  <si>
    <t>M4A1 Temple</t>
  </si>
  <si>
    <t>MK17 Nerd</t>
  </si>
  <si>
    <t>Mk 17 Tiger Fang</t>
  </si>
  <si>
    <t>P416 Micteca</t>
  </si>
  <si>
    <t>P416 Saviour</t>
  </si>
  <si>
    <t>TAR-21 Predator</t>
  </si>
  <si>
    <t>Shotguns</t>
  </si>
  <si>
    <t>Customizable Shotguns</t>
  </si>
  <si>
    <t>Super Shorty</t>
  </si>
  <si>
    <t>Sidearms</t>
  </si>
  <si>
    <t>SASG-12</t>
  </si>
  <si>
    <t>SPAS-12</t>
  </si>
  <si>
    <t>Customizable Sidearms</t>
  </si>
  <si>
    <t>Handguns</t>
  </si>
  <si>
    <t>P45T</t>
  </si>
  <si>
    <t>M4 Super 90</t>
  </si>
  <si>
    <t>5.7 USG</t>
  </si>
  <si>
    <t>Semi/full auto</t>
  </si>
  <si>
    <t>SH</t>
  </si>
  <si>
    <t>SB</t>
  </si>
  <si>
    <t>MH</t>
  </si>
  <si>
    <t>MB</t>
  </si>
  <si>
    <t>LH</t>
  </si>
  <si>
    <t>LB</t>
  </si>
  <si>
    <t>Mag sizes</t>
  </si>
  <si>
    <t>TTK Short</t>
  </si>
  <si>
    <t>TTK Standard</t>
  </si>
  <si>
    <t>TTK Long</t>
  </si>
  <si>
    <t>Heavies</t>
  </si>
  <si>
    <t>1000hp</t>
  </si>
  <si>
    <t>SB Regulars</t>
  </si>
  <si>
    <t>M1911</t>
  </si>
  <si>
    <t>760hp</t>
  </si>
  <si>
    <t>Bodypart:</t>
  </si>
  <si>
    <t>P12</t>
  </si>
  <si>
    <t>1000+</t>
  </si>
  <si>
    <t>760+</t>
  </si>
  <si>
    <t>Barrel:</t>
  </si>
  <si>
    <t>P227</t>
  </si>
  <si>
    <t>Short</t>
  </si>
  <si>
    <t>Unique Shotguns</t>
  </si>
  <si>
    <t>Standard</t>
  </si>
  <si>
    <t>Long</t>
  </si>
  <si>
    <t>¡SILENCIO!</t>
  </si>
  <si>
    <t>M9</t>
  </si>
  <si>
    <t>D-50</t>
  </si>
  <si>
    <t>El Cuentista</t>
  </si>
  <si>
    <t>Compact Machine Guns</t>
  </si>
  <si>
    <t>Sniper Rifles</t>
  </si>
  <si>
    <t>El Obsequio</t>
  </si>
  <si>
    <t>SMG-11</t>
  </si>
  <si>
    <t>Ice Shard</t>
  </si>
  <si>
    <t>RevSG-12</t>
  </si>
  <si>
    <t>29.3 (2.05s)</t>
  </si>
  <si>
    <t>10/20</t>
  </si>
  <si>
    <t>2.05s</t>
  </si>
  <si>
    <t>SASG-12 Frontier</t>
  </si>
  <si>
    <t>SPAS-12 Secutor</t>
  </si>
  <si>
    <t>SPAS 12 Skulls and Blood</t>
  </si>
  <si>
    <t>Skorpion</t>
  </si>
  <si>
    <t>Super Shorty Legacy</t>
  </si>
  <si>
    <t>Wilderness</t>
  </si>
  <si>
    <t>28.8 (2.08s)</t>
  </si>
  <si>
    <t>2.08s</t>
  </si>
  <si>
    <t>Unique Sidearms</t>
  </si>
  <si>
    <t>El General</t>
  </si>
  <si>
    <t>27.9 (2.15s)</t>
  </si>
  <si>
    <t>La Novena</t>
  </si>
  <si>
    <t>27.1 (2.22s)</t>
  </si>
  <si>
    <t>Lady Killer</t>
  </si>
  <si>
    <t>The BFF</t>
  </si>
  <si>
    <t>P227 Urban</t>
  </si>
  <si>
    <t>Skorpion Skull</t>
  </si>
  <si>
    <t>26.1 (2.3s)</t>
  </si>
  <si>
    <t>25.5 (2.35s)</t>
  </si>
  <si>
    <t>BFG</t>
  </si>
  <si>
    <t>Jackdaw Pistol</t>
  </si>
  <si>
    <t>42.4 (1.42s)</t>
  </si>
  <si>
    <t>Five-Seven Blacklist</t>
  </si>
  <si>
    <t>Luison</t>
  </si>
  <si>
    <t>40 (1.5s)</t>
  </si>
  <si>
    <t>.357 Joker</t>
  </si>
  <si>
    <t>1911 MARSOC</t>
  </si>
  <si>
    <t>Luger</t>
  </si>
  <si>
    <t>Semi-Snipers</t>
  </si>
  <si>
    <t>M1911 Golden</t>
  </si>
  <si>
    <t>Peacemaker</t>
  </si>
  <si>
    <t>Santa Blanca Skorpion</t>
  </si>
  <si>
    <t>SMG-11 Dragon</t>
  </si>
  <si>
    <t>US Desert</t>
  </si>
  <si>
    <t>Whisper</t>
  </si>
  <si>
    <t>20/30/50</t>
  </si>
  <si>
    <t>LVOA-C Bad N.</t>
  </si>
  <si>
    <t>20/30</t>
  </si>
  <si>
    <t>AUG A3</t>
  </si>
  <si>
    <t>R5 (FA)</t>
  </si>
  <si>
    <t>G36</t>
  </si>
  <si>
    <t>MG121 (FA)</t>
  </si>
  <si>
    <t>Stoner (FA)</t>
  </si>
  <si>
    <t>MK48 (FA)</t>
  </si>
  <si>
    <t>100/200</t>
  </si>
  <si>
    <t>Type85 (FA)</t>
  </si>
  <si>
    <t>6P41 (FA)</t>
  </si>
  <si>
    <t>Mk249 (FA)</t>
  </si>
  <si>
    <t>Sub Machine Guns</t>
  </si>
  <si>
    <t>Mp7</t>
  </si>
  <si>
    <t>9mm C1 (FA)</t>
  </si>
  <si>
    <t>9x19 VSN</t>
  </si>
  <si>
    <t>Scorpion Evo 3</t>
  </si>
  <si>
    <t>0.162??</t>
  </si>
  <si>
    <t>15/25</t>
  </si>
  <si>
    <t>0.158??</t>
  </si>
  <si>
    <t>SPAS</t>
  </si>
  <si>
    <t>Ice-shard</t>
  </si>
  <si>
    <t>Secondaries</t>
  </si>
  <si>
    <t>15/20</t>
  </si>
  <si>
    <t>8/15</t>
  </si>
  <si>
    <t>12/20</t>
  </si>
  <si>
    <t>10/15</t>
  </si>
  <si>
    <t>D50</t>
  </si>
  <si>
    <t>BFF</t>
  </si>
  <si>
    <t>SMG-11 (FA)</t>
  </si>
  <si>
    <t>Scorpion (FA)</t>
  </si>
  <si>
    <t>DPS Short</t>
  </si>
  <si>
    <t>DPS Standard</t>
  </si>
  <si>
    <t>DPS Long</t>
  </si>
  <si>
    <t>2200?</t>
  </si>
  <si>
    <t>2400?</t>
  </si>
  <si>
    <t>640?</t>
  </si>
  <si>
    <t>450?</t>
  </si>
  <si>
    <t>667+</t>
  </si>
  <si>
    <t>145/115</t>
  </si>
  <si>
    <t>155/120</t>
  </si>
  <si>
    <t>175/135</t>
  </si>
  <si>
    <t>235/185</t>
  </si>
  <si>
    <t>165/130</t>
  </si>
  <si>
    <t>185/145</t>
  </si>
  <si>
    <t>205/165</t>
  </si>
  <si>
    <t>220/180</t>
  </si>
  <si>
    <t>215/170</t>
  </si>
  <si>
    <t>230/185</t>
  </si>
  <si>
    <t>165/125</t>
  </si>
  <si>
    <t>180/145</t>
  </si>
  <si>
    <t>190/155</t>
  </si>
  <si>
    <t>195/160</t>
  </si>
  <si>
    <t>220/175</t>
  </si>
  <si>
    <t>200/160</t>
  </si>
  <si>
    <t>225/180</t>
  </si>
  <si>
    <t>245/195</t>
  </si>
  <si>
    <t>190/160</t>
  </si>
  <si>
    <t>240/185</t>
  </si>
  <si>
    <t>260/205</t>
  </si>
  <si>
    <t>280/225</t>
  </si>
  <si>
    <t>170/140</t>
  </si>
  <si>
    <t>160/130</t>
  </si>
  <si>
    <t>180/140</t>
  </si>
  <si>
    <t>150/120</t>
  </si>
  <si>
    <t>185/150</t>
  </si>
  <si>
    <t>240/190</t>
  </si>
  <si>
    <t>135/105</t>
  </si>
  <si>
    <t>500-760</t>
  </si>
  <si>
    <t>SASG-12 (FA)</t>
  </si>
  <si>
    <t>380-499</t>
  </si>
  <si>
    <t>1900-2495</t>
  </si>
  <si>
    <t>SB Reg 5</t>
  </si>
  <si>
    <t>SB He 5</t>
  </si>
  <si>
    <t>Uni Reg 5</t>
  </si>
  <si>
    <t>Uni He 5</t>
  </si>
  <si>
    <t>T1 SB Reg 5</t>
  </si>
  <si>
    <t>T1 SB He 5</t>
  </si>
  <si>
    <t>T1 Uni Reg 5</t>
  </si>
  <si>
    <t>T1 Uni He 5</t>
  </si>
  <si>
    <t>Foot</t>
  </si>
  <si>
    <t>FA Mk14</t>
  </si>
  <si>
    <t>FA 416</t>
  </si>
  <si>
    <t>FA Mk17</t>
  </si>
  <si>
    <t>FA M4</t>
  </si>
  <si>
    <t>FA ACR</t>
  </si>
  <si>
    <t>Aug</t>
  </si>
  <si>
    <t>FA Aug</t>
  </si>
  <si>
    <t>FA P416</t>
  </si>
  <si>
    <t>FA SR3m</t>
  </si>
  <si>
    <t>FA AK-12</t>
  </si>
  <si>
    <t>FA 556xi</t>
  </si>
  <si>
    <t>FA R4</t>
  </si>
  <si>
    <t>FA 805 Bren A2</t>
  </si>
  <si>
    <t>FA G2</t>
  </si>
  <si>
    <t>FA L85A2</t>
  </si>
  <si>
    <t>FA AK-47</t>
  </si>
  <si>
    <t>AK-47 Nt</t>
  </si>
  <si>
    <t>FA AK-47 Nt</t>
  </si>
  <si>
    <t>FA TAR-21</t>
  </si>
  <si>
    <t>FA G36</t>
  </si>
  <si>
    <t>Mk18</t>
  </si>
  <si>
    <t>FA Mk18</t>
  </si>
  <si>
    <t>AcAr</t>
  </si>
  <si>
    <t>FA AcAr</t>
  </si>
  <si>
    <t>FA Fall</t>
  </si>
  <si>
    <t>Stoner</t>
  </si>
  <si>
    <t>Mk48</t>
  </si>
  <si>
    <t>FA MP5</t>
  </si>
  <si>
    <t>FA SR-635</t>
  </si>
  <si>
    <t>FA P90</t>
  </si>
  <si>
    <t>FA PP19</t>
  </si>
  <si>
    <t>FA PDR</t>
  </si>
  <si>
    <t>FA Mp7</t>
  </si>
  <si>
    <t>FA MPX</t>
  </si>
  <si>
    <t>FA PSG</t>
  </si>
  <si>
    <t>FA 9x19 VSN</t>
  </si>
  <si>
    <t>FA Evo 3</t>
  </si>
  <si>
    <t>FA Vector .45</t>
  </si>
  <si>
    <t>FA SASG-12</t>
  </si>
  <si>
    <t>LVO</t>
  </si>
  <si>
    <t>SR3</t>
  </si>
  <si>
    <t>AK12</t>
  </si>
  <si>
    <t>AUG</t>
  </si>
  <si>
    <t>Bren</t>
  </si>
  <si>
    <t>L85</t>
  </si>
  <si>
    <t>AK47</t>
  </si>
  <si>
    <t>M4</t>
  </si>
  <si>
    <t>TAR</t>
  </si>
  <si>
    <t>MG12</t>
  </si>
  <si>
    <t>T95</t>
  </si>
  <si>
    <t>6p41</t>
  </si>
  <si>
    <t>Mk24</t>
  </si>
  <si>
    <t>SR63</t>
  </si>
  <si>
    <t>C1</t>
  </si>
  <si>
    <t>VSN</t>
  </si>
  <si>
    <t>EVO</t>
  </si>
  <si>
    <t>Vec</t>
  </si>
  <si>
    <t>SAS</t>
  </si>
  <si>
    <t>S11</t>
  </si>
  <si>
    <t>Skor</t>
  </si>
  <si>
    <t>L115</t>
  </si>
  <si>
    <t>M40</t>
  </si>
  <si>
    <t>M18</t>
  </si>
  <si>
    <t>SRS</t>
  </si>
  <si>
    <t>CB</t>
  </si>
  <si>
    <t>STP</t>
  </si>
  <si>
    <t>R93</t>
  </si>
  <si>
    <t>Rel</t>
  </si>
  <si>
    <t>My</t>
  </si>
  <si>
    <t>Norm</t>
  </si>
  <si>
    <t>Sil</t>
  </si>
  <si>
    <t>Scop</t>
  </si>
  <si>
    <t>Mag</t>
  </si>
  <si>
    <t>M189</t>
  </si>
  <si>
    <t>SVD</t>
  </si>
  <si>
    <t>BDC</t>
  </si>
  <si>
    <t>RS3</t>
  </si>
  <si>
    <t>MSK</t>
  </si>
  <si>
    <t>p416</t>
  </si>
  <si>
    <t>LV</t>
  </si>
  <si>
    <t>M17</t>
  </si>
  <si>
    <t>Scor</t>
  </si>
  <si>
    <t>Vect</t>
  </si>
  <si>
    <t>M121</t>
  </si>
  <si>
    <t>Ston</t>
  </si>
  <si>
    <t>Type8</t>
  </si>
  <si>
    <t>Shor</t>
  </si>
  <si>
    <t>SPA</t>
  </si>
  <si>
    <t>Wild</t>
  </si>
  <si>
    <t>Ice</t>
  </si>
  <si>
    <t>P45</t>
  </si>
  <si>
    <t>M19</t>
  </si>
  <si>
    <t>Peac</t>
  </si>
  <si>
    <t>Jok</t>
  </si>
  <si>
    <t>SMG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</si>
</sst>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00"/>
    <numFmt numFmtId="165" formatCode="0.00&quot;s&quot;"/>
    <numFmt numFmtId="166" formatCode="0.0"/>
    <numFmt numFmtId="167" formatCode="0.000&quot;s&quot;"/>
    <numFmt numFmtId="168" formatCode="d/m"/>
    <numFmt numFmtId="169" formatCode="d-m"/>
    <numFmt numFmtId="170" formatCode="d/m/yy"/>
    <numFmt numFmtId="171" formatCode="0.00000"/>
  </numFmts>
  <fonts count="25">
    <font>
      <sz val="10.0"/>
      <color rgb="FF000000"/>
      <name val="Arial"/>
    </font>
    <font/>
    <font>
      <b/>
      <name val="Arial"/>
    </font>
    <font>
      <name val="Arial"/>
    </font>
    <font>
      <u/>
      <name val="Arial"/>
    </font>
    <font>
      <u/>
      <name val="Arial"/>
    </font>
    <font>
      <u/>
      <name val="Arial"/>
    </font>
    <font>
      <u/>
      <name val="Arial"/>
    </font>
    <font>
      <u/>
      <name val="Arial"/>
    </font>
    <font>
      <u/>
      <name val="Arial"/>
    </font>
    <font>
      <u/>
      <name val="Arial"/>
    </font>
    <font>
      <u/>
      <name val="Arial"/>
    </font>
    <font>
      <u/>
      <name val="Arial"/>
    </font>
    <font>
      <u/>
      <name val="Arial"/>
    </font>
    <font>
      <u/>
      <name val="Arial"/>
    </font>
    <font>
      <u/>
      <name val="Arial"/>
    </font>
    <font>
      <u/>
      <name val="Arial"/>
    </font>
    <font>
      <u/>
      <name val="Arial"/>
    </font>
    <font>
      <u/>
      <name val="Arial"/>
    </font>
    <font>
      <u/>
      <name val="Arial"/>
    </font>
    <font>
      <u/>
      <name val="Arial"/>
    </font>
    <font>
      <u/>
      <name val="Arial"/>
    </font>
    <font>
      <u/>
    </font>
    <font>
      <u/>
    </font>
    <font>
      <u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</fills>
  <borders count="112">
    <border/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7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1" numFmtId="0" xfId="0" applyBorder="1" applyFont="1"/>
    <xf borderId="3" fillId="2" fontId="2" numFmtId="0" xfId="0" applyAlignment="1" applyBorder="1" applyFill="1" applyFont="1">
      <alignment horizontal="center" vertical="center"/>
    </xf>
    <xf borderId="4" fillId="0" fontId="1" numFmtId="0" xfId="0" applyBorder="1" applyFont="1"/>
    <xf borderId="5" fillId="0" fontId="1" numFmtId="0" xfId="0" applyBorder="1" applyFont="1"/>
    <xf borderId="6" fillId="2" fontId="2" numFmtId="0" xfId="0" applyAlignment="1" applyBorder="1" applyFill="1" applyFont="1">
      <alignment horizontal="center" vertical="center"/>
    </xf>
    <xf borderId="7" fillId="0" fontId="1" numFmtId="0" xfId="0" applyBorder="1" applyFont="1"/>
    <xf borderId="6" fillId="2" fontId="2" numFmtId="165" xfId="0" applyAlignment="1" applyBorder="1" applyFill="1" applyFont="1" applyNumberFormat="1">
      <alignment horizontal="center" vertical="center"/>
    </xf>
    <xf borderId="6" fillId="2" fontId="2" numFmtId="0" xfId="0" applyAlignment="1" applyBorder="1" applyFill="1" applyFont="1">
      <alignment horizontal="center" readingOrder="0" vertical="center"/>
    </xf>
    <xf borderId="8" fillId="2" fontId="2" numFmtId="165" xfId="0" applyAlignment="1" applyBorder="1" applyFill="1" applyFont="1" applyNumberFormat="1">
      <alignment horizontal="center" readingOrder="0" vertical="center"/>
    </xf>
    <xf borderId="9" fillId="2" fontId="2" numFmtId="165" xfId="0" applyAlignment="1" applyBorder="1" applyFill="1" applyFont="1" applyNumberFormat="1">
      <alignment horizontal="center" readingOrder="0" vertical="center"/>
    </xf>
    <xf borderId="10" fillId="0" fontId="1" numFmtId="0" xfId="0" applyBorder="1" applyFont="1"/>
    <xf borderId="11" fillId="0" fontId="1" numFmtId="0" xfId="0" applyBorder="1" applyFont="1"/>
    <xf borderId="12" fillId="3" fontId="2" numFmtId="0" xfId="0" applyAlignment="1" applyBorder="1" applyFill="1" applyFont="1">
      <alignment horizontal="center" vertical="center"/>
    </xf>
    <xf borderId="13" fillId="0" fontId="1" numFmtId="0" xfId="0" applyBorder="1" applyFont="1"/>
    <xf borderId="14" fillId="0" fontId="1" numFmtId="0" xfId="0" applyBorder="1" applyFont="1"/>
    <xf borderId="12" fillId="4" fontId="2" numFmtId="0" xfId="0" applyAlignment="1" applyBorder="1" applyFill="1" applyFont="1">
      <alignment horizontal="center" vertical="center"/>
    </xf>
    <xf borderId="15" fillId="0" fontId="1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12" fillId="5" fontId="2" numFmtId="0" xfId="0" applyAlignment="1" applyBorder="1" applyFill="1" applyFont="1">
      <alignment horizontal="center" vertical="center"/>
    </xf>
    <xf borderId="12" fillId="6" fontId="2" numFmtId="0" xfId="0" applyAlignment="1" applyBorder="1" applyFill="1" applyFont="1">
      <alignment horizontal="center" vertical="center"/>
    </xf>
    <xf borderId="20" fillId="7" fontId="2" numFmtId="0" xfId="0" applyAlignment="1" applyBorder="1" applyFill="1" applyFont="1">
      <alignment horizontal="center" vertical="center"/>
    </xf>
    <xf borderId="20" fillId="7" fontId="2" numFmtId="164" xfId="0" applyAlignment="1" applyBorder="1" applyFill="1" applyFont="1" applyNumberFormat="1">
      <alignment horizontal="center" vertical="center"/>
    </xf>
    <xf borderId="20" fillId="7" fontId="2" numFmtId="164" xfId="0" applyAlignment="1" applyBorder="1" applyFill="1" applyFont="1" applyNumberFormat="1">
      <alignment horizontal="center" readingOrder="0" vertical="center"/>
    </xf>
    <xf borderId="20" fillId="3" fontId="2" numFmtId="165" xfId="0" applyAlignment="1" applyBorder="1" applyFill="1" applyFont="1" applyNumberFormat="1">
      <alignment horizontal="center" readingOrder="0" vertical="center"/>
    </xf>
    <xf borderId="20" fillId="4" fontId="2" numFmtId="165" xfId="0" applyAlignment="1" applyBorder="1" applyFill="1" applyFont="1" applyNumberFormat="1">
      <alignment horizontal="center" readingOrder="0" vertical="center"/>
    </xf>
    <xf borderId="20" fillId="2" fontId="2" numFmtId="0" xfId="0" applyAlignment="1" applyBorder="1" applyFill="1" applyFont="1">
      <alignment horizontal="center" readingOrder="0" vertical="center"/>
    </xf>
    <xf borderId="21" fillId="8" fontId="2" numFmtId="0" xfId="0" applyAlignment="1" applyBorder="1" applyFill="1" applyFont="1">
      <alignment horizontal="center" vertical="center"/>
    </xf>
    <xf borderId="22" fillId="0" fontId="1" numFmtId="0" xfId="0" applyBorder="1" applyFont="1"/>
    <xf borderId="21" fillId="9" fontId="2" numFmtId="0" xfId="0" applyAlignment="1" applyBorder="1" applyFill="1" applyFont="1">
      <alignment horizontal="center" vertical="center"/>
    </xf>
    <xf borderId="21" fillId="10" fontId="2" numFmtId="0" xfId="0" applyAlignment="1" applyBorder="1" applyFill="1" applyFont="1">
      <alignment horizontal="center" vertical="center"/>
    </xf>
    <xf borderId="23" fillId="11" fontId="2" numFmtId="165" xfId="0" applyAlignment="1" applyBorder="1" applyFill="1" applyFont="1" applyNumberFormat="1">
      <alignment horizontal="center" readingOrder="0" vertical="center"/>
    </xf>
    <xf borderId="24" fillId="11" fontId="2" numFmtId="165" xfId="0" applyAlignment="1" applyBorder="1" applyFill="1" applyFont="1" applyNumberFormat="1">
      <alignment horizontal="center" readingOrder="0" vertical="center"/>
    </xf>
    <xf borderId="25" fillId="0" fontId="1" numFmtId="0" xfId="0" applyBorder="1" applyFont="1"/>
    <xf borderId="20" fillId="3" fontId="2" numFmtId="0" xfId="0" applyAlignment="1" applyBorder="1" applyFill="1" applyFont="1">
      <alignment horizontal="center" vertical="center"/>
    </xf>
    <xf borderId="20" fillId="3" fontId="3" numFmtId="0" xfId="0" applyAlignment="1" applyBorder="1" applyFill="1" applyFont="1">
      <alignment horizontal="center" vertical="center"/>
    </xf>
    <xf borderId="20" fillId="5" fontId="2" numFmtId="0" xfId="0" applyAlignment="1" applyBorder="1" applyFill="1" applyFont="1">
      <alignment horizontal="center" vertical="center"/>
    </xf>
    <xf borderId="20" fillId="5" fontId="3" numFmtId="0" xfId="0" applyAlignment="1" applyBorder="1" applyFill="1" applyFont="1">
      <alignment horizontal="center" vertical="center"/>
    </xf>
    <xf borderId="20" fillId="4" fontId="2" numFmtId="0" xfId="0" applyAlignment="1" applyBorder="1" applyFill="1" applyFont="1">
      <alignment horizontal="center" vertical="center"/>
    </xf>
    <xf borderId="20" fillId="4" fontId="3" numFmtId="0" xfId="0" applyAlignment="1" applyBorder="1" applyFill="1" applyFont="1">
      <alignment horizontal="center" vertical="center"/>
    </xf>
    <xf borderId="20" fillId="6" fontId="2" numFmtId="0" xfId="0" applyAlignment="1" applyBorder="1" applyFill="1" applyFont="1">
      <alignment horizontal="center" vertical="center"/>
    </xf>
    <xf borderId="20" fillId="6" fontId="3" numFmtId="0" xfId="0" applyAlignment="1" applyBorder="1" applyFill="1" applyFont="1">
      <alignment horizontal="center" vertical="center"/>
    </xf>
    <xf borderId="23" fillId="11" fontId="2" numFmtId="9" xfId="0" applyAlignment="1" applyBorder="1" applyFill="1" applyFont="1" applyNumberFormat="1">
      <alignment horizontal="center" readingOrder="0" vertical="center"/>
    </xf>
    <xf borderId="24" fillId="11" fontId="2" numFmtId="9" xfId="0" applyAlignment="1" applyBorder="1" applyFill="1" applyFont="1" applyNumberFormat="1">
      <alignment horizontal="center" readingOrder="0" vertical="center"/>
    </xf>
    <xf borderId="26" fillId="2" fontId="2" numFmtId="0" xfId="0" applyAlignment="1" applyBorder="1" applyFill="1" applyFont="1">
      <alignment horizontal="center" readingOrder="0" vertical="center"/>
    </xf>
    <xf borderId="27" fillId="0" fontId="1" numFmtId="0" xfId="0" applyBorder="1" applyFont="1"/>
    <xf borderId="28" fillId="0" fontId="1" numFmtId="0" xfId="0" applyBorder="1" applyFont="1"/>
    <xf borderId="29" fillId="2" fontId="4" numFmtId="0" xfId="0" applyAlignment="1" applyBorder="1" applyFill="1" applyFont="1">
      <alignment horizontal="center" readingOrder="0" vertical="center"/>
    </xf>
    <xf borderId="18" fillId="12" fontId="3" numFmtId="0" xfId="0" applyAlignment="1" applyBorder="1" applyFill="1" applyFont="1">
      <alignment horizontal="center" vertical="center"/>
    </xf>
    <xf borderId="18" fillId="3" fontId="2" numFmtId="0" xfId="0" applyAlignment="1" applyBorder="1" applyFill="1" applyFont="1">
      <alignment horizontal="center" readingOrder="0" vertical="center"/>
    </xf>
    <xf borderId="20" fillId="11" fontId="2" numFmtId="9" xfId="0" applyAlignment="1" applyBorder="1" applyFill="1" applyFont="1" applyNumberFormat="1">
      <alignment horizontal="center" readingOrder="0" vertical="center"/>
    </xf>
    <xf borderId="18" fillId="3" fontId="3" numFmtId="0" xfId="0" applyAlignment="1" applyBorder="1" applyFill="1" applyFont="1">
      <alignment horizontal="center" readingOrder="0" vertical="center"/>
    </xf>
    <xf borderId="30" fillId="11" fontId="2" numFmtId="9" xfId="0" applyAlignment="1" applyBorder="1" applyFill="1" applyFont="1" applyNumberFormat="1">
      <alignment horizontal="center" readingOrder="0" vertical="center"/>
    </xf>
    <xf borderId="31" fillId="5" fontId="2" numFmtId="0" xfId="0" applyAlignment="1" applyBorder="1" applyFill="1" applyFont="1">
      <alignment horizontal="center" readingOrder="0" vertical="center"/>
    </xf>
    <xf borderId="18" fillId="4" fontId="2" numFmtId="0" xfId="0" applyAlignment="1" applyBorder="1" applyFill="1" applyFont="1">
      <alignment horizontal="center" readingOrder="0" vertical="center"/>
    </xf>
    <xf borderId="18" fillId="4" fontId="3" numFmtId="0" xfId="0" applyAlignment="1" applyBorder="1" applyFill="1" applyFont="1">
      <alignment horizontal="center" readingOrder="0" vertical="center"/>
    </xf>
    <xf borderId="31" fillId="6" fontId="2" numFmtId="0" xfId="0" applyAlignment="1" applyBorder="1" applyFill="1" applyFont="1">
      <alignment horizontal="center" readingOrder="0" vertical="center"/>
    </xf>
    <xf borderId="32" fillId="7" fontId="3" numFmtId="0" xfId="0" applyAlignment="1" applyBorder="1" applyFill="1" applyFont="1">
      <alignment horizontal="center" readingOrder="0" vertical="center"/>
    </xf>
    <xf borderId="33" fillId="2" fontId="3" numFmtId="0" xfId="0" applyAlignment="1" applyBorder="1" applyFill="1" applyFont="1">
      <alignment horizontal="center" vertical="center"/>
    </xf>
    <xf borderId="29" fillId="2" fontId="5" numFmtId="0" xfId="0" applyAlignment="1" applyBorder="1" applyFill="1" applyFont="1">
      <alignment horizontal="center" vertical="center"/>
    </xf>
    <xf borderId="34" fillId="2" fontId="6" numFmtId="0" xfId="0" applyAlignment="1" applyBorder="1" applyFill="1" applyFont="1">
      <alignment horizontal="center" readingOrder="0" vertical="center"/>
    </xf>
    <xf borderId="31" fillId="3" fontId="2" numFmtId="0" xfId="0" applyAlignment="1" applyBorder="1" applyFill="1" applyFont="1">
      <alignment horizontal="center" readingOrder="0" vertical="center"/>
    </xf>
    <xf borderId="35" fillId="12" fontId="3" numFmtId="0" xfId="0" applyAlignment="1" applyBorder="1" applyFill="1" applyFont="1">
      <alignment horizontal="center" vertical="center"/>
    </xf>
    <xf borderId="18" fillId="5" fontId="2" numFmtId="0" xfId="0" applyAlignment="1" applyBorder="1" applyFill="1" applyFont="1">
      <alignment horizontal="center" readingOrder="0" vertical="center"/>
    </xf>
    <xf borderId="36" fillId="3" fontId="2" numFmtId="0" xfId="0" applyAlignment="1" applyBorder="1" applyFill="1" applyFont="1">
      <alignment horizontal="center" readingOrder="0" vertical="center"/>
    </xf>
    <xf borderId="18" fillId="5" fontId="3" numFmtId="0" xfId="0" applyAlignment="1" applyBorder="1" applyFill="1" applyFont="1">
      <alignment horizontal="center" readingOrder="0" vertical="center"/>
    </xf>
    <xf borderId="36" fillId="3" fontId="3" numFmtId="0" xfId="0" applyAlignment="1" applyBorder="1" applyFill="1" applyFont="1">
      <alignment horizontal="center" readingOrder="0" vertical="center"/>
    </xf>
    <xf borderId="32" fillId="7" fontId="3" numFmtId="164" xfId="0" applyAlignment="1" applyBorder="1" applyFill="1" applyFont="1" applyNumberFormat="1">
      <alignment horizontal="center" vertical="center"/>
    </xf>
    <xf borderId="35" fillId="5" fontId="2" numFmtId="0" xfId="0" applyAlignment="1" applyBorder="1" applyFill="1" applyFont="1">
      <alignment horizontal="center" readingOrder="0" vertical="center"/>
    </xf>
    <xf borderId="31" fillId="4" fontId="2" numFmtId="0" xfId="0" applyAlignment="1" applyBorder="1" applyFill="1" applyFont="1">
      <alignment horizontal="center" vertical="center"/>
    </xf>
    <xf borderId="32" fillId="7" fontId="3" numFmtId="165" xfId="0" applyAlignment="1" applyBorder="1" applyFill="1" applyFont="1" applyNumberFormat="1">
      <alignment horizontal="center" readingOrder="0" vertical="center"/>
    </xf>
    <xf borderId="35" fillId="4" fontId="2" numFmtId="0" xfId="0" applyAlignment="1" applyBorder="1" applyFill="1" applyFont="1">
      <alignment horizontal="center" readingOrder="0" vertical="center"/>
    </xf>
    <xf borderId="18" fillId="3" fontId="3" numFmtId="165" xfId="0" applyAlignment="1" applyBorder="1" applyFill="1" applyFont="1" applyNumberFormat="1">
      <alignment horizontal="center" readingOrder="0" vertical="center"/>
    </xf>
    <xf borderId="18" fillId="6" fontId="2" numFmtId="0" xfId="0" applyAlignment="1" applyBorder="1" applyFill="1" applyFont="1">
      <alignment horizontal="center" vertical="center"/>
    </xf>
    <xf borderId="36" fillId="4" fontId="3" numFmtId="0" xfId="0" applyAlignment="1" applyBorder="1" applyFill="1" applyFont="1">
      <alignment horizontal="center" readingOrder="0" vertical="center"/>
    </xf>
    <xf borderId="18" fillId="4" fontId="3" numFmtId="165" xfId="0" applyAlignment="1" applyBorder="1" applyFill="1" applyFont="1" applyNumberFormat="1">
      <alignment horizontal="center" readingOrder="0" vertical="center"/>
    </xf>
    <xf borderId="36" fillId="6" fontId="2" numFmtId="0" xfId="0" applyAlignment="1" applyBorder="1" applyFill="1" applyFont="1">
      <alignment horizontal="center" readingOrder="0" vertical="center"/>
    </xf>
    <xf borderId="18" fillId="6" fontId="3" numFmtId="0" xfId="0" applyAlignment="1" applyBorder="1" applyFill="1" applyFont="1">
      <alignment horizontal="center" vertical="center"/>
    </xf>
    <xf borderId="35" fillId="6" fontId="2" numFmtId="0" xfId="0" applyAlignment="1" applyBorder="1" applyFill="1" applyFont="1">
      <alignment horizontal="center" readingOrder="0" vertical="center"/>
    </xf>
    <xf borderId="18" fillId="2" fontId="3" numFmtId="0" xfId="0" applyAlignment="1" applyBorder="1" applyFill="1" applyFont="1">
      <alignment horizontal="center" readingOrder="0" vertical="center"/>
    </xf>
    <xf borderId="37" fillId="7" fontId="3" numFmtId="0" xfId="0" applyAlignment="1" applyBorder="1" applyFill="1" applyFont="1">
      <alignment horizontal="center" readingOrder="0" vertical="center"/>
    </xf>
    <xf borderId="32" fillId="2" fontId="3" numFmtId="0" xfId="0" applyAlignment="1" applyBorder="1" applyFill="1" applyFont="1">
      <alignment horizontal="center" readingOrder="0" vertical="center"/>
    </xf>
    <xf borderId="17" fillId="2" fontId="3" numFmtId="0" xfId="0" applyAlignment="1" applyBorder="1" applyFill="1" applyFont="1">
      <alignment horizontal="center" vertical="center"/>
    </xf>
    <xf borderId="38" fillId="8" fontId="3" numFmtId="0" xfId="0" applyAlignment="1" applyBorder="1" applyFill="1" applyFont="1">
      <alignment horizontal="center" readingOrder="0" vertical="center"/>
    </xf>
    <xf borderId="39" fillId="0" fontId="1" numFmtId="0" xfId="0" applyBorder="1" applyFont="1"/>
    <xf borderId="37" fillId="0" fontId="1" numFmtId="0" xfId="0" applyBorder="1" applyFont="1"/>
    <xf borderId="17" fillId="3" fontId="3" numFmtId="0" xfId="0" applyAlignment="1" applyBorder="1" applyFill="1" applyFont="1">
      <alignment horizontal="center" readingOrder="0" vertical="center"/>
    </xf>
    <xf borderId="39" fillId="9" fontId="3" numFmtId="0" xfId="0" applyAlignment="1" applyBorder="1" applyFill="1" applyFont="1">
      <alignment horizontal="center" readingOrder="0" vertical="center"/>
    </xf>
    <xf borderId="17" fillId="5" fontId="2" numFmtId="0" xfId="0" applyAlignment="1" applyBorder="1" applyFill="1" applyFont="1">
      <alignment horizontal="center" readingOrder="0" vertical="center"/>
    </xf>
    <xf borderId="23" fillId="11" fontId="3" numFmtId="165" xfId="0" applyAlignment="1" applyBorder="1" applyFill="1" applyFont="1" applyNumberFormat="1">
      <alignment horizontal="center" vertical="center"/>
    </xf>
    <xf borderId="37" fillId="7" fontId="3" numFmtId="166" xfId="0" applyAlignment="1" applyBorder="1" applyFill="1" applyFont="1" applyNumberFormat="1">
      <alignment horizontal="center" vertical="center"/>
    </xf>
    <xf borderId="24" fillId="11" fontId="3" numFmtId="165" xfId="0" applyAlignment="1" applyBorder="1" applyFill="1" applyFont="1" applyNumberFormat="1">
      <alignment horizontal="center" vertical="center"/>
    </xf>
    <xf borderId="29" fillId="0" fontId="1" numFmtId="0" xfId="0" applyBorder="1" applyFont="1"/>
    <xf borderId="23" fillId="2" fontId="3" numFmtId="0" xfId="0" applyAlignment="1" applyBorder="1" applyFill="1" applyFont="1">
      <alignment horizontal="center" vertical="center"/>
    </xf>
    <xf borderId="23" fillId="3" fontId="2" numFmtId="0" xfId="0" applyAlignment="1" applyBorder="1" applyFill="1" applyFont="1">
      <alignment horizontal="center" readingOrder="0" vertical="center"/>
    </xf>
    <xf borderId="23" fillId="3" fontId="3" numFmtId="0" xfId="0" applyAlignment="1" applyBorder="1" applyFill="1" applyFont="1">
      <alignment horizontal="center" readingOrder="0" vertical="center"/>
    </xf>
    <xf borderId="31" fillId="0" fontId="1" numFmtId="0" xfId="0" applyBorder="1" applyFont="1"/>
    <xf borderId="11" fillId="7" fontId="3" numFmtId="166" xfId="0" applyAlignment="1" applyBorder="1" applyFill="1" applyFont="1" applyNumberFormat="1">
      <alignment horizontal="center" vertical="center"/>
    </xf>
    <xf borderId="37" fillId="7" fontId="3" numFmtId="167" xfId="0" applyAlignment="1" applyBorder="1" applyFill="1" applyFont="1" applyNumberFormat="1">
      <alignment horizontal="center" vertical="center"/>
    </xf>
    <xf borderId="11" fillId="7" fontId="3" numFmtId="167" xfId="0" applyAlignment="1" applyBorder="1" applyFill="1" applyFont="1" applyNumberFormat="1">
      <alignment horizontal="center" vertical="center"/>
    </xf>
    <xf borderId="36" fillId="3" fontId="3" numFmtId="167" xfId="0" applyAlignment="1" applyBorder="1" applyFill="1" applyFont="1" applyNumberFormat="1">
      <alignment horizontal="center" readingOrder="0" vertical="center"/>
    </xf>
    <xf borderId="17" fillId="5" fontId="3" numFmtId="0" xfId="0" applyAlignment="1" applyBorder="1" applyFill="1" applyFont="1">
      <alignment horizontal="center" readingOrder="0" vertical="center"/>
    </xf>
    <xf borderId="18" fillId="4" fontId="2" numFmtId="0" xfId="0" applyAlignment="1" applyBorder="1" applyFill="1" applyFont="1">
      <alignment horizontal="center" vertical="center"/>
    </xf>
    <xf borderId="23" fillId="4" fontId="2" numFmtId="0" xfId="0" applyAlignment="1" applyBorder="1" applyFill="1" applyFont="1">
      <alignment horizontal="center" readingOrder="0" vertical="center"/>
    </xf>
    <xf borderId="17" fillId="4" fontId="3" numFmtId="0" xfId="0" applyAlignment="1" applyBorder="1" applyFill="1" applyFont="1">
      <alignment horizontal="center" vertical="center"/>
    </xf>
    <xf borderId="17" fillId="6" fontId="2" numFmtId="0" xfId="0" applyAlignment="1" applyBorder="1" applyFill="1" applyFont="1">
      <alignment horizontal="center" vertical="center"/>
    </xf>
    <xf borderId="23" fillId="4" fontId="3" numFmtId="0" xfId="0" applyAlignment="1" applyBorder="1" applyFill="1" applyFont="1">
      <alignment horizontal="center" readingOrder="0" vertical="center"/>
    </xf>
    <xf borderId="17" fillId="6" fontId="3" numFmtId="0" xfId="0" applyAlignment="1" applyBorder="1" applyFill="1" applyFont="1">
      <alignment horizontal="center" vertical="center"/>
    </xf>
    <xf borderId="17" fillId="3" fontId="3" numFmtId="167" xfId="0" applyAlignment="1" applyBorder="1" applyFill="1" applyFont="1" applyNumberFormat="1">
      <alignment horizontal="center" readingOrder="0" vertical="center"/>
    </xf>
    <xf borderId="32" fillId="0" fontId="1" numFmtId="0" xfId="0" applyBorder="1" applyFont="1"/>
    <xf borderId="11" fillId="7" fontId="3" numFmtId="0" xfId="0" applyAlignment="1" applyBorder="1" applyFill="1" applyFont="1">
      <alignment horizontal="center" readingOrder="0" vertical="center"/>
    </xf>
    <xf borderId="23" fillId="3" fontId="3" numFmtId="165" xfId="0" applyAlignment="1" applyBorder="1" applyFill="1" applyFont="1" applyNumberFormat="1">
      <alignment horizontal="center" readingOrder="0" vertical="center"/>
    </xf>
    <xf borderId="23" fillId="4" fontId="3" numFmtId="165" xfId="0" applyAlignment="1" applyBorder="1" applyFill="1" applyFont="1" applyNumberFormat="1">
      <alignment horizontal="center" readingOrder="0" vertical="center"/>
    </xf>
    <xf borderId="23" fillId="2" fontId="3" numFmtId="0" xfId="0" applyAlignment="1" applyBorder="1" applyFill="1" applyFont="1">
      <alignment horizontal="center" readingOrder="0" vertical="center"/>
    </xf>
    <xf borderId="36" fillId="4" fontId="3" numFmtId="167" xfId="0" applyAlignment="1" applyBorder="1" applyFill="1" applyFont="1" applyNumberFormat="1">
      <alignment horizontal="center" vertical="center"/>
    </xf>
    <xf borderId="20" fillId="11" fontId="3" numFmtId="165" xfId="0" applyAlignment="1" applyBorder="1" applyFill="1" applyFont="1" applyNumberFormat="1">
      <alignment horizontal="center" readingOrder="0" vertical="center"/>
    </xf>
    <xf borderId="36" fillId="2" fontId="3" numFmtId="0" xfId="0" applyAlignment="1" applyBorder="1" applyFill="1" applyFont="1">
      <alignment horizontal="center" vertical="center"/>
    </xf>
    <xf borderId="17" fillId="4" fontId="3" numFmtId="167" xfId="0" applyAlignment="1" applyBorder="1" applyFill="1" applyFont="1" applyNumberFormat="1">
      <alignment horizontal="center" vertical="center"/>
    </xf>
    <xf borderId="30" fillId="11" fontId="3" numFmtId="165" xfId="0" applyAlignment="1" applyBorder="1" applyFill="1" applyFont="1" applyNumberFormat="1">
      <alignment horizontal="center" readingOrder="0" vertical="center"/>
    </xf>
    <xf borderId="36" fillId="2" fontId="3" numFmtId="0" xfId="0" applyAlignment="1" applyBorder="1" applyFill="1" applyFont="1">
      <alignment horizontal="center" readingOrder="0" vertical="center"/>
    </xf>
    <xf borderId="18" fillId="2" fontId="3" numFmtId="0" xfId="0" applyAlignment="1" applyBorder="1" applyFill="1" applyFont="1">
      <alignment horizontal="center" vertical="center"/>
    </xf>
    <xf borderId="40" fillId="0" fontId="1" numFmtId="0" xfId="0" applyBorder="1" applyFont="1"/>
    <xf borderId="20" fillId="13" fontId="3" numFmtId="0" xfId="0" applyAlignment="1" applyBorder="1" applyFill="1" applyFont="1">
      <alignment horizontal="center" vertical="center"/>
    </xf>
    <xf borderId="31" fillId="8" fontId="3" numFmtId="0" xfId="0" applyAlignment="1" applyBorder="1" applyFill="1" applyFont="1">
      <alignment horizontal="center" readingOrder="0" vertical="center"/>
    </xf>
    <xf borderId="38" fillId="9" fontId="3" numFmtId="0" xfId="0" applyAlignment="1" applyBorder="1" applyFill="1" applyFont="1">
      <alignment horizontal="center" readingOrder="0" vertical="center"/>
    </xf>
    <xf borderId="20" fillId="3" fontId="2" numFmtId="0" xfId="0" applyAlignment="1" applyBorder="1" applyFill="1" applyFont="1">
      <alignment horizontal="center" readingOrder="0" vertical="center"/>
    </xf>
    <xf borderId="20" fillId="3" fontId="3" numFmtId="0" xfId="0" applyAlignment="1" applyBorder="1" applyFill="1" applyFont="1">
      <alignment horizontal="center" readingOrder="0" vertical="center"/>
    </xf>
    <xf borderId="38" fillId="10" fontId="3" numFmtId="0" xfId="0" applyAlignment="1" applyBorder="1" applyFill="1" applyFont="1">
      <alignment horizontal="center" readingOrder="0" vertical="center"/>
    </xf>
    <xf borderId="32" fillId="11" fontId="3" numFmtId="165" xfId="0" applyAlignment="1" applyBorder="1" applyFill="1" applyFont="1" applyNumberFormat="1">
      <alignment horizontal="center" readingOrder="0" vertical="center"/>
    </xf>
    <xf borderId="35" fillId="11" fontId="3" numFmtId="165" xfId="0" applyAlignment="1" applyBorder="1" applyFill="1" applyFont="1" applyNumberFormat="1">
      <alignment horizontal="center" vertical="center"/>
    </xf>
    <xf borderId="18" fillId="11" fontId="3" numFmtId="165" xfId="0" applyAlignment="1" applyBorder="1" applyFill="1" applyFont="1" applyNumberFormat="1">
      <alignment horizontal="center" vertical="center"/>
    </xf>
    <xf borderId="41" fillId="11" fontId="3" numFmtId="165" xfId="0" applyAlignment="1" applyBorder="1" applyFill="1" applyFont="1" applyNumberFormat="1">
      <alignment horizontal="center" vertical="center"/>
    </xf>
    <xf borderId="20" fillId="4" fontId="2" numFmtId="0" xfId="0" applyAlignment="1" applyBorder="1" applyFill="1" applyFont="1">
      <alignment horizontal="center" readingOrder="0" vertical="center"/>
    </xf>
    <xf borderId="42" fillId="11" fontId="3" numFmtId="165" xfId="0" applyAlignment="1" applyBorder="1" applyFill="1" applyFont="1" applyNumberFormat="1">
      <alignment horizontal="center" vertical="center"/>
    </xf>
    <xf borderId="43" fillId="0" fontId="1" numFmtId="0" xfId="0" applyBorder="1" applyFont="1"/>
    <xf borderId="20" fillId="4" fontId="3" numFmtId="0" xfId="0" applyAlignment="1" applyBorder="1" applyFill="1" applyFont="1">
      <alignment horizontal="center" readingOrder="0" vertical="center"/>
    </xf>
    <xf borderId="44" fillId="0" fontId="1" numFmtId="0" xfId="0" applyBorder="1" applyFont="1"/>
    <xf borderId="45" fillId="2" fontId="3" numFmtId="0" xfId="0" applyAlignment="1" applyBorder="1" applyFill="1" applyFont="1">
      <alignment horizontal="center" vertical="center"/>
    </xf>
    <xf borderId="20" fillId="2" fontId="3" numFmtId="0" xfId="0" applyAlignment="1" applyBorder="1" applyFill="1" applyFont="1">
      <alignment horizontal="center" vertical="center"/>
    </xf>
    <xf borderId="45" fillId="3" fontId="2" numFmtId="0" xfId="0" applyAlignment="1" applyBorder="1" applyFill="1" applyFont="1">
      <alignment horizontal="center" readingOrder="0" vertical="center"/>
    </xf>
    <xf borderId="20" fillId="3" fontId="3" numFmtId="165" xfId="0" applyAlignment="1" applyBorder="1" applyFill="1" applyFont="1" applyNumberFormat="1">
      <alignment horizontal="center" readingOrder="0" vertical="center"/>
    </xf>
    <xf borderId="46" fillId="3" fontId="3" numFmtId="0" xfId="0" applyAlignment="1" applyBorder="1" applyFill="1" applyFont="1">
      <alignment horizontal="center" readingOrder="0" vertical="center"/>
    </xf>
    <xf borderId="20" fillId="5" fontId="2" numFmtId="0" xfId="0" applyAlignment="1" applyBorder="1" applyFill="1" applyFont="1">
      <alignment horizontal="center" readingOrder="0" vertical="center"/>
    </xf>
    <xf borderId="47" fillId="5" fontId="2" numFmtId="0" xfId="0" applyAlignment="1" applyBorder="1" applyFill="1" applyFont="1">
      <alignment horizontal="center" readingOrder="0" vertical="center"/>
    </xf>
    <xf borderId="47" fillId="4" fontId="2" numFmtId="0" xfId="0" applyAlignment="1" applyBorder="1" applyFill="1" applyFont="1">
      <alignment horizontal="center" readingOrder="0" vertical="center"/>
    </xf>
    <xf borderId="45" fillId="4" fontId="3" numFmtId="0" xfId="0" applyAlignment="1" applyBorder="1" applyFill="1" applyFont="1">
      <alignment horizontal="center" readingOrder="0" vertical="center"/>
    </xf>
    <xf borderId="46" fillId="6" fontId="2" numFmtId="0" xfId="0" applyAlignment="1" applyBorder="1" applyFill="1" applyFont="1">
      <alignment horizontal="center" readingOrder="0" vertical="center"/>
    </xf>
    <xf borderId="47" fillId="6" fontId="2" numFmtId="0" xfId="0" applyAlignment="1" applyBorder="1" applyFill="1" applyFont="1">
      <alignment horizontal="center" readingOrder="0" vertical="center"/>
    </xf>
    <xf borderId="45" fillId="0" fontId="1" numFmtId="0" xfId="0" applyBorder="1" applyFont="1"/>
    <xf borderId="20" fillId="4" fontId="3" numFmtId="165" xfId="0" applyAlignment="1" applyBorder="1" applyFill="1" applyFont="1" applyNumberFormat="1">
      <alignment horizontal="center" readingOrder="0" vertical="center"/>
    </xf>
    <xf borderId="20" fillId="2" fontId="3" numFmtId="0" xfId="0" applyAlignment="1" applyBorder="1" applyFill="1" applyFont="1">
      <alignment horizontal="center" readingOrder="0" vertical="center"/>
    </xf>
    <xf borderId="20" fillId="5" fontId="3" numFmtId="0" xfId="0" applyAlignment="1" applyBorder="1" applyFill="1" applyFont="1">
      <alignment horizontal="center" readingOrder="0" vertical="center"/>
    </xf>
    <xf borderId="48" fillId="0" fontId="1" numFmtId="0" xfId="0" applyBorder="1" applyFont="1"/>
    <xf borderId="49" fillId="0" fontId="1" numFmtId="0" xfId="0" applyBorder="1" applyFont="1"/>
    <xf borderId="20" fillId="6" fontId="2" numFmtId="0" xfId="0" applyAlignment="1" applyBorder="1" applyFill="1" applyFont="1">
      <alignment horizontal="center" vertical="center"/>
    </xf>
    <xf borderId="20" fillId="6" fontId="3" numFmtId="0" xfId="0" applyAlignment="1" applyBorder="1" applyFill="1" applyFont="1">
      <alignment horizontal="center" vertical="center"/>
    </xf>
    <xf borderId="50" fillId="0" fontId="1" numFmtId="0" xfId="0" applyBorder="1" applyFont="1"/>
    <xf borderId="20" fillId="11" fontId="3" numFmtId="165" xfId="0" applyAlignment="1" applyBorder="1" applyFill="1" applyFont="1" applyNumberFormat="1">
      <alignment horizontal="center" vertical="center"/>
    </xf>
    <xf borderId="30" fillId="11" fontId="3" numFmtId="165" xfId="0" applyAlignment="1" applyBorder="1" applyFill="1" applyFont="1" applyNumberFormat="1">
      <alignment horizontal="center" vertical="center"/>
    </xf>
    <xf borderId="34" fillId="2" fontId="3" numFmtId="0" xfId="0" applyAlignment="1" applyBorder="1" applyFill="1" applyFont="1">
      <alignment horizontal="center" readingOrder="0" vertical="center"/>
    </xf>
    <xf borderId="17" fillId="2" fontId="3" numFmtId="0" xfId="0" applyAlignment="1" applyBorder="1" applyFill="1" applyFont="1">
      <alignment horizontal="center" readingOrder="0" vertical="center"/>
    </xf>
    <xf borderId="35" fillId="2" fontId="3" numFmtId="0" xfId="0" applyAlignment="1" applyBorder="1" applyFill="1" applyFont="1">
      <alignment horizontal="center" vertical="center"/>
    </xf>
    <xf borderId="35" fillId="3" fontId="2" numFmtId="0" xfId="0" applyAlignment="1" applyBorder="1" applyFill="1" applyFont="1">
      <alignment horizontal="center" readingOrder="0" vertical="center"/>
    </xf>
    <xf borderId="35" fillId="3" fontId="3" numFmtId="0" xfId="0" applyAlignment="1" applyBorder="1" applyFill="1" applyFont="1">
      <alignment horizontal="center" readingOrder="0" vertical="center"/>
    </xf>
    <xf borderId="0" fillId="9" fontId="3" numFmtId="0" xfId="0" applyAlignment="1" applyFill="1" applyFont="1">
      <alignment horizontal="center" readingOrder="0" vertical="center"/>
    </xf>
    <xf borderId="38" fillId="5" fontId="2" numFmtId="0" xfId="0" applyAlignment="1" applyBorder="1" applyFill="1" applyFont="1">
      <alignment horizontal="center" readingOrder="0" vertical="center"/>
    </xf>
    <xf borderId="35" fillId="4" fontId="3" numFmtId="0" xfId="0" applyAlignment="1" applyBorder="1" applyFill="1" applyFont="1">
      <alignment horizontal="center" readingOrder="0" vertical="center"/>
    </xf>
    <xf borderId="19" fillId="11" fontId="3" numFmtId="165" xfId="0" applyAlignment="1" applyBorder="1" applyFill="1" applyFont="1" applyNumberFormat="1">
      <alignment horizontal="center" vertical="center"/>
    </xf>
    <xf borderId="45" fillId="3" fontId="3" numFmtId="167" xfId="0" applyAlignment="1" applyBorder="1" applyFill="1" applyFont="1" applyNumberFormat="1">
      <alignment horizontal="center" vertical="center"/>
    </xf>
    <xf borderId="38" fillId="6" fontId="2" numFmtId="0" xfId="0" applyAlignment="1" applyBorder="1" applyFill="1" applyFont="1">
      <alignment horizontal="center" readingOrder="0" vertical="center"/>
    </xf>
    <xf borderId="45" fillId="13" fontId="3" numFmtId="0" xfId="0" applyAlignment="1" applyBorder="1" applyFill="1" applyFont="1">
      <alignment horizontal="center" vertical="center"/>
    </xf>
    <xf borderId="50" fillId="3" fontId="2" numFmtId="0" xfId="0" applyAlignment="1" applyBorder="1" applyFill="1" applyFont="1">
      <alignment horizontal="center" readingOrder="0" vertical="center"/>
    </xf>
    <xf borderId="51" fillId="7" fontId="3" numFmtId="0" xfId="0" applyAlignment="1" applyBorder="1" applyFill="1" applyFont="1">
      <alignment horizontal="center" readingOrder="0" vertical="center"/>
    </xf>
    <xf borderId="45" fillId="3" fontId="3" numFmtId="0" xfId="0" applyAlignment="1" applyBorder="1" applyFill="1" applyFont="1">
      <alignment horizontal="center" readingOrder="0" vertical="center"/>
    </xf>
    <xf borderId="45" fillId="5" fontId="2" numFmtId="0" xfId="0" applyAlignment="1" applyBorder="1" applyFill="1" applyFont="1">
      <alignment horizontal="center" readingOrder="0" vertical="center"/>
    </xf>
    <xf borderId="45" fillId="5" fontId="3" numFmtId="0" xfId="0" applyAlignment="1" applyBorder="1" applyFill="1" applyFont="1">
      <alignment horizontal="center" readingOrder="0" vertical="center"/>
    </xf>
    <xf borderId="50" fillId="4" fontId="2" numFmtId="0" xfId="0" applyAlignment="1" applyBorder="1" applyFill="1" applyFont="1">
      <alignment horizontal="center" vertical="center"/>
    </xf>
    <xf borderId="45" fillId="4" fontId="3" numFmtId="0" xfId="0" applyAlignment="1" applyBorder="1" applyFill="1" applyFont="1">
      <alignment horizontal="center" vertical="center"/>
    </xf>
    <xf borderId="45" fillId="6" fontId="2" numFmtId="0" xfId="0" applyAlignment="1" applyBorder="1" applyFill="1" applyFont="1">
      <alignment horizontal="center" vertical="center"/>
    </xf>
    <xf borderId="45" fillId="6" fontId="3" numFmtId="0" xfId="0" applyAlignment="1" applyBorder="1" applyFill="1" applyFont="1">
      <alignment horizontal="center" vertical="center"/>
    </xf>
    <xf borderId="51" fillId="7" fontId="3" numFmtId="164" xfId="0" applyAlignment="1" applyBorder="1" applyFill="1" applyFont="1" applyNumberFormat="1">
      <alignment horizontal="center" vertical="center"/>
    </xf>
    <xf borderId="51" fillId="7" fontId="3" numFmtId="165" xfId="0" applyAlignment="1" applyBorder="1" applyFill="1" applyFont="1" applyNumberFormat="1">
      <alignment horizontal="center" readingOrder="0" vertical="center"/>
    </xf>
    <xf borderId="45" fillId="4" fontId="3" numFmtId="167" xfId="0" applyAlignment="1" applyBorder="1" applyFill="1" applyFont="1" applyNumberFormat="1">
      <alignment horizontal="center" vertical="center"/>
    </xf>
    <xf borderId="35" fillId="3" fontId="3" numFmtId="165" xfId="0" applyAlignment="1" applyBorder="1" applyFill="1" applyFont="1" applyNumberFormat="1">
      <alignment horizontal="center" readingOrder="0" vertical="center"/>
    </xf>
    <xf borderId="52" fillId="11" fontId="3" numFmtId="165" xfId="0" applyAlignment="1" applyBorder="1" applyFill="1" applyFont="1" applyNumberFormat="1">
      <alignment horizontal="center" readingOrder="0" vertical="center"/>
    </xf>
    <xf borderId="35" fillId="4" fontId="3" numFmtId="165" xfId="0" applyAlignment="1" applyBorder="1" applyFill="1" applyFont="1" applyNumberFormat="1">
      <alignment horizontal="center" readingOrder="0" vertical="center"/>
    </xf>
    <xf borderId="53" fillId="2" fontId="7" numFmtId="0" xfId="0" applyAlignment="1" applyBorder="1" applyFill="1" applyFont="1">
      <alignment horizontal="center" vertical="center"/>
    </xf>
    <xf borderId="35" fillId="2" fontId="3" numFmtId="0" xfId="0" applyAlignment="1" applyBorder="1" applyFill="1" applyFont="1">
      <alignment horizontal="center" readingOrder="0" vertical="center"/>
    </xf>
    <xf borderId="38" fillId="3" fontId="2" numFmtId="0" xfId="0" applyAlignment="1" applyBorder="1" applyFill="1" applyFont="1">
      <alignment horizontal="center" readingOrder="0" vertical="center"/>
    </xf>
    <xf borderId="51" fillId="2" fontId="3" numFmtId="0" xfId="0" applyAlignment="1" applyBorder="1" applyFill="1" applyFont="1">
      <alignment horizontal="center" readingOrder="0" vertical="center"/>
    </xf>
    <xf borderId="46" fillId="2" fontId="3" numFmtId="0" xfId="0" applyAlignment="1" applyBorder="1" applyFill="1" applyFont="1">
      <alignment horizontal="center" readingOrder="0" vertical="center"/>
    </xf>
    <xf borderId="35" fillId="5" fontId="3" numFmtId="0" xfId="0" applyAlignment="1" applyBorder="1" applyFill="1" applyFont="1">
      <alignment horizontal="center" readingOrder="0" vertical="center"/>
    </xf>
    <xf borderId="38" fillId="4" fontId="2" numFmtId="0" xfId="0" applyAlignment="1" applyBorder="1" applyFill="1" applyFont="1">
      <alignment horizontal="center" vertical="center"/>
    </xf>
    <xf borderId="35" fillId="6" fontId="2" numFmtId="0" xfId="0" applyAlignment="1" applyBorder="1" applyFill="1" applyFont="1">
      <alignment horizontal="center" vertical="center"/>
    </xf>
    <xf borderId="35" fillId="6" fontId="3" numFmtId="0" xfId="0" applyAlignment="1" applyBorder="1" applyFill="1" applyFont="1">
      <alignment horizontal="center" vertical="center"/>
    </xf>
    <xf borderId="51" fillId="11" fontId="3" numFmtId="165" xfId="0" applyAlignment="1" applyBorder="1" applyFill="1" applyFont="1" applyNumberFormat="1">
      <alignment horizontal="center" readingOrder="0" vertical="center"/>
    </xf>
    <xf borderId="47" fillId="11" fontId="3" numFmtId="165" xfId="0" applyAlignment="1" applyBorder="1" applyFill="1" applyFont="1" applyNumberFormat="1">
      <alignment horizontal="center" readingOrder="0" vertical="center"/>
    </xf>
    <xf borderId="47" fillId="13" fontId="3" numFmtId="0" xfId="0" applyAlignment="1" applyBorder="1" applyFill="1" applyFont="1">
      <alignment horizontal="center" vertical="center"/>
    </xf>
    <xf borderId="54" fillId="11" fontId="3" numFmtId="165" xfId="0" applyAlignment="1" applyBorder="1" applyFill="1" applyFont="1" applyNumberFormat="1">
      <alignment horizontal="center" readingOrder="0" vertical="center"/>
    </xf>
    <xf borderId="47" fillId="3" fontId="2" numFmtId="0" xfId="0" applyAlignment="1" applyBorder="1" applyFill="1" applyFont="1">
      <alignment horizontal="center" readingOrder="0" vertical="center"/>
    </xf>
    <xf borderId="47" fillId="3" fontId="3" numFmtId="0" xfId="0" applyAlignment="1" applyBorder="1" applyFill="1" applyFont="1">
      <alignment horizontal="center" readingOrder="0" vertical="center"/>
    </xf>
    <xf borderId="47" fillId="4" fontId="3" numFmtId="0" xfId="0" applyAlignment="1" applyBorder="1" applyFill="1" applyFont="1">
      <alignment horizontal="center" readingOrder="0" vertical="center"/>
    </xf>
    <xf borderId="47" fillId="3" fontId="3" numFmtId="165" xfId="0" applyAlignment="1" applyBorder="1" applyFill="1" applyFont="1" applyNumberFormat="1">
      <alignment horizontal="center" readingOrder="0" vertical="center"/>
    </xf>
    <xf borderId="47" fillId="4" fontId="3" numFmtId="165" xfId="0" applyAlignment="1" applyBorder="1" applyFill="1" applyFont="1" applyNumberFormat="1">
      <alignment horizontal="center" readingOrder="0" vertical="center"/>
    </xf>
    <xf borderId="47" fillId="2" fontId="3" numFmtId="0" xfId="0" applyAlignment="1" applyBorder="1" applyFill="1" applyFont="1">
      <alignment horizontal="center" readingOrder="0" vertical="center"/>
    </xf>
    <xf borderId="34" fillId="2" fontId="8" numFmtId="0" xfId="0" applyAlignment="1" applyBorder="1" applyFill="1" applyFont="1">
      <alignment horizontal="center" vertical="center"/>
    </xf>
    <xf borderId="36" fillId="12" fontId="3" numFmtId="0" xfId="0" applyAlignment="1" applyBorder="1" applyFill="1" applyFont="1">
      <alignment horizontal="center" vertical="center"/>
    </xf>
    <xf borderId="36" fillId="5" fontId="2" numFmtId="0" xfId="0" applyAlignment="1" applyBorder="1" applyFill="1" applyFont="1">
      <alignment horizontal="center" readingOrder="0" vertical="center"/>
    </xf>
    <xf borderId="36" fillId="5" fontId="3" numFmtId="0" xfId="0" applyAlignment="1" applyBorder="1" applyFill="1" applyFont="1">
      <alignment horizontal="center" readingOrder="0" vertical="center"/>
    </xf>
    <xf borderId="35" fillId="4" fontId="2" numFmtId="0" xfId="0" applyAlignment="1" applyBorder="1" applyFill="1" applyFont="1">
      <alignment horizontal="center" vertical="center"/>
    </xf>
    <xf borderId="36" fillId="4" fontId="3" numFmtId="0" xfId="0" applyAlignment="1" applyBorder="1" applyFill="1" applyFont="1">
      <alignment horizontal="center" vertical="center"/>
    </xf>
    <xf borderId="36" fillId="6" fontId="2" numFmtId="0" xfId="0" applyAlignment="1" applyBorder="1" applyFill="1" applyFont="1">
      <alignment horizontal="center" vertical="center"/>
    </xf>
    <xf borderId="36" fillId="6" fontId="3" numFmtId="0" xfId="0" applyAlignment="1" applyBorder="1" applyFill="1" applyFont="1">
      <alignment horizontal="center" vertical="center"/>
    </xf>
    <xf borderId="55" fillId="11" fontId="3" numFmtId="165" xfId="0" applyAlignment="1" applyBorder="1" applyFill="1" applyFont="1" applyNumberFormat="1">
      <alignment horizontal="center" vertical="center"/>
    </xf>
    <xf borderId="38" fillId="8" fontId="3" numFmtId="0" xfId="0" applyAlignment="1" applyBorder="1" applyFill="1" applyFont="1">
      <alignment horizontal="center" vertical="center"/>
    </xf>
    <xf borderId="39" fillId="9" fontId="3" numFmtId="0" xfId="0" applyAlignment="1" applyBorder="1" applyFill="1" applyFont="1">
      <alignment horizontal="center" vertical="center"/>
    </xf>
    <xf borderId="53" fillId="2" fontId="3" numFmtId="0" xfId="0" applyAlignment="1" applyBorder="1" applyFill="1" applyFont="1">
      <alignment horizontal="center" vertical="center"/>
    </xf>
    <xf borderId="47" fillId="11" fontId="3" numFmtId="165" xfId="0" applyAlignment="1" applyBorder="1" applyFill="1" applyFont="1" applyNumberFormat="1">
      <alignment horizontal="center" vertical="center"/>
    </xf>
    <xf borderId="54" fillId="11" fontId="3" numFmtId="165" xfId="0" applyAlignment="1" applyBorder="1" applyFill="1" applyFont="1" applyNumberFormat="1">
      <alignment horizontal="center" vertical="center"/>
    </xf>
    <xf borderId="51" fillId="7" fontId="3" numFmtId="164" xfId="0" applyAlignment="1" applyBorder="1" applyFill="1" applyFont="1" applyNumberFormat="1">
      <alignment horizontal="center" readingOrder="0" vertical="center"/>
    </xf>
    <xf borderId="47" fillId="2" fontId="3" numFmtId="0" xfId="0" applyAlignment="1" applyBorder="1" applyFill="1" applyFont="1">
      <alignment horizontal="center" vertical="center"/>
    </xf>
    <xf borderId="36" fillId="3" fontId="2" numFmtId="0" xfId="0" applyAlignment="1" applyBorder="1" applyFill="1" applyFont="1">
      <alignment horizontal="center" vertical="center"/>
    </xf>
    <xf borderId="39" fillId="5" fontId="2" numFmtId="0" xfId="0" applyAlignment="1" applyBorder="1" applyFill="1" applyFont="1">
      <alignment horizontal="center" vertical="center"/>
    </xf>
    <xf borderId="36" fillId="4" fontId="2" numFmtId="0" xfId="0" applyAlignment="1" applyBorder="1" applyFill="1" applyFont="1">
      <alignment horizontal="center" readingOrder="0" vertical="center"/>
    </xf>
    <xf borderId="39" fillId="6" fontId="2" numFmtId="0" xfId="0" applyAlignment="1" applyBorder="1" applyFill="1" applyFont="1">
      <alignment horizontal="center" vertical="center"/>
    </xf>
    <xf borderId="37" fillId="7" fontId="3" numFmtId="0" xfId="0" applyAlignment="1" applyBorder="1" applyFill="1" applyFont="1">
      <alignment horizontal="center" vertical="center"/>
    </xf>
    <xf borderId="37" fillId="7" fontId="3" numFmtId="164" xfId="0" applyAlignment="1" applyBorder="1" applyFill="1" applyFont="1" applyNumberFormat="1">
      <alignment horizontal="center" vertical="center"/>
    </xf>
    <xf borderId="37" fillId="7" fontId="3" numFmtId="165" xfId="0" applyAlignment="1" applyBorder="1" applyFill="1" applyFont="1" applyNumberFormat="1">
      <alignment horizontal="center" vertical="center"/>
    </xf>
    <xf borderId="36" fillId="3" fontId="3" numFmtId="165" xfId="0" applyAlignment="1" applyBorder="1" applyFill="1" applyFont="1" applyNumberFormat="1">
      <alignment horizontal="center" vertical="center"/>
    </xf>
    <xf borderId="36" fillId="4" fontId="3" numFmtId="165" xfId="0" applyAlignment="1" applyBorder="1" applyFill="1" applyFont="1" applyNumberFormat="1">
      <alignment horizontal="center" vertical="center"/>
    </xf>
    <xf borderId="37" fillId="2" fontId="3" numFmtId="0" xfId="0" applyAlignment="1" applyBorder="1" applyFill="1" applyFont="1">
      <alignment horizontal="center" vertical="center"/>
    </xf>
    <xf borderId="45" fillId="3" fontId="2" numFmtId="0" xfId="0" applyAlignment="1" applyBorder="1" applyFill="1" applyFont="1">
      <alignment horizontal="center" vertical="center"/>
    </xf>
    <xf borderId="45" fillId="4" fontId="2" numFmtId="0" xfId="0" applyAlignment="1" applyBorder="1" applyFill="1" applyFont="1">
      <alignment horizontal="center" readingOrder="0" vertical="center"/>
    </xf>
    <xf borderId="45" fillId="4" fontId="3" numFmtId="0" xfId="0" applyAlignment="1" applyBorder="1" applyFill="1" applyFont="1">
      <alignment horizontal="center" vertical="center"/>
    </xf>
    <xf borderId="45" fillId="3" fontId="3" numFmtId="165" xfId="0" applyAlignment="1" applyBorder="1" applyFill="1" applyFont="1" applyNumberFormat="1">
      <alignment horizontal="center" vertical="center"/>
    </xf>
    <xf borderId="45" fillId="4" fontId="3" numFmtId="165" xfId="0" applyAlignment="1" applyBorder="1" applyFill="1" applyFont="1" applyNumberFormat="1">
      <alignment horizontal="center" vertical="center"/>
    </xf>
    <xf borderId="0" fillId="8" fontId="3" numFmtId="0" xfId="0" applyAlignment="1" applyFill="1" applyFont="1">
      <alignment horizontal="center" vertical="center"/>
    </xf>
    <xf borderId="31" fillId="8" fontId="3" numFmtId="0" xfId="0" applyAlignment="1" applyBorder="1" applyFill="1" applyFont="1">
      <alignment horizontal="center" vertical="center"/>
    </xf>
    <xf borderId="0" fillId="9" fontId="3" numFmtId="0" xfId="0" applyAlignment="1" applyFill="1" applyFont="1">
      <alignment horizontal="center" vertical="center"/>
    </xf>
    <xf borderId="0" fillId="10" fontId="3" numFmtId="0" xfId="0" applyAlignment="1" applyFill="1" applyFont="1">
      <alignment horizontal="center" vertical="center"/>
    </xf>
    <xf borderId="36" fillId="3" fontId="3" numFmtId="167" xfId="0" applyAlignment="1" applyBorder="1" applyFill="1" applyFont="1" applyNumberFormat="1">
      <alignment horizontal="center" vertical="center"/>
    </xf>
    <xf borderId="56" fillId="2" fontId="3" numFmtId="0" xfId="0" applyAlignment="1" applyBorder="1" applyFill="1" applyFont="1">
      <alignment horizontal="center" readingOrder="0" vertical="center"/>
    </xf>
    <xf borderId="57" fillId="0" fontId="1" numFmtId="0" xfId="0" applyBorder="1" applyFont="1"/>
    <xf borderId="58" fillId="0" fontId="1" numFmtId="0" xfId="0" applyBorder="1" applyFont="1"/>
    <xf borderId="59" fillId="2" fontId="3" numFmtId="0" xfId="0" applyAlignment="1" applyBorder="1" applyFill="1" applyFont="1">
      <alignment horizontal="center" readingOrder="0" vertical="center"/>
    </xf>
    <xf borderId="60" fillId="0" fontId="1" numFmtId="0" xfId="0" applyBorder="1" applyFont="1"/>
    <xf borderId="61" fillId="2" fontId="9" numFmtId="0" xfId="0" applyAlignment="1" applyBorder="1" applyFill="1" applyFont="1">
      <alignment horizontal="center" readingOrder="0" vertical="center"/>
    </xf>
    <xf borderId="62" fillId="2" fontId="3" numFmtId="0" xfId="0" applyAlignment="1" applyBorder="1" applyFill="1" applyFont="1">
      <alignment horizontal="center" vertical="center"/>
    </xf>
    <xf borderId="62" fillId="3" fontId="2" numFmtId="0" xfId="0" applyAlignment="1" applyBorder="1" applyFill="1" applyFont="1">
      <alignment horizontal="center" readingOrder="0" vertical="center"/>
    </xf>
    <xf borderId="62" fillId="3" fontId="3" numFmtId="0" xfId="0" applyAlignment="1" applyBorder="1" applyFill="1" applyFont="1">
      <alignment horizontal="center" readingOrder="0" vertical="center"/>
    </xf>
    <xf borderId="63" fillId="5" fontId="2" numFmtId="0" xfId="0" applyAlignment="1" applyBorder="1" applyFill="1" applyFont="1">
      <alignment horizontal="center" readingOrder="0" vertical="center"/>
    </xf>
    <xf borderId="62" fillId="4" fontId="2" numFmtId="0" xfId="0" applyAlignment="1" applyBorder="1" applyFill="1" applyFont="1">
      <alignment horizontal="center" readingOrder="0" vertical="center"/>
    </xf>
    <xf borderId="62" fillId="4" fontId="3" numFmtId="0" xfId="0" applyAlignment="1" applyBorder="1" applyFill="1" applyFont="1">
      <alignment horizontal="center" readingOrder="0" vertical="center"/>
    </xf>
    <xf borderId="63" fillId="6" fontId="2" numFmtId="0" xfId="0" applyAlignment="1" applyBorder="1" applyFill="1" applyFont="1">
      <alignment horizontal="center" readingOrder="0" vertical="center"/>
    </xf>
    <xf borderId="62" fillId="7" fontId="3" numFmtId="0" xfId="0" applyAlignment="1" applyBorder="1" applyFill="1" applyFont="1">
      <alignment horizontal="center" readingOrder="0" vertical="center"/>
    </xf>
    <xf borderId="62" fillId="7" fontId="3" numFmtId="164" xfId="0" applyAlignment="1" applyBorder="1" applyFill="1" applyFont="1" applyNumberFormat="1">
      <alignment horizontal="center" vertical="center"/>
    </xf>
    <xf borderId="62" fillId="7" fontId="3" numFmtId="165" xfId="0" applyAlignment="1" applyBorder="1" applyFill="1" applyFont="1" applyNumberFormat="1">
      <alignment horizontal="center" readingOrder="0" vertical="center"/>
    </xf>
    <xf borderId="62" fillId="3" fontId="3" numFmtId="165" xfId="0" applyAlignment="1" applyBorder="1" applyFill="1" applyFont="1" applyNumberFormat="1">
      <alignment horizontal="center" readingOrder="0" vertical="center"/>
    </xf>
    <xf borderId="62" fillId="4" fontId="3" numFmtId="165" xfId="0" applyAlignment="1" applyBorder="1" applyFill="1" applyFont="1" applyNumberFormat="1">
      <alignment horizontal="center" readingOrder="0" vertical="center"/>
    </xf>
    <xf borderId="62" fillId="2" fontId="3" numFmtId="0" xfId="0" applyAlignment="1" applyBorder="1" applyFill="1" applyFont="1">
      <alignment horizontal="center" readingOrder="0" vertical="center"/>
    </xf>
    <xf borderId="63" fillId="8" fontId="3" numFmtId="0" xfId="0" applyAlignment="1" applyBorder="1" applyFill="1" applyFont="1">
      <alignment horizontal="center" readingOrder="0" vertical="center"/>
    </xf>
    <xf borderId="62" fillId="11" fontId="3" numFmtId="165" xfId="0" applyAlignment="1" applyBorder="1" applyFill="1" applyFont="1" applyNumberFormat="1">
      <alignment horizontal="center" readingOrder="0" vertical="center"/>
    </xf>
    <xf borderId="11" fillId="13" fontId="3" numFmtId="0" xfId="0" applyAlignment="1" applyBorder="1" applyFill="1" applyFont="1">
      <alignment horizontal="center" vertical="center"/>
    </xf>
    <xf borderId="62" fillId="11" fontId="3" numFmtId="165" xfId="0" applyAlignment="1" applyBorder="1" applyFill="1" applyFont="1" applyNumberFormat="1">
      <alignment horizontal="center" vertical="center"/>
    </xf>
    <xf borderId="32" fillId="3" fontId="2" numFmtId="0" xfId="0" applyAlignment="1" applyBorder="1" applyFill="1" applyFont="1">
      <alignment horizontal="center" readingOrder="0" vertical="center"/>
    </xf>
    <xf borderId="64" fillId="11" fontId="3" numFmtId="165" xfId="0" applyAlignment="1" applyBorder="1" applyFill="1" applyFont="1" applyNumberFormat="1">
      <alignment horizontal="center" vertical="center"/>
    </xf>
    <xf borderId="11" fillId="3" fontId="3" numFmtId="0" xfId="0" applyAlignment="1" applyBorder="1" applyFill="1" applyFont="1">
      <alignment horizontal="center" readingOrder="0" vertical="center"/>
    </xf>
    <xf borderId="11" fillId="5" fontId="2" numFmtId="0" xfId="0" applyAlignment="1" applyBorder="1" applyFill="1" applyFont="1">
      <alignment horizontal="center" readingOrder="0" vertical="center"/>
    </xf>
    <xf borderId="11" fillId="5" fontId="3" numFmtId="0" xfId="0" applyAlignment="1" applyBorder="1" applyFill="1" applyFont="1">
      <alignment horizontal="center" readingOrder="0" vertical="center"/>
    </xf>
    <xf borderId="32" fillId="4" fontId="2" numFmtId="0" xfId="0" applyAlignment="1" applyBorder="1" applyFill="1" applyFont="1">
      <alignment horizontal="center" vertical="center"/>
    </xf>
    <xf borderId="11" fillId="4" fontId="3" numFmtId="0" xfId="0" applyAlignment="1" applyBorder="1" applyFill="1" applyFont="1">
      <alignment horizontal="center" vertical="center"/>
    </xf>
    <xf borderId="11" fillId="6" fontId="2" numFmtId="0" xfId="0" applyAlignment="1" applyBorder="1" applyFill="1" applyFont="1">
      <alignment horizontal="center" vertical="center"/>
    </xf>
    <xf borderId="11" fillId="6" fontId="3" numFmtId="0" xfId="0" applyAlignment="1" applyBorder="1" applyFill="1" applyFont="1">
      <alignment horizontal="center" vertical="center"/>
    </xf>
    <xf borderId="23" fillId="11" fontId="3" numFmtId="165" xfId="0" applyAlignment="1" applyBorder="1" applyFill="1" applyFont="1" applyNumberFormat="1">
      <alignment horizontal="center" readingOrder="0" vertical="center"/>
    </xf>
    <xf borderId="24" fillId="11" fontId="3" numFmtId="165" xfId="0" applyAlignment="1" applyBorder="1" applyFill="1" applyFont="1" applyNumberFormat="1">
      <alignment horizontal="center" readingOrder="0" vertical="center"/>
    </xf>
    <xf borderId="35" fillId="11" fontId="3" numFmtId="165" xfId="0" applyAlignment="1" applyBorder="1" applyFill="1" applyFont="1" applyNumberFormat="1">
      <alignment horizontal="center" readingOrder="0" vertical="center"/>
    </xf>
    <xf borderId="55" fillId="11" fontId="3" numFmtId="165" xfId="0" applyAlignment="1" applyBorder="1" applyFill="1" applyFont="1" applyNumberFormat="1">
      <alignment horizontal="center" readingOrder="0" vertical="center"/>
    </xf>
    <xf borderId="35" fillId="4" fontId="3" numFmtId="0" xfId="0" applyAlignment="1" applyBorder="1" applyFill="1" applyFont="1">
      <alignment horizontal="center" vertical="center"/>
    </xf>
    <xf borderId="47" fillId="5" fontId="3" numFmtId="0" xfId="0" applyAlignment="1" applyBorder="1" applyFill="1" applyFont="1">
      <alignment horizontal="center" readingOrder="0" vertical="center"/>
    </xf>
    <xf borderId="47" fillId="6" fontId="2" numFmtId="0" xfId="0" applyAlignment="1" applyBorder="1" applyFill="1" applyFont="1">
      <alignment horizontal="center" vertical="center"/>
    </xf>
    <xf borderId="47" fillId="6" fontId="3" numFmtId="0" xfId="0" applyAlignment="1" applyBorder="1" applyFill="1" applyFont="1">
      <alignment horizontal="center" vertical="center"/>
    </xf>
    <xf borderId="20" fillId="7" fontId="3" numFmtId="0" xfId="0" applyAlignment="1" applyBorder="1" applyFill="1" applyFont="1">
      <alignment horizontal="center" readingOrder="0" vertical="center"/>
    </xf>
    <xf borderId="51" fillId="7" fontId="3" numFmtId="166" xfId="0" applyAlignment="1" applyBorder="1" applyFill="1" applyFont="1" applyNumberFormat="1">
      <alignment horizontal="center" vertical="center"/>
    </xf>
    <xf borderId="51" fillId="7" fontId="3" numFmtId="167" xfId="0" applyAlignment="1" applyBorder="1" applyFill="1" applyFont="1" applyNumberFormat="1">
      <alignment horizontal="center" vertical="center"/>
    </xf>
    <xf borderId="65" fillId="11" fontId="3" numFmtId="165" xfId="0" applyAlignment="1" applyBorder="1" applyFill="1" applyFont="1" applyNumberFormat="1">
      <alignment horizontal="center" vertical="center"/>
    </xf>
    <xf borderId="66" fillId="2" fontId="3" numFmtId="0" xfId="0" applyAlignment="1" applyBorder="1" applyFill="1" applyFont="1">
      <alignment horizontal="center" readingOrder="0" vertical="center"/>
    </xf>
    <xf borderId="67" fillId="0" fontId="1" numFmtId="0" xfId="0" applyBorder="1" applyFont="1"/>
    <xf borderId="53" fillId="2" fontId="10" numFmtId="0" xfId="0" applyAlignment="1" applyBorder="1" applyFill="1" applyFont="1">
      <alignment horizontal="center" readingOrder="0" vertical="center"/>
    </xf>
    <xf borderId="35" fillId="3" fontId="3" numFmtId="167" xfId="0" applyAlignment="1" applyBorder="1" applyFill="1" applyFont="1" applyNumberFormat="1">
      <alignment horizontal="center" readingOrder="0" vertical="center"/>
    </xf>
    <xf borderId="68" fillId="2" fontId="3" numFmtId="0" xfId="0" applyAlignment="1" applyBorder="1" applyFill="1" applyFont="1">
      <alignment horizontal="center" readingOrder="0" vertical="center"/>
    </xf>
    <xf borderId="35" fillId="6" fontId="3" numFmtId="0" xfId="0" applyAlignment="1" applyBorder="1" applyFill="1" applyFont="1">
      <alignment horizontal="center" readingOrder="0" vertical="center"/>
    </xf>
    <xf borderId="41" fillId="11" fontId="3" numFmtId="165" xfId="0" applyAlignment="1" applyBorder="1" applyFill="1" applyFont="1" applyNumberFormat="1">
      <alignment horizontal="center" readingOrder="0" vertical="center"/>
    </xf>
    <xf borderId="51" fillId="7" fontId="3" numFmtId="166" xfId="0" applyAlignment="1" applyBorder="1" applyFill="1" applyFont="1" applyNumberFormat="1">
      <alignment horizontal="center" readingOrder="0" vertical="center"/>
    </xf>
    <xf borderId="69" fillId="0" fontId="1" numFmtId="0" xfId="0" applyBorder="1" applyFont="1"/>
    <xf borderId="51" fillId="7" fontId="3" numFmtId="167" xfId="0" applyAlignment="1" applyBorder="1" applyFill="1" applyFont="1" applyNumberFormat="1">
      <alignment horizontal="center" readingOrder="0" vertical="center"/>
    </xf>
    <xf borderId="70" fillId="2" fontId="3" numFmtId="0" xfId="0" applyAlignment="1" applyBorder="1" applyFill="1" applyFont="1">
      <alignment horizontal="center" readingOrder="0" vertical="center"/>
    </xf>
    <xf borderId="71" fillId="0" fontId="1" numFmtId="0" xfId="0" applyBorder="1" applyFont="1"/>
    <xf borderId="20" fillId="4" fontId="2" numFmtId="0" xfId="0" applyAlignment="1" applyBorder="1" applyFill="1" applyFont="1">
      <alignment horizontal="center" vertical="center"/>
    </xf>
    <xf borderId="20" fillId="4" fontId="3" numFmtId="0" xfId="0" applyAlignment="1" applyBorder="1" applyFill="1" applyFont="1">
      <alignment horizontal="center" vertical="center"/>
    </xf>
    <xf borderId="62" fillId="7" fontId="3" numFmtId="164" xfId="0" applyAlignment="1" applyBorder="1" applyFill="1" applyFont="1" applyNumberFormat="1">
      <alignment horizontal="center" readingOrder="0" vertical="center"/>
    </xf>
    <xf borderId="72" fillId="11" fontId="3" numFmtId="165" xfId="0" applyAlignment="1" applyBorder="1" applyFill="1" applyFont="1" applyNumberFormat="1">
      <alignment horizontal="center" vertical="center"/>
    </xf>
    <xf borderId="35" fillId="4" fontId="3" numFmtId="167" xfId="0" applyAlignment="1" applyBorder="1" applyFill="1" applyFont="1" applyNumberFormat="1">
      <alignment horizontal="center" vertical="center"/>
    </xf>
    <xf borderId="0" fillId="0" fontId="3" numFmtId="0" xfId="0" applyFont="1"/>
    <xf borderId="66" fillId="2" fontId="3" numFmtId="0" xfId="0" applyAlignment="1" applyBorder="1" applyFill="1" applyFont="1">
      <alignment horizontal="center" readingOrder="0"/>
    </xf>
    <xf borderId="23" fillId="5" fontId="2" numFmtId="0" xfId="0" applyAlignment="1" applyBorder="1" applyFill="1" applyFont="1">
      <alignment horizontal="center" readingOrder="0" vertical="center"/>
    </xf>
    <xf borderId="51" fillId="3" fontId="2" numFmtId="0" xfId="0" applyAlignment="1" applyBorder="1" applyFill="1" applyFont="1">
      <alignment horizontal="center" readingOrder="0"/>
    </xf>
    <xf borderId="51" fillId="3" fontId="3" numFmtId="0" xfId="0" applyAlignment="1" applyBorder="1" applyFill="1" applyFont="1">
      <alignment horizontal="center" readingOrder="0"/>
    </xf>
    <xf borderId="23" fillId="6" fontId="2" numFmtId="0" xfId="0" applyAlignment="1" applyBorder="1" applyFill="1" applyFont="1">
      <alignment horizontal="center" readingOrder="0" vertical="center"/>
    </xf>
    <xf borderId="20" fillId="6" fontId="2" numFmtId="0" xfId="0" applyAlignment="1" applyBorder="1" applyFill="1" applyFont="1">
      <alignment horizontal="center" readingOrder="0" vertical="center"/>
    </xf>
    <xf borderId="20" fillId="6" fontId="3" numFmtId="0" xfId="0" applyAlignment="1" applyBorder="1" applyFill="1" applyFont="1">
      <alignment horizontal="center" readingOrder="0" vertical="center"/>
    </xf>
    <xf borderId="38" fillId="5" fontId="2" numFmtId="0" xfId="0" applyAlignment="1" applyBorder="1" applyFill="1" applyFont="1">
      <alignment horizontal="center"/>
    </xf>
    <xf borderId="51" fillId="4" fontId="2" numFmtId="0" xfId="0" applyAlignment="1" applyBorder="1" applyFill="1" applyFont="1">
      <alignment horizontal="center"/>
    </xf>
    <xf borderId="23" fillId="3" fontId="3" numFmtId="167" xfId="0" applyAlignment="1" applyBorder="1" applyFill="1" applyFont="1" applyNumberFormat="1">
      <alignment horizontal="center" vertical="center"/>
    </xf>
    <xf borderId="51" fillId="4" fontId="3" numFmtId="0" xfId="0" applyAlignment="1" applyBorder="1" applyFill="1" applyFont="1">
      <alignment horizontal="center" readingOrder="0"/>
    </xf>
    <xf borderId="38" fillId="6" fontId="2" numFmtId="0" xfId="0" applyAlignment="1" applyBorder="1" applyFill="1" applyFont="1">
      <alignment horizontal="center"/>
    </xf>
    <xf borderId="51" fillId="7" fontId="3" numFmtId="0" xfId="0" applyAlignment="1" applyBorder="1" applyFill="1" applyFont="1">
      <alignment horizontal="center" readingOrder="0"/>
    </xf>
    <xf borderId="51" fillId="7" fontId="3" numFmtId="164" xfId="0" applyAlignment="1" applyBorder="1" applyFill="1" applyFont="1" applyNumberFormat="1">
      <alignment horizontal="center"/>
    </xf>
    <xf borderId="11" fillId="3" fontId="3" numFmtId="167" xfId="0" applyAlignment="1" applyBorder="1" applyFill="1" applyFont="1" applyNumberFormat="1">
      <alignment horizontal="center" vertical="center"/>
    </xf>
    <xf borderId="51" fillId="7" fontId="3" numFmtId="165" xfId="0" applyAlignment="1" applyBorder="1" applyFill="1" applyFont="1" applyNumberFormat="1">
      <alignment horizontal="center" readingOrder="0"/>
    </xf>
    <xf borderId="51" fillId="3" fontId="3" numFmtId="165" xfId="0" applyAlignment="1" applyBorder="1" applyFill="1" applyFont="1" applyNumberFormat="1">
      <alignment horizontal="center" readingOrder="0"/>
    </xf>
    <xf borderId="51" fillId="4" fontId="3" numFmtId="165" xfId="0" applyAlignment="1" applyBorder="1" applyFill="1" applyFont="1" applyNumberFormat="1">
      <alignment horizontal="center" readingOrder="0"/>
    </xf>
    <xf borderId="51" fillId="2" fontId="3" numFmtId="0" xfId="0" applyAlignment="1" applyBorder="1" applyFill="1" applyFont="1">
      <alignment horizontal="center"/>
    </xf>
    <xf borderId="38" fillId="8" fontId="3" numFmtId="0" xfId="0" applyAlignment="1" applyBorder="1" applyFill="1" applyFont="1">
      <alignment horizontal="center" readingOrder="0"/>
    </xf>
    <xf borderId="51" fillId="11" fontId="3" numFmtId="165" xfId="0" applyAlignment="1" applyBorder="1" applyFill="1" applyFont="1" applyNumberFormat="1">
      <alignment horizontal="center" readingOrder="0"/>
    </xf>
    <xf borderId="51" fillId="11" fontId="3" numFmtId="165" xfId="0" applyAlignment="1" applyBorder="1" applyFill="1" applyFont="1" applyNumberFormat="1">
      <alignment horizontal="center"/>
    </xf>
    <xf borderId="23" fillId="4" fontId="3" numFmtId="167" xfId="0" applyAlignment="1" applyBorder="1" applyFill="1" applyFont="1" applyNumberFormat="1">
      <alignment horizontal="center" vertical="center"/>
    </xf>
    <xf borderId="73" fillId="11" fontId="3" numFmtId="165" xfId="0" applyAlignment="1" applyBorder="1" applyFill="1" applyFont="1" applyNumberFormat="1">
      <alignment horizontal="center"/>
    </xf>
    <xf borderId="11" fillId="4" fontId="3" numFmtId="167" xfId="0" applyAlignment="1" applyBorder="1" applyFill="1" applyFont="1" applyNumberFormat="1">
      <alignment horizontal="center" vertical="center"/>
    </xf>
    <xf borderId="74" fillId="2" fontId="3" numFmtId="0" xfId="0" applyAlignment="1" applyBorder="1" applyFill="1" applyFont="1">
      <alignment horizontal="center" readingOrder="0" vertical="center"/>
    </xf>
    <xf borderId="75" fillId="3" fontId="2" numFmtId="0" xfId="0" applyAlignment="1" applyBorder="1" applyFill="1" applyFont="1">
      <alignment horizontal="center" readingOrder="0" vertical="center"/>
    </xf>
    <xf borderId="36" fillId="0" fontId="1" numFmtId="0" xfId="0" applyBorder="1" applyFont="1"/>
    <xf borderId="76" fillId="0" fontId="1" numFmtId="0" xfId="0" applyBorder="1" applyFont="1"/>
    <xf borderId="63" fillId="4" fontId="2" numFmtId="0" xfId="0" applyAlignment="1" applyBorder="1" applyFill="1" applyFont="1">
      <alignment horizontal="center" vertical="center"/>
    </xf>
    <xf borderId="71" fillId="7" fontId="3" numFmtId="166" xfId="0" applyAlignment="1" applyBorder="1" applyFill="1" applyFont="1" applyNumberFormat="1">
      <alignment horizontal="center" readingOrder="0" vertical="center"/>
    </xf>
    <xf borderId="71" fillId="7" fontId="3" numFmtId="167" xfId="0" applyAlignment="1" applyBorder="1" applyFill="1" applyFont="1" applyNumberFormat="1">
      <alignment horizontal="center" readingOrder="0" vertical="center"/>
    </xf>
    <xf borderId="68" fillId="13" fontId="11" numFmtId="0" xfId="0" applyAlignment="1" applyBorder="1" applyFill="1" applyFont="1">
      <alignment horizontal="center"/>
    </xf>
    <xf borderId="47" fillId="3" fontId="3" numFmtId="167" xfId="0" applyAlignment="1" applyBorder="1" applyFill="1" applyFont="1" applyNumberFormat="1">
      <alignment horizontal="center" vertical="center"/>
    </xf>
    <xf borderId="50" fillId="3" fontId="2" numFmtId="0" xfId="0" applyAlignment="1" applyBorder="1" applyFill="1" applyFont="1">
      <alignment horizontal="center"/>
    </xf>
    <xf borderId="50" fillId="3" fontId="3" numFmtId="0" xfId="0" applyAlignment="1" applyBorder="1" applyFill="1" applyFont="1">
      <alignment horizontal="center"/>
    </xf>
    <xf borderId="48" fillId="5" fontId="2" numFmtId="0" xfId="0" applyAlignment="1" applyBorder="1" applyFill="1" applyFont="1">
      <alignment horizontal="center" readingOrder="0" vertical="center"/>
    </xf>
    <xf borderId="50" fillId="4" fontId="2" numFmtId="0" xfId="0" applyAlignment="1" applyBorder="1" applyFill="1" applyFont="1">
      <alignment horizontal="center"/>
    </xf>
    <xf borderId="50" fillId="4" fontId="3" numFmtId="0" xfId="0" applyAlignment="1" applyBorder="1" applyFill="1" applyFont="1">
      <alignment horizontal="center"/>
    </xf>
    <xf borderId="48" fillId="6" fontId="2" numFmtId="0" xfId="0" applyAlignment="1" applyBorder="1" applyFill="1" applyFont="1">
      <alignment horizontal="center" readingOrder="0" vertical="center"/>
    </xf>
    <xf borderId="50" fillId="7" fontId="3" numFmtId="0" xfId="0" applyAlignment="1" applyBorder="1" applyFill="1" applyFont="1">
      <alignment horizontal="center" readingOrder="0" vertical="center"/>
    </xf>
    <xf borderId="50" fillId="7" fontId="3" numFmtId="164" xfId="0" applyAlignment="1" applyBorder="1" applyFill="1" applyFont="1" applyNumberFormat="1">
      <alignment horizontal="center" readingOrder="0" vertical="center"/>
    </xf>
    <xf borderId="50" fillId="7" fontId="3" numFmtId="165" xfId="0" applyAlignment="1" applyBorder="1" applyFill="1" applyFont="1" applyNumberFormat="1">
      <alignment horizontal="center" readingOrder="0" vertical="center"/>
    </xf>
    <xf borderId="50" fillId="3" fontId="3" numFmtId="165" xfId="0" applyAlignment="1" applyBorder="1" applyFill="1" applyFont="1" applyNumberFormat="1">
      <alignment horizontal="center" readingOrder="0" vertical="center"/>
    </xf>
    <xf borderId="50" fillId="4" fontId="3" numFmtId="165" xfId="0" applyAlignment="1" applyBorder="1" applyFill="1" applyFont="1" applyNumberFormat="1">
      <alignment horizontal="center" readingOrder="0" vertical="center"/>
    </xf>
    <xf borderId="50" fillId="2" fontId="3" numFmtId="0" xfId="0" applyAlignment="1" applyBorder="1" applyFill="1" applyFont="1">
      <alignment horizontal="center" readingOrder="0" vertical="center"/>
    </xf>
    <xf borderId="48" fillId="8" fontId="3" numFmtId="0" xfId="0" applyAlignment="1" applyBorder="1" applyFill="1" applyFont="1">
      <alignment horizontal="center" readingOrder="0" vertical="center"/>
    </xf>
    <xf borderId="50" fillId="11" fontId="3" numFmtId="165" xfId="0" applyAlignment="1" applyBorder="1" applyFill="1" applyFont="1" applyNumberFormat="1">
      <alignment horizontal="center" readingOrder="0" vertical="center"/>
    </xf>
    <xf borderId="50" fillId="11" fontId="3" numFmtId="165" xfId="0" applyAlignment="1" applyBorder="1" applyFill="1" applyFont="1" applyNumberFormat="1">
      <alignment horizontal="center" vertical="center"/>
    </xf>
    <xf borderId="77" fillId="11" fontId="3" numFmtId="165" xfId="0" applyAlignment="1" applyBorder="1" applyFill="1" applyFont="1" applyNumberFormat="1">
      <alignment horizontal="center" vertical="center"/>
    </xf>
    <xf borderId="47" fillId="4" fontId="3" numFmtId="167" xfId="0" applyAlignment="1" applyBorder="1" applyFill="1" applyFont="1" applyNumberFormat="1">
      <alignment horizontal="center" vertical="center"/>
    </xf>
    <xf borderId="70" fillId="13" fontId="12" numFmtId="0" xfId="0" applyAlignment="1" applyBorder="1" applyFill="1" applyFont="1">
      <alignment horizontal="center"/>
    </xf>
    <xf borderId="62" fillId="3" fontId="2" numFmtId="0" xfId="0" applyAlignment="1" applyBorder="1" applyFill="1" applyFont="1">
      <alignment horizontal="center"/>
    </xf>
    <xf borderId="62" fillId="3" fontId="3" numFmtId="0" xfId="0" applyAlignment="1" applyBorder="1" applyFill="1" applyFont="1">
      <alignment horizontal="center"/>
    </xf>
    <xf borderId="62" fillId="4" fontId="2" numFmtId="0" xfId="0" applyAlignment="1" applyBorder="1" applyFill="1" applyFont="1">
      <alignment horizontal="center"/>
    </xf>
    <xf borderId="62" fillId="4" fontId="3" numFmtId="0" xfId="0" applyAlignment="1" applyBorder="1" applyFill="1" applyFont="1">
      <alignment horizontal="center"/>
    </xf>
    <xf borderId="34" fillId="2" fontId="3" numFmtId="0" xfId="0" applyAlignment="1" applyBorder="1" applyFill="1" applyFont="1">
      <alignment horizontal="center" vertical="center"/>
    </xf>
    <xf borderId="70" fillId="2" fontId="13" numFmtId="0" xfId="0" applyAlignment="1" applyBorder="1" applyFill="1" applyFont="1">
      <alignment horizontal="center"/>
    </xf>
    <xf borderId="68" fillId="2" fontId="3" numFmtId="0" xfId="0" applyAlignment="1" applyBorder="1" applyFill="1" applyFont="1">
      <alignment horizontal="center" readingOrder="0"/>
    </xf>
    <xf borderId="63" fillId="9" fontId="3" numFmtId="0" xfId="0" applyAlignment="1" applyBorder="1" applyFill="1" applyFont="1">
      <alignment horizontal="center" readingOrder="0" vertical="center"/>
    </xf>
    <xf borderId="70" fillId="2" fontId="3" numFmtId="0" xfId="0" applyAlignment="1" applyBorder="1" applyFill="1" applyFont="1">
      <alignment horizontal="center"/>
    </xf>
    <xf borderId="63" fillId="3" fontId="2" numFmtId="0" xfId="0" applyAlignment="1" applyBorder="1" applyFill="1" applyFont="1">
      <alignment horizontal="center"/>
    </xf>
    <xf borderId="62" fillId="5" fontId="2" numFmtId="0" xfId="0" applyAlignment="1" applyBorder="1" applyFill="1" applyFont="1">
      <alignment horizontal="center"/>
    </xf>
    <xf borderId="62" fillId="5" fontId="3" numFmtId="0" xfId="0" applyAlignment="1" applyBorder="1" applyFill="1" applyFont="1">
      <alignment horizontal="center"/>
    </xf>
    <xf borderId="63" fillId="4" fontId="2" numFmtId="0" xfId="0" applyAlignment="1" applyBorder="1" applyFill="1" applyFont="1">
      <alignment horizontal="center"/>
    </xf>
    <xf borderId="62" fillId="6" fontId="2" numFmtId="0" xfId="0" applyAlignment="1" applyBorder="1" applyFill="1" applyFont="1">
      <alignment horizontal="center"/>
    </xf>
    <xf borderId="62" fillId="6" fontId="3" numFmtId="0" xfId="0" applyAlignment="1" applyBorder="1" applyFill="1" applyFont="1">
      <alignment horizontal="center"/>
    </xf>
    <xf borderId="62" fillId="7" fontId="3" numFmtId="166" xfId="0" applyAlignment="1" applyBorder="1" applyFill="1" applyFont="1" applyNumberFormat="1">
      <alignment horizontal="center" vertical="center"/>
    </xf>
    <xf borderId="62" fillId="7" fontId="3" numFmtId="167" xfId="0" applyAlignment="1" applyBorder="1" applyFill="1" applyFont="1" applyNumberFormat="1">
      <alignment horizontal="center" vertical="center"/>
    </xf>
    <xf borderId="62" fillId="3" fontId="3" numFmtId="167" xfId="0" applyAlignment="1" applyBorder="1" applyFill="1" applyFont="1" applyNumberFormat="1">
      <alignment horizontal="center" readingOrder="0" vertical="center"/>
    </xf>
    <xf borderId="62" fillId="4" fontId="3" numFmtId="167" xfId="0" applyAlignment="1" applyBorder="1" applyFill="1" applyFont="1" applyNumberFormat="1">
      <alignment horizontal="center" vertical="center"/>
    </xf>
    <xf borderId="66" fillId="2" fontId="3" numFmtId="0" xfId="0" applyAlignment="1" applyBorder="1" applyFill="1" applyFont="1">
      <alignment horizontal="center"/>
    </xf>
    <xf borderId="51" fillId="3" fontId="2" numFmtId="0" xfId="0" applyAlignment="1" applyBorder="1" applyFill="1" applyFont="1">
      <alignment horizontal="center"/>
    </xf>
    <xf borderId="51" fillId="3" fontId="3" numFmtId="0" xfId="0" applyAlignment="1" applyBorder="1" applyFill="1" applyFont="1">
      <alignment horizontal="center"/>
    </xf>
    <xf borderId="62" fillId="5" fontId="2" numFmtId="0" xfId="0" applyAlignment="1" applyBorder="1" applyFill="1" applyFont="1">
      <alignment horizontal="center"/>
    </xf>
    <xf borderId="62" fillId="5" fontId="3" numFmtId="0" xfId="0" applyAlignment="1" applyBorder="1" applyFill="1" applyFont="1">
      <alignment horizontal="center"/>
    </xf>
    <xf borderId="51" fillId="4" fontId="3" numFmtId="0" xfId="0" applyAlignment="1" applyBorder="1" applyFill="1" applyFont="1">
      <alignment horizontal="center"/>
    </xf>
    <xf borderId="62" fillId="6" fontId="2" numFmtId="0" xfId="0" applyAlignment="1" applyBorder="1" applyFill="1" applyFont="1">
      <alignment horizontal="center"/>
    </xf>
    <xf borderId="62" fillId="6" fontId="3" numFmtId="0" xfId="0" applyAlignment="1" applyBorder="1" applyFill="1" applyFont="1">
      <alignment horizontal="center"/>
    </xf>
    <xf borderId="51" fillId="3" fontId="3" numFmtId="165" xfId="0" applyAlignment="1" applyBorder="1" applyFill="1" applyFont="1" applyNumberFormat="1">
      <alignment horizontal="center" readingOrder="0" vertical="center"/>
    </xf>
    <xf borderId="51" fillId="4" fontId="3" numFmtId="165" xfId="0" applyAlignment="1" applyBorder="1" applyFill="1" applyFont="1" applyNumberFormat="1">
      <alignment horizontal="center" readingOrder="0" vertical="center"/>
    </xf>
    <xf borderId="70" fillId="2" fontId="3" numFmtId="0" xfId="0" applyAlignment="1" applyBorder="1" applyFill="1" applyFont="1">
      <alignment horizontal="center" readingOrder="0"/>
    </xf>
    <xf borderId="51" fillId="11" fontId="3" numFmtId="165" xfId="0" applyAlignment="1" applyBorder="1" applyFill="1" applyFont="1" applyNumberFormat="1">
      <alignment horizontal="center" vertical="center"/>
    </xf>
    <xf borderId="73" fillId="11" fontId="3" numFmtId="165" xfId="0" applyAlignment="1" applyBorder="1" applyFill="1" applyFont="1" applyNumberFormat="1">
      <alignment horizontal="center" vertical="center"/>
    </xf>
    <xf borderId="70" fillId="2" fontId="1" numFmtId="0" xfId="0" applyAlignment="1" applyBorder="1" applyFill="1" applyFont="1">
      <alignment horizontal="center" readingOrder="0" vertical="center"/>
    </xf>
    <xf borderId="68" fillId="13" fontId="14" numFmtId="0" xfId="0" applyAlignment="1" applyBorder="1" applyFill="1" applyFont="1">
      <alignment horizontal="center" readingOrder="0" vertical="center"/>
    </xf>
    <xf borderId="50" fillId="3" fontId="3" numFmtId="0" xfId="0" applyAlignment="1" applyBorder="1" applyFill="1" applyFont="1">
      <alignment horizontal="center" readingOrder="0" vertical="center"/>
    </xf>
    <xf borderId="50" fillId="4" fontId="2" numFmtId="0" xfId="0" applyAlignment="1" applyBorder="1" applyFill="1" applyFont="1">
      <alignment horizontal="center" readingOrder="0" vertical="center"/>
    </xf>
    <xf borderId="50" fillId="4" fontId="3" numFmtId="0" xfId="0" applyAlignment="1" applyBorder="1" applyFill="1" applyFont="1">
      <alignment horizontal="center" readingOrder="0" vertical="center"/>
    </xf>
    <xf borderId="50" fillId="7" fontId="3" numFmtId="164" xfId="0" applyAlignment="1" applyBorder="1" applyFill="1" applyFont="1" applyNumberFormat="1">
      <alignment horizontal="center" vertical="center"/>
    </xf>
    <xf borderId="70" fillId="2" fontId="15" numFmtId="0" xfId="0" applyAlignment="1" applyBorder="1" applyFill="1" applyFont="1">
      <alignment horizontal="center" readingOrder="0" vertical="center"/>
    </xf>
    <xf borderId="63" fillId="3" fontId="2" numFmtId="0" xfId="0" applyAlignment="1" applyBorder="1" applyFill="1" applyFont="1">
      <alignment horizontal="center"/>
    </xf>
    <xf borderId="63" fillId="4" fontId="2" numFmtId="0" xfId="0" applyAlignment="1" applyBorder="1" applyFill="1" applyFont="1">
      <alignment horizontal="center"/>
    </xf>
    <xf borderId="63" fillId="7" fontId="2" numFmtId="0" xfId="0" applyAlignment="1" applyBorder="1" applyFill="1" applyFont="1">
      <alignment horizontal="center" readingOrder="0" vertical="center"/>
    </xf>
    <xf borderId="70" fillId="12" fontId="3" numFmtId="0" xfId="0" applyAlignment="1" applyBorder="1" applyFill="1" applyFont="1">
      <alignment horizontal="center"/>
    </xf>
    <xf borderId="47" fillId="4" fontId="2" numFmtId="0" xfId="0" applyAlignment="1" applyBorder="1" applyFill="1" applyFont="1">
      <alignment horizontal="center" vertical="center"/>
    </xf>
    <xf borderId="47" fillId="4" fontId="3" numFmtId="0" xfId="0" applyAlignment="1" applyBorder="1" applyFill="1" applyFont="1">
      <alignment horizontal="center" vertical="center"/>
    </xf>
    <xf borderId="10" fillId="2" fontId="3" numFmtId="0" xfId="0" applyAlignment="1" applyBorder="1" applyFill="1" applyFont="1">
      <alignment horizontal="center" readingOrder="0" vertical="center"/>
    </xf>
    <xf borderId="78" fillId="0" fontId="1" numFmtId="0" xfId="0" applyBorder="1" applyFont="1"/>
    <xf borderId="39" fillId="3" fontId="2" numFmtId="0" xfId="0" applyAlignment="1" applyBorder="1" applyFill="1" applyFont="1">
      <alignment horizontal="center" readingOrder="0" vertical="center"/>
    </xf>
    <xf borderId="38" fillId="4" fontId="2" numFmtId="0" xfId="0" applyAlignment="1" applyBorder="1" applyFill="1" applyFont="1">
      <alignment horizontal="center" readingOrder="0" vertical="center"/>
    </xf>
    <xf borderId="79" fillId="2" fontId="3" numFmtId="0" xfId="0" applyAlignment="1" applyBorder="1" applyFill="1" applyFont="1">
      <alignment horizontal="center" readingOrder="0" vertical="center"/>
    </xf>
    <xf borderId="80" fillId="0" fontId="1" numFmtId="0" xfId="0" applyBorder="1" applyFont="1"/>
    <xf borderId="62" fillId="3" fontId="2" numFmtId="0" xfId="0" applyAlignment="1" applyBorder="1" applyFill="1" applyFont="1">
      <alignment horizontal="center"/>
    </xf>
    <xf borderId="62" fillId="3" fontId="3" numFmtId="0" xfId="0" applyAlignment="1" applyBorder="1" applyFill="1" applyFont="1">
      <alignment horizontal="center"/>
    </xf>
    <xf borderId="62" fillId="4" fontId="2" numFmtId="0" xfId="0" applyAlignment="1" applyBorder="1" applyFill="1" applyFont="1">
      <alignment horizontal="center"/>
    </xf>
    <xf borderId="62" fillId="4" fontId="3" numFmtId="0" xfId="0" applyAlignment="1" applyBorder="1" applyFill="1" applyFont="1">
      <alignment horizontal="center"/>
    </xf>
    <xf borderId="70" fillId="12" fontId="16" numFmtId="0" xfId="0" applyAlignment="1" applyBorder="1" applyFill="1" applyFont="1">
      <alignment horizontal="center"/>
    </xf>
    <xf borderId="62" fillId="3" fontId="2" numFmtId="0" xfId="0" applyAlignment="1" applyBorder="1" applyFill="1" applyFont="1">
      <alignment horizontal="center" readingOrder="0"/>
    </xf>
    <xf borderId="62" fillId="3" fontId="3" numFmtId="0" xfId="0" applyAlignment="1" applyBorder="1" applyFill="1" applyFont="1">
      <alignment horizontal="center" readingOrder="0"/>
    </xf>
    <xf borderId="62" fillId="5" fontId="2" numFmtId="0" xfId="0" applyAlignment="1" applyBorder="1" applyFill="1" applyFont="1">
      <alignment horizontal="center" readingOrder="0"/>
    </xf>
    <xf borderId="62" fillId="5" fontId="3" numFmtId="0" xfId="0" applyAlignment="1" applyBorder="1" applyFill="1" applyFont="1">
      <alignment horizontal="center" readingOrder="0"/>
    </xf>
    <xf borderId="71" fillId="3" fontId="2" numFmtId="0" xfId="0" applyAlignment="1" applyBorder="1" applyFill="1" applyFont="1">
      <alignment horizontal="center" readingOrder="0" vertical="center"/>
    </xf>
    <xf borderId="71" fillId="3" fontId="3" numFmtId="0" xfId="0" applyAlignment="1" applyBorder="1" applyFill="1" applyFont="1">
      <alignment horizontal="center" readingOrder="0" vertical="center"/>
    </xf>
    <xf borderId="62" fillId="5" fontId="2" numFmtId="0" xfId="0" applyAlignment="1" applyBorder="1" applyFill="1" applyFont="1">
      <alignment horizontal="center" readingOrder="0" vertical="center"/>
    </xf>
    <xf borderId="71" fillId="4" fontId="3" numFmtId="0" xfId="0" applyAlignment="1" applyBorder="1" applyFill="1" applyFont="1">
      <alignment horizontal="center" readingOrder="0" vertical="center"/>
    </xf>
    <xf borderId="71" fillId="6" fontId="2" numFmtId="0" xfId="0" applyAlignment="1" applyBorder="1" applyFill="1" applyFont="1">
      <alignment horizontal="center" readingOrder="0" vertical="center"/>
    </xf>
    <xf borderId="62" fillId="6" fontId="2" numFmtId="0" xfId="0" applyAlignment="1" applyBorder="1" applyFill="1" applyFont="1">
      <alignment horizontal="center" readingOrder="0" vertical="center"/>
    </xf>
    <xf borderId="71" fillId="7" fontId="3" numFmtId="0" xfId="0" applyAlignment="1" applyBorder="1" applyFill="1" applyFont="1">
      <alignment horizontal="center" readingOrder="0" vertical="center"/>
    </xf>
    <xf borderId="71" fillId="7" fontId="3" numFmtId="166" xfId="0" applyAlignment="1" applyBorder="1" applyFill="1" applyFont="1" applyNumberFormat="1">
      <alignment horizontal="center" vertical="center"/>
    </xf>
    <xf borderId="71" fillId="7" fontId="3" numFmtId="167" xfId="0" applyAlignment="1" applyBorder="1" applyFill="1" applyFont="1" applyNumberFormat="1">
      <alignment horizontal="center" vertical="center"/>
    </xf>
    <xf borderId="71" fillId="3" fontId="3" numFmtId="167" xfId="0" applyAlignment="1" applyBorder="1" applyFill="1" applyFont="1" applyNumberFormat="1">
      <alignment horizontal="center" readingOrder="0" vertical="center"/>
    </xf>
    <xf borderId="71" fillId="4" fontId="3" numFmtId="167" xfId="0" applyAlignment="1" applyBorder="1" applyFill="1" applyFont="1" applyNumberFormat="1">
      <alignment horizontal="center" vertical="center"/>
    </xf>
    <xf borderId="71" fillId="2" fontId="3" numFmtId="0" xfId="0" applyAlignment="1" applyBorder="1" applyFill="1" applyFont="1">
      <alignment horizontal="center" vertical="center"/>
    </xf>
    <xf borderId="71" fillId="2" fontId="3" numFmtId="0" xfId="0" applyAlignment="1" applyBorder="1" applyFill="1" applyFont="1">
      <alignment horizontal="center" readingOrder="0" vertical="center"/>
    </xf>
    <xf borderId="63" fillId="10" fontId="3" numFmtId="0" xfId="0" applyAlignment="1" applyBorder="1" applyFill="1" applyFont="1">
      <alignment horizontal="center" readingOrder="0" vertical="center"/>
    </xf>
    <xf borderId="71" fillId="4" fontId="3" numFmtId="167" xfId="0" applyAlignment="1" applyBorder="1" applyFill="1" applyFont="1" applyNumberFormat="1">
      <alignment horizontal="center" readingOrder="0" vertical="center"/>
    </xf>
    <xf borderId="51" fillId="2" fontId="3" numFmtId="0" xfId="0" applyAlignment="1" applyBorder="1" applyFill="1" applyFont="1">
      <alignment horizontal="center" vertical="center"/>
    </xf>
    <xf borderId="37" fillId="3" fontId="2" numFmtId="0" xfId="0" applyAlignment="1" applyBorder="1" applyFill="1" applyFont="1">
      <alignment horizontal="center" readingOrder="0" vertical="center"/>
    </xf>
    <xf borderId="37" fillId="3" fontId="3" numFmtId="0" xfId="0" applyAlignment="1" applyBorder="1" applyFill="1" applyFont="1">
      <alignment horizontal="center" readingOrder="0" vertical="center"/>
    </xf>
    <xf borderId="51" fillId="5" fontId="2" numFmtId="0" xfId="0" applyAlignment="1" applyBorder="1" applyFill="1" applyFont="1">
      <alignment horizontal="center" readingOrder="0" vertical="center"/>
    </xf>
    <xf borderId="51" fillId="4" fontId="2" numFmtId="0" xfId="0" applyAlignment="1" applyBorder="1" applyFill="1" applyFont="1">
      <alignment horizontal="center" readingOrder="0" vertical="center"/>
    </xf>
    <xf borderId="37" fillId="4" fontId="3" numFmtId="0" xfId="0" applyAlignment="1" applyBorder="1" applyFill="1" applyFont="1">
      <alignment horizontal="center" readingOrder="0" vertical="center"/>
    </xf>
    <xf borderId="37" fillId="6" fontId="2" numFmtId="0" xfId="0" applyAlignment="1" applyBorder="1" applyFill="1" applyFont="1">
      <alignment horizontal="center" readingOrder="0" vertical="center"/>
    </xf>
    <xf borderId="51" fillId="6" fontId="2" numFmtId="0" xfId="0" applyAlignment="1" applyBorder="1" applyFill="1" applyFont="1">
      <alignment horizontal="center" readingOrder="0" vertical="center"/>
    </xf>
    <xf borderId="37" fillId="3" fontId="3" numFmtId="167" xfId="0" applyAlignment="1" applyBorder="1" applyFill="1" applyFont="1" applyNumberFormat="1">
      <alignment horizontal="center" readingOrder="0" vertical="center"/>
    </xf>
    <xf borderId="37" fillId="4" fontId="3" numFmtId="167" xfId="0" applyAlignment="1" applyBorder="1" applyFill="1" applyFont="1" applyNumberFormat="1">
      <alignment horizontal="center" vertical="center"/>
    </xf>
    <xf borderId="37" fillId="2" fontId="3" numFmtId="0" xfId="0" applyAlignment="1" applyBorder="1" applyFill="1" applyFont="1">
      <alignment horizontal="center" readingOrder="0" vertical="center"/>
    </xf>
    <xf borderId="81" fillId="11" fontId="3" numFmtId="165" xfId="0" applyAlignment="1" applyBorder="1" applyFill="1" applyFont="1" applyNumberFormat="1">
      <alignment horizontal="center" vertical="center"/>
    </xf>
    <xf borderId="62" fillId="4" fontId="3" numFmtId="167" xfId="0" applyAlignment="1" applyBorder="1" applyFill="1" applyFont="1" applyNumberFormat="1">
      <alignment horizontal="center" readingOrder="0" vertical="center"/>
    </xf>
    <xf borderId="70" fillId="12" fontId="3" numFmtId="0" xfId="0" applyAlignment="1" applyBorder="1" applyFill="1" applyFont="1">
      <alignment horizontal="center" readingOrder="0" vertical="center"/>
    </xf>
    <xf borderId="63" fillId="3" fontId="2" numFmtId="0" xfId="0" applyAlignment="1" applyBorder="1" applyFill="1" applyFont="1">
      <alignment horizontal="center" readingOrder="0" vertical="center"/>
    </xf>
    <xf borderId="63" fillId="4" fontId="2" numFmtId="0" xfId="0" applyAlignment="1" applyBorder="1" applyFill="1" applyFont="1">
      <alignment horizontal="center" readingOrder="0" vertical="center"/>
    </xf>
    <xf borderId="62" fillId="7" fontId="3" numFmtId="166" xfId="0" applyAlignment="1" applyBorder="1" applyFill="1" applyFont="1" applyNumberFormat="1">
      <alignment horizontal="center" readingOrder="0" vertical="center"/>
    </xf>
    <xf borderId="62" fillId="7" fontId="3" numFmtId="167" xfId="0" applyAlignment="1" applyBorder="1" applyFill="1" applyFont="1" applyNumberFormat="1">
      <alignment horizontal="center" readingOrder="0" vertical="center"/>
    </xf>
    <xf borderId="63" fillId="5" fontId="2" numFmtId="0" xfId="0" applyAlignment="1" applyBorder="1" applyFill="1" applyFont="1">
      <alignment horizontal="center" vertical="bottom"/>
    </xf>
    <xf borderId="62" fillId="4" fontId="2" numFmtId="0" xfId="0" applyAlignment="1" applyBorder="1" applyFill="1" applyFont="1">
      <alignment horizontal="center" readingOrder="0" vertical="bottom"/>
    </xf>
    <xf borderId="62" fillId="4" fontId="3" numFmtId="0" xfId="0" applyAlignment="1" applyBorder="1" applyFill="1" applyFont="1">
      <alignment horizontal="center" readingOrder="0" vertical="bottom"/>
    </xf>
    <xf borderId="63" fillId="6" fontId="2" numFmtId="0" xfId="0" applyAlignment="1" applyBorder="1" applyFill="1" applyFont="1">
      <alignment horizontal="center" vertical="bottom"/>
    </xf>
    <xf borderId="70" fillId="13" fontId="3" numFmtId="0" xfId="0" applyAlignment="1" applyBorder="1" applyFill="1" applyFont="1">
      <alignment horizontal="center"/>
    </xf>
    <xf borderId="63" fillId="5" fontId="2" numFmtId="0" xfId="0" applyAlignment="1" applyBorder="1" applyFill="1" applyFont="1">
      <alignment horizontal="center" readingOrder="0"/>
    </xf>
    <xf borderId="63" fillId="6" fontId="2" numFmtId="0" xfId="0" applyAlignment="1" applyBorder="1" applyFill="1" applyFont="1">
      <alignment horizontal="center"/>
    </xf>
    <xf borderId="68" fillId="2" fontId="17" numFmtId="0" xfId="0" applyAlignment="1" applyBorder="1" applyFill="1" applyFont="1">
      <alignment horizontal="center" readingOrder="0" vertical="center"/>
    </xf>
    <xf borderId="50" fillId="5" fontId="2" numFmtId="0" xfId="0" applyAlignment="1" applyBorder="1" applyFill="1" applyFont="1">
      <alignment horizontal="center" readingOrder="0" vertical="center"/>
    </xf>
    <xf borderId="50" fillId="6" fontId="2" numFmtId="0" xfId="0" applyAlignment="1" applyBorder="1" applyFill="1" applyFont="1">
      <alignment horizontal="center" readingOrder="0" vertical="center"/>
    </xf>
    <xf borderId="50" fillId="7" fontId="3" numFmtId="166" xfId="0" applyAlignment="1" applyBorder="1" applyFill="1" applyFont="1" applyNumberFormat="1">
      <alignment horizontal="center" vertical="center"/>
    </xf>
    <xf borderId="50" fillId="7" fontId="3" numFmtId="167" xfId="0" applyAlignment="1" applyBorder="1" applyFill="1" applyFont="1" applyNumberFormat="1">
      <alignment horizontal="center" vertical="center"/>
    </xf>
    <xf borderId="50" fillId="3" fontId="3" numFmtId="167" xfId="0" applyAlignment="1" applyBorder="1" applyFill="1" applyFont="1" applyNumberFormat="1">
      <alignment horizontal="center" readingOrder="0" vertical="center"/>
    </xf>
    <xf borderId="50" fillId="4" fontId="3" numFmtId="167" xfId="0" applyAlignment="1" applyBorder="1" applyFill="1" applyFont="1" applyNumberFormat="1">
      <alignment horizontal="center" readingOrder="0" vertical="center"/>
    </xf>
    <xf borderId="50" fillId="2" fontId="3" numFmtId="0" xfId="0" applyAlignment="1" applyBorder="1" applyFill="1" applyFont="1">
      <alignment horizontal="center" vertical="center"/>
    </xf>
    <xf borderId="48" fillId="9" fontId="3" numFmtId="0" xfId="0" applyAlignment="1" applyBorder="1" applyFill="1" applyFont="1">
      <alignment horizontal="center" readingOrder="0" vertical="center"/>
    </xf>
    <xf borderId="62" fillId="4" fontId="2" numFmtId="0" xfId="0" applyAlignment="1" applyBorder="1" applyFill="1" applyFont="1">
      <alignment horizontal="center" readingOrder="0"/>
    </xf>
    <xf borderId="62" fillId="4" fontId="3" numFmtId="0" xfId="0" applyAlignment="1" applyBorder="1" applyFill="1" applyFont="1">
      <alignment horizontal="center" readingOrder="0"/>
    </xf>
    <xf borderId="62" fillId="6" fontId="2" numFmtId="0" xfId="0" applyAlignment="1" applyBorder="1" applyFill="1" applyFont="1">
      <alignment horizontal="center" readingOrder="0"/>
    </xf>
    <xf borderId="62" fillId="6" fontId="3" numFmtId="0" xfId="0" applyAlignment="1" applyBorder="1" applyFill="1" applyFont="1">
      <alignment horizontal="center" readingOrder="0"/>
    </xf>
    <xf borderId="70" fillId="2" fontId="18" numFmtId="0" xfId="0" applyAlignment="1" applyBorder="1" applyFill="1" applyFont="1">
      <alignment horizontal="center" readingOrder="0"/>
    </xf>
    <xf borderId="70" fillId="13" fontId="3" numFmtId="0" xfId="0" applyAlignment="1" applyBorder="1" applyFill="1" applyFont="1">
      <alignment horizontal="center" readingOrder="0"/>
    </xf>
    <xf borderId="63" fillId="3" fontId="2" numFmtId="0" xfId="0" applyAlignment="1" applyBorder="1" applyFill="1" applyFont="1">
      <alignment horizontal="center" readingOrder="0"/>
    </xf>
    <xf borderId="18" fillId="4" fontId="3" numFmtId="0" xfId="0" applyAlignment="1" applyBorder="1" applyFill="1" applyFont="1">
      <alignment horizontal="center" vertical="center"/>
    </xf>
    <xf borderId="31" fillId="6" fontId="2" numFmtId="0" xfId="0" applyAlignment="1" applyBorder="1" applyFill="1" applyFont="1">
      <alignment horizontal="center" vertical="center"/>
    </xf>
    <xf borderId="32" fillId="7" fontId="3" numFmtId="166" xfId="0" applyAlignment="1" applyBorder="1" applyFill="1" applyFont="1" applyNumberFormat="1">
      <alignment horizontal="center" vertical="center"/>
    </xf>
    <xf borderId="32" fillId="7" fontId="3" numFmtId="167" xfId="0" applyAlignment="1" applyBorder="1" applyFill="1" applyFont="1" applyNumberFormat="1">
      <alignment horizontal="center" vertical="center"/>
    </xf>
    <xf borderId="17" fillId="4" fontId="3" numFmtId="167" xfId="0" applyAlignment="1" applyBorder="1" applyFill="1" applyFont="1" applyNumberFormat="1">
      <alignment horizontal="center" readingOrder="0" vertical="center"/>
    </xf>
    <xf borderId="45" fillId="3" fontId="3" numFmtId="167" xfId="0" applyAlignment="1" applyBorder="1" applyFill="1" applyFont="1" applyNumberFormat="1">
      <alignment horizontal="center" readingOrder="0" vertical="center"/>
    </xf>
    <xf borderId="45" fillId="4" fontId="3" numFmtId="167" xfId="0" applyAlignment="1" applyBorder="1" applyFill="1" applyFont="1" applyNumberFormat="1">
      <alignment horizontal="center" readingOrder="0" vertical="center"/>
    </xf>
    <xf borderId="82" fillId="0" fontId="1" numFmtId="0" xfId="0" applyBorder="1" applyFont="1"/>
    <xf borderId="83" fillId="0" fontId="1" numFmtId="0" xfId="0" applyBorder="1" applyFont="1"/>
    <xf borderId="84" fillId="3" fontId="2" numFmtId="0" xfId="0" applyAlignment="1" applyBorder="1" applyFill="1" applyFont="1">
      <alignment horizontal="center" vertical="center"/>
    </xf>
    <xf borderId="84" fillId="3" fontId="3" numFmtId="0" xfId="0" applyAlignment="1" applyBorder="1" applyFill="1" applyFont="1">
      <alignment horizontal="center" vertical="center"/>
    </xf>
    <xf borderId="84" fillId="5" fontId="2" numFmtId="0" xfId="0" applyAlignment="1" applyBorder="1" applyFill="1" applyFont="1">
      <alignment horizontal="center" vertical="center"/>
    </xf>
    <xf borderId="38" fillId="6" fontId="2" numFmtId="0" xfId="0" applyAlignment="1" applyBorder="1" applyFill="1" applyFont="1">
      <alignment horizontal="center" vertical="center"/>
    </xf>
    <xf borderId="84" fillId="5" fontId="3" numFmtId="0" xfId="0" applyAlignment="1" applyBorder="1" applyFill="1" applyFont="1">
      <alignment horizontal="center" vertical="center"/>
    </xf>
    <xf borderId="84" fillId="4" fontId="2" numFmtId="0" xfId="0" applyAlignment="1" applyBorder="1" applyFill="1" applyFont="1">
      <alignment horizontal="center" vertical="center"/>
    </xf>
    <xf borderId="84" fillId="4" fontId="3" numFmtId="0" xfId="0" applyAlignment="1" applyBorder="1" applyFill="1" applyFont="1">
      <alignment horizontal="center" vertical="center"/>
    </xf>
    <xf borderId="84" fillId="6" fontId="2" numFmtId="0" xfId="0" applyAlignment="1" applyBorder="1" applyFill="1" applyFont="1">
      <alignment horizontal="center" vertical="center"/>
    </xf>
    <xf borderId="84" fillId="6" fontId="3" numFmtId="0" xfId="0" applyAlignment="1" applyBorder="1" applyFill="1" applyFont="1">
      <alignment horizontal="center" vertical="center"/>
    </xf>
    <xf borderId="85" fillId="0" fontId="1" numFmtId="0" xfId="0" applyBorder="1" applyFont="1"/>
    <xf borderId="86" fillId="0" fontId="1" numFmtId="0" xfId="0" applyBorder="1" applyFont="1"/>
    <xf borderId="84" fillId="11" fontId="2" numFmtId="9" xfId="0" applyAlignment="1" applyBorder="1" applyFill="1" applyFont="1" applyNumberFormat="1">
      <alignment horizontal="center" readingOrder="0" vertical="center"/>
    </xf>
    <xf borderId="87" fillId="11" fontId="2" numFmtId="9" xfId="0" applyAlignment="1" applyBorder="1" applyFill="1" applyFont="1" applyNumberFormat="1">
      <alignment horizontal="center" readingOrder="0" vertical="center"/>
    </xf>
    <xf borderId="35" fillId="4" fontId="3" numFmtId="167" xfId="0" applyAlignment="1" applyBorder="1" applyFill="1" applyFont="1" applyNumberFormat="1">
      <alignment horizontal="center" readingOrder="0" vertical="center"/>
    </xf>
    <xf borderId="33" fillId="0" fontId="1" numFmtId="0" xfId="0" applyBorder="1" applyFont="1"/>
    <xf borderId="23" fillId="4" fontId="2" numFmtId="0" xfId="0" applyAlignment="1" applyBorder="1" applyFill="1" applyFont="1">
      <alignment horizontal="center" vertical="center"/>
    </xf>
    <xf borderId="68" fillId="2" fontId="19" numFmtId="0" xfId="0" applyAlignment="1" applyBorder="1" applyFill="1" applyFont="1">
      <alignment horizontal="center" vertical="center"/>
    </xf>
    <xf borderId="23" fillId="4" fontId="3" numFmtId="0" xfId="0" applyAlignment="1" applyBorder="1" applyFill="1" applyFont="1">
      <alignment horizontal="center" vertical="center"/>
    </xf>
    <xf borderId="50" fillId="4" fontId="3" numFmtId="0" xfId="0" applyAlignment="1" applyBorder="1" applyFill="1" applyFont="1">
      <alignment horizontal="center" vertical="center"/>
    </xf>
    <xf borderId="23" fillId="4" fontId="3" numFmtId="167" xfId="0" applyAlignment="1" applyBorder="1" applyFill="1" applyFont="1" applyNumberFormat="1">
      <alignment horizontal="center" readingOrder="0" vertical="center"/>
    </xf>
    <xf borderId="88" fillId="11" fontId="3" numFmtId="165" xfId="0" applyAlignment="1" applyBorder="1" applyFill="1" applyFont="1" applyNumberFormat="1">
      <alignment horizontal="center" readingOrder="0" vertical="center"/>
    </xf>
    <xf borderId="47" fillId="4" fontId="3" numFmtId="167" xfId="0" applyAlignment="1" applyBorder="1" applyFill="1" applyFont="1" applyNumberFormat="1">
      <alignment horizontal="center" readingOrder="0" vertical="center"/>
    </xf>
    <xf borderId="70" fillId="2" fontId="20" numFmtId="0" xfId="0" applyAlignment="1" applyBorder="1" applyFill="1" applyFont="1">
      <alignment horizontal="center" vertical="center"/>
    </xf>
    <xf borderId="62" fillId="4" fontId="2" numFmtId="0" xfId="0" applyAlignment="1" applyBorder="1" applyFill="1" applyFont="1">
      <alignment horizontal="center" vertical="center"/>
    </xf>
    <xf borderId="78" fillId="14" fontId="1" numFmtId="0" xfId="0" applyAlignment="1" applyBorder="1" applyFill="1" applyFont="1">
      <alignment horizontal="left" readingOrder="0"/>
    </xf>
    <xf borderId="62" fillId="4" fontId="3" numFmtId="0" xfId="0" applyAlignment="1" applyBorder="1" applyFill="1" applyFont="1">
      <alignment horizontal="center" vertical="center"/>
    </xf>
    <xf borderId="29" fillId="14" fontId="1" numFmtId="0" xfId="0" applyAlignment="1" applyBorder="1" applyFill="1" applyFont="1">
      <alignment horizontal="center" readingOrder="0"/>
    </xf>
    <xf borderId="80" fillId="14" fontId="1" numFmtId="0" xfId="0" applyAlignment="1" applyBorder="1" applyFill="1" applyFont="1">
      <alignment horizontal="center" readingOrder="0"/>
    </xf>
    <xf borderId="33" fillId="14" fontId="1" numFmtId="0" xfId="0" applyAlignment="1" applyBorder="1" applyFill="1" applyFont="1">
      <alignment horizontal="center" readingOrder="0"/>
    </xf>
    <xf borderId="89" fillId="14" fontId="1" numFmtId="0" xfId="0" applyAlignment="1" applyBorder="1" applyFill="1" applyFont="1">
      <alignment horizontal="center" readingOrder="0"/>
    </xf>
    <xf borderId="79" fillId="14" fontId="1" numFmtId="0" xfId="0" applyAlignment="1" applyBorder="1" applyFill="1" applyFont="1">
      <alignment horizontal="center" readingOrder="0"/>
    </xf>
    <xf borderId="90" fillId="14" fontId="1" numFmtId="0" xfId="0" applyAlignment="1" applyBorder="1" applyFill="1" applyFont="1">
      <alignment horizontal="center" readingOrder="0"/>
    </xf>
    <xf borderId="91" fillId="14" fontId="1" numFmtId="0" xfId="0" applyAlignment="1" applyBorder="1" applyFill="1" applyFont="1">
      <alignment horizontal="center" readingOrder="0"/>
    </xf>
    <xf borderId="40" fillId="14" fontId="1" numFmtId="0" xfId="0" applyAlignment="1" applyBorder="1" applyFill="1" applyFont="1">
      <alignment horizontal="center" readingOrder="0"/>
    </xf>
    <xf borderId="17" fillId="14" fontId="1" numFmtId="0" xfId="0" applyAlignment="1" applyBorder="1" applyFill="1" applyFont="1">
      <alignment horizontal="center" readingOrder="0"/>
    </xf>
    <xf borderId="18" fillId="14" fontId="1" numFmtId="0" xfId="0" applyAlignment="1" applyBorder="1" applyFill="1" applyFont="1">
      <alignment horizontal="center" readingOrder="0"/>
    </xf>
    <xf borderId="15" fillId="14" fontId="1" numFmtId="0" xfId="0" applyAlignment="1" applyBorder="1" applyFill="1" applyFont="1">
      <alignment horizontal="center" readingOrder="0"/>
    </xf>
    <xf borderId="0" fillId="14" fontId="1" numFmtId="0" xfId="0" applyAlignment="1" applyFill="1" applyFont="1">
      <alignment horizontal="center" readingOrder="0"/>
    </xf>
    <xf borderId="72" fillId="11" fontId="3" numFmtId="165" xfId="0" applyAlignment="1" applyBorder="1" applyFill="1" applyFont="1" applyNumberFormat="1">
      <alignment horizontal="center" readingOrder="0" vertical="center"/>
    </xf>
    <xf borderId="0" fillId="14" fontId="1" numFmtId="0" xfId="0" applyAlignment="1" applyFill="1" applyFont="1">
      <alignment horizontal="left"/>
    </xf>
    <xf borderId="0" fillId="14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78" fillId="15" fontId="1" numFmtId="0" xfId="0" applyAlignment="1" applyBorder="1" applyFill="1" applyFont="1">
      <alignment horizontal="center" readingOrder="0"/>
    </xf>
    <xf borderId="10" fillId="15" fontId="1" numFmtId="0" xfId="0" applyAlignment="1" applyBorder="1" applyFill="1" applyFont="1">
      <alignment horizontal="center" readingOrder="0"/>
    </xf>
    <xf borderId="80" fillId="15" fontId="1" numFmtId="0" xfId="0" applyAlignment="1" applyBorder="1" applyFill="1" applyFont="1">
      <alignment horizontal="center" readingOrder="0"/>
    </xf>
    <xf borderId="79" fillId="15" fontId="1" numFmtId="0" xfId="0" applyAlignment="1" applyBorder="1" applyFill="1" applyFont="1">
      <alignment horizontal="center" readingOrder="0"/>
    </xf>
    <xf borderId="91" fillId="15" fontId="1" numFmtId="0" xfId="0" applyAlignment="1" applyBorder="1" applyFill="1" applyFont="1">
      <alignment horizontal="center" readingOrder="0"/>
    </xf>
    <xf borderId="40" fillId="15" fontId="1" numFmtId="0" xfId="0" applyAlignment="1" applyBorder="1" applyFill="1" applyFont="1">
      <alignment horizontal="center" readingOrder="0"/>
    </xf>
    <xf borderId="17" fillId="15" fontId="1" numFmtId="0" xfId="0" applyAlignment="1" applyBorder="1" applyFill="1" applyFont="1">
      <alignment horizontal="center" readingOrder="0"/>
    </xf>
    <xf borderId="18" fillId="15" fontId="1" numFmtId="0" xfId="0" applyAlignment="1" applyBorder="1" applyFill="1" applyFont="1">
      <alignment horizontal="center" readingOrder="0"/>
    </xf>
    <xf borderId="15" fillId="15" fontId="1" numFmtId="0" xfId="0" applyAlignment="1" applyBorder="1" applyFill="1" applyFont="1">
      <alignment horizontal="center" readingOrder="0"/>
    </xf>
    <xf borderId="0" fillId="15" fontId="1" numFmtId="0" xfId="0" applyAlignment="1" applyFill="1" applyFont="1">
      <alignment horizontal="center" readingOrder="0"/>
    </xf>
    <xf borderId="0" fillId="15" fontId="1" numFmtId="0" xfId="0" applyAlignment="1" applyFill="1" applyFont="1">
      <alignment horizontal="left" readingOrder="0"/>
    </xf>
    <xf borderId="0" fillId="0" fontId="1" numFmtId="0" xfId="0" applyAlignment="1" applyFont="1">
      <alignment horizontal="right" readingOrder="0"/>
    </xf>
    <xf borderId="78" fillId="16" fontId="1" numFmtId="0" xfId="0" applyAlignment="1" applyBorder="1" applyFill="1" applyFont="1">
      <alignment horizontal="center" readingOrder="0"/>
    </xf>
    <xf borderId="10" fillId="16" fontId="1" numFmtId="0" xfId="0" applyAlignment="1" applyBorder="1" applyFill="1" applyFont="1">
      <alignment horizontal="center" readingOrder="0"/>
    </xf>
    <xf borderId="79" fillId="16" fontId="1" numFmtId="0" xfId="0" applyAlignment="1" applyBorder="1" applyFill="1" applyFont="1">
      <alignment horizontal="center" readingOrder="0"/>
    </xf>
    <xf borderId="80" fillId="16" fontId="1" numFmtId="0" xfId="0" applyBorder="1" applyFill="1" applyFont="1"/>
    <xf borderId="91" fillId="16" fontId="1" numFmtId="0" xfId="0" applyAlignment="1" applyBorder="1" applyFill="1" applyFont="1">
      <alignment horizontal="center" readingOrder="0"/>
    </xf>
    <xf borderId="40" fillId="16" fontId="1" numFmtId="0" xfId="0" applyAlignment="1" applyBorder="1" applyFill="1" applyFont="1">
      <alignment horizontal="center" readingOrder="0"/>
    </xf>
    <xf borderId="17" fillId="16" fontId="1" numFmtId="0" xfId="0" applyAlignment="1" applyBorder="1" applyFill="1" applyFont="1">
      <alignment horizontal="center" readingOrder="0"/>
    </xf>
    <xf borderId="70" fillId="2" fontId="21" numFmtId="0" xfId="0" applyAlignment="1" applyBorder="1" applyFill="1" applyFont="1">
      <alignment horizontal="center"/>
    </xf>
    <xf borderId="18" fillId="16" fontId="1" numFmtId="0" xfId="0" applyAlignment="1" applyBorder="1" applyFill="1" applyFont="1">
      <alignment horizontal="center" readingOrder="0"/>
    </xf>
    <xf borderId="15" fillId="16" fontId="1" numFmtId="0" xfId="0" applyAlignment="1" applyBorder="1" applyFill="1" applyFont="1">
      <alignment horizontal="center" readingOrder="0"/>
    </xf>
    <xf borderId="0" fillId="16" fontId="1" numFmtId="0" xfId="0" applyAlignment="1" applyFill="1" applyFont="1">
      <alignment horizontal="center" readingOrder="0"/>
    </xf>
    <xf borderId="66" fillId="2" fontId="3" numFmtId="0" xfId="0" applyAlignment="1" applyBorder="1" applyFill="1" applyFont="1">
      <alignment horizontal="center" vertical="center"/>
    </xf>
    <xf borderId="51" fillId="3" fontId="2" numFmtId="0" xfId="0" applyAlignment="1" applyBorder="1" applyFill="1" applyFont="1">
      <alignment horizontal="center" readingOrder="0" vertical="center"/>
    </xf>
    <xf borderId="51" fillId="3" fontId="3" numFmtId="0" xfId="0" applyAlignment="1" applyBorder="1" applyFill="1" applyFont="1">
      <alignment horizontal="center" readingOrder="0" vertical="center"/>
    </xf>
    <xf borderId="51" fillId="4" fontId="2" numFmtId="0" xfId="0" applyAlignment="1" applyBorder="1" applyFill="1" applyFont="1">
      <alignment horizontal="center" vertical="center"/>
    </xf>
    <xf borderId="51" fillId="4" fontId="3" numFmtId="0" xfId="0" applyAlignment="1" applyBorder="1" applyFill="1" applyFont="1">
      <alignment horizontal="center" vertical="center"/>
    </xf>
    <xf borderId="0" fillId="16" fontId="1" numFmtId="0" xfId="0" applyAlignment="1" applyFill="1" applyFont="1">
      <alignment horizontal="left" readingOrder="0"/>
    </xf>
    <xf borderId="0" fillId="16" fontId="1" numFmtId="0" xfId="0" applyAlignment="1" applyFill="1" applyFont="1">
      <alignment horizontal="left"/>
    </xf>
    <xf borderId="37" fillId="4" fontId="3" numFmtId="167" xfId="0" applyAlignment="1" applyBorder="1" applyFill="1" applyFont="1" applyNumberFormat="1">
      <alignment horizontal="center" readingOrder="0" vertical="center"/>
    </xf>
    <xf borderId="70" fillId="2" fontId="3" numFmtId="0" xfId="0" applyAlignment="1" applyBorder="1" applyFill="1" applyFont="1">
      <alignment horizontal="center"/>
    </xf>
    <xf borderId="63" fillId="5" fontId="2" numFmtId="0" xfId="0" applyAlignment="1" applyBorder="1" applyFill="1" applyFont="1">
      <alignment horizontal="center"/>
    </xf>
    <xf borderId="63" fillId="6" fontId="2" numFmtId="0" xfId="0" applyAlignment="1" applyBorder="1" applyFill="1" applyFont="1">
      <alignment horizontal="center"/>
    </xf>
    <xf borderId="26" fillId="15" fontId="1" numFmtId="0" xfId="0" applyAlignment="1" applyBorder="1" applyFill="1" applyFont="1">
      <alignment horizontal="center" readingOrder="0"/>
    </xf>
    <xf borderId="27" fillId="15" fontId="1" numFmtId="0" xfId="0" applyBorder="1" applyFill="1" applyFont="1"/>
    <xf borderId="68" fillId="2" fontId="3" numFmtId="0" xfId="0" applyAlignment="1" applyBorder="1" applyFill="1" applyFont="1">
      <alignment horizontal="center" vertical="center"/>
    </xf>
    <xf borderId="23" fillId="15" fontId="1" numFmtId="0" xfId="0" applyAlignment="1" applyBorder="1" applyFill="1" applyFont="1">
      <alignment horizontal="center" readingOrder="0"/>
    </xf>
    <xf borderId="12" fillId="15" fontId="1" numFmtId="0" xfId="0" applyAlignment="1" applyBorder="1" applyFill="1" applyFont="1">
      <alignment horizontal="center" readingOrder="0"/>
    </xf>
    <xf borderId="48" fillId="3" fontId="2" numFmtId="0" xfId="0" applyAlignment="1" applyBorder="1" applyFill="1" applyFont="1">
      <alignment horizontal="center" readingOrder="0" vertical="center"/>
    </xf>
    <xf borderId="0" fillId="15" fontId="1" numFmtId="0" xfId="0" applyAlignment="1" applyFill="1" applyFont="1">
      <alignment horizontal="left"/>
    </xf>
    <xf borderId="50" fillId="5" fontId="3" numFmtId="0" xfId="0" applyAlignment="1" applyBorder="1" applyFill="1" applyFont="1">
      <alignment horizontal="center" readingOrder="0" vertical="center"/>
    </xf>
    <xf borderId="48" fillId="4" fontId="2" numFmtId="0" xfId="0" applyAlignment="1" applyBorder="1" applyFill="1" applyFont="1">
      <alignment horizontal="center" readingOrder="0" vertical="center"/>
    </xf>
    <xf borderId="50" fillId="6" fontId="2" numFmtId="0" xfId="0" applyAlignment="1" applyBorder="1" applyFill="1" applyFont="1">
      <alignment horizontal="center" vertical="center"/>
    </xf>
    <xf borderId="50" fillId="6" fontId="3" numFmtId="0" xfId="0" applyAlignment="1" applyBorder="1" applyFill="1" applyFont="1">
      <alignment horizontal="center" vertical="center"/>
    </xf>
    <xf borderId="92" fillId="16" fontId="1" numFmtId="0" xfId="0" applyAlignment="1" applyBorder="1" applyFill="1" applyFont="1">
      <alignment horizontal="left" readingOrder="0"/>
    </xf>
    <xf borderId="45" fillId="7" fontId="3" numFmtId="166" xfId="0" applyAlignment="1" applyBorder="1" applyFill="1" applyFont="1" applyNumberFormat="1">
      <alignment horizontal="center" vertical="center"/>
    </xf>
    <xf borderId="93" fillId="16" fontId="1" numFmtId="0" xfId="0" applyAlignment="1" applyBorder="1" applyFill="1" applyFont="1">
      <alignment horizontal="center" readingOrder="0"/>
    </xf>
    <xf borderId="45" fillId="7" fontId="3" numFmtId="167" xfId="0" applyAlignment="1" applyBorder="1" applyFill="1" applyFont="1" applyNumberFormat="1">
      <alignment horizontal="center" vertical="center"/>
    </xf>
    <xf borderId="94" fillId="16" fontId="1" numFmtId="0" xfId="0" applyAlignment="1" applyBorder="1" applyFill="1" applyFont="1">
      <alignment horizontal="center" readingOrder="0"/>
    </xf>
    <xf borderId="42" fillId="16" fontId="1" numFmtId="0" xfId="0" applyAlignment="1" applyBorder="1" applyFill="1" applyFont="1">
      <alignment horizontal="center" readingOrder="0"/>
    </xf>
    <xf borderId="95" fillId="16" fontId="1" numFmtId="0" xfId="0" applyAlignment="1" applyBorder="1" applyFill="1" applyFont="1">
      <alignment horizontal="center" readingOrder="0"/>
    </xf>
    <xf borderId="70" fillId="2" fontId="22" numFmtId="0" xfId="0" applyAlignment="1" applyBorder="1" applyFill="1" applyFont="1">
      <alignment horizontal="center" readingOrder="0" vertical="center"/>
    </xf>
    <xf borderId="19" fillId="16" fontId="1" numFmtId="0" xfId="0" applyAlignment="1" applyBorder="1" applyFill="1" applyFont="1">
      <alignment horizontal="center" readingOrder="0"/>
    </xf>
    <xf borderId="96" fillId="16" fontId="1" numFmtId="0" xfId="0" applyAlignment="1" applyBorder="1" applyFill="1" applyFont="1">
      <alignment horizontal="center" readingOrder="0"/>
    </xf>
    <xf borderId="97" fillId="16" fontId="1" numFmtId="0" xfId="0" applyAlignment="1" applyBorder="1" applyFill="1" applyFont="1">
      <alignment horizontal="center" readingOrder="0"/>
    </xf>
    <xf borderId="14" fillId="16" fontId="1" numFmtId="165" xfId="0" applyAlignment="1" applyBorder="1" applyFill="1" applyFont="1" applyNumberFormat="1">
      <alignment horizontal="center" readingOrder="0"/>
    </xf>
    <xf borderId="23" fillId="16" fontId="1" numFmtId="165" xfId="0" applyAlignment="1" applyBorder="1" applyFill="1" applyFont="1" applyNumberFormat="1">
      <alignment horizontal="center" readingOrder="0"/>
    </xf>
    <xf borderId="23" fillId="16" fontId="1" numFmtId="0" xfId="0" applyAlignment="1" applyBorder="1" applyFill="1" applyFont="1">
      <alignment horizontal="center" readingOrder="0"/>
    </xf>
    <xf borderId="12" fillId="16" fontId="1" numFmtId="0" xfId="0" applyAlignment="1" applyBorder="1" applyFill="1" applyFont="1">
      <alignment horizontal="center" readingOrder="0"/>
    </xf>
    <xf borderId="63" fillId="5" fontId="2" numFmtId="0" xfId="0" applyAlignment="1" applyBorder="1" applyFill="1" applyFont="1">
      <alignment horizontal="center"/>
    </xf>
    <xf borderId="98" fillId="15" fontId="1" numFmtId="0" xfId="0" applyAlignment="1" applyBorder="1" applyFill="1" applyFont="1">
      <alignment horizontal="left" readingOrder="0"/>
    </xf>
    <xf borderId="97" fillId="15" fontId="1" numFmtId="0" xfId="0" applyAlignment="1" applyBorder="1" applyFill="1" applyFont="1">
      <alignment horizontal="center" readingOrder="0"/>
    </xf>
    <xf borderId="99" fillId="15" fontId="1" numFmtId="0" xfId="0" applyAlignment="1" applyBorder="1" applyFill="1" applyFont="1">
      <alignment horizontal="center" readingOrder="0"/>
    </xf>
    <xf borderId="77" fillId="11" fontId="3" numFmtId="165" xfId="0" applyAlignment="1" applyBorder="1" applyFill="1" applyFont="1" applyNumberFormat="1">
      <alignment horizontal="center" readingOrder="0" vertical="center"/>
    </xf>
    <xf borderId="79" fillId="2" fontId="3" numFmtId="0" xfId="0" applyAlignment="1" applyBorder="1" applyFill="1" applyFont="1">
      <alignment horizontal="center" vertical="center"/>
    </xf>
    <xf borderId="32" fillId="5" fontId="2" numFmtId="0" xfId="0" applyAlignment="1" applyBorder="1" applyFill="1" applyFont="1">
      <alignment horizontal="center" readingOrder="0" vertical="center"/>
    </xf>
    <xf borderId="32" fillId="5" fontId="3" numFmtId="0" xfId="0" applyAlignment="1" applyBorder="1" applyFill="1" applyFont="1">
      <alignment horizontal="center" readingOrder="0" vertical="center"/>
    </xf>
    <xf borderId="100" fillId="15" fontId="1" numFmtId="0" xfId="0" applyAlignment="1" applyBorder="1" applyFill="1" applyFont="1">
      <alignment horizontal="center" readingOrder="0"/>
    </xf>
    <xf borderId="31" fillId="4" fontId="2" numFmtId="0" xfId="0" applyAlignment="1" applyBorder="1" applyFill="1" applyFont="1">
      <alignment horizontal="center" readingOrder="0" vertical="center"/>
    </xf>
    <xf borderId="32" fillId="6" fontId="2" numFmtId="0" xfId="0" applyAlignment="1" applyBorder="1" applyFill="1" applyFont="1">
      <alignment horizontal="center" vertical="center"/>
    </xf>
    <xf borderId="32" fillId="6" fontId="3" numFmtId="0" xfId="0" applyAlignment="1" applyBorder="1" applyFill="1" applyFont="1">
      <alignment horizontal="center" vertical="center"/>
    </xf>
    <xf borderId="88" fillId="15" fontId="1" numFmtId="0" xfId="0" applyAlignment="1" applyBorder="1" applyFill="1" applyFont="1">
      <alignment horizontal="center" readingOrder="0"/>
    </xf>
    <xf borderId="101" fillId="15" fontId="1" numFmtId="0" xfId="0" applyAlignment="1" applyBorder="1" applyFill="1" applyFont="1">
      <alignment horizontal="center" readingOrder="0"/>
    </xf>
    <xf borderId="24" fillId="15" fontId="1" numFmtId="0" xfId="0" applyAlignment="1" applyBorder="1" applyFill="1" applyFont="1">
      <alignment horizontal="center" readingOrder="0"/>
    </xf>
    <xf borderId="32" fillId="2" fontId="3" numFmtId="0" xfId="0" applyAlignment="1" applyBorder="1" applyFill="1" applyFont="1">
      <alignment horizontal="center" vertical="center"/>
    </xf>
    <xf borderId="102" fillId="15" fontId="1" numFmtId="0" xfId="0" applyAlignment="1" applyBorder="1" applyFill="1" applyFont="1">
      <alignment horizontal="center" readingOrder="0"/>
    </xf>
    <xf borderId="14" fillId="15" fontId="1" numFmtId="165" xfId="0" applyAlignment="1" applyBorder="1" applyFill="1" applyFont="1" applyNumberFormat="1">
      <alignment horizontal="center" readingOrder="0"/>
    </xf>
    <xf borderId="32" fillId="11" fontId="3" numFmtId="165" xfId="0" applyAlignment="1" applyBorder="1" applyFill="1" applyFont="1" applyNumberFormat="1">
      <alignment horizontal="center" vertical="center"/>
    </xf>
    <xf borderId="23" fillId="15" fontId="1" numFmtId="165" xfId="0" applyAlignment="1" applyBorder="1" applyFill="1" applyFont="1" applyNumberFormat="1">
      <alignment horizontal="center" readingOrder="0"/>
    </xf>
    <xf borderId="89" fillId="11" fontId="3" numFmtId="165" xfId="0" applyAlignment="1" applyBorder="1" applyFill="1" applyFont="1" applyNumberFormat="1">
      <alignment horizontal="center" vertical="center"/>
    </xf>
    <xf borderId="98" fillId="16" fontId="1" numFmtId="0" xfId="0" applyAlignment="1" applyBorder="1" applyFill="1" applyFont="1">
      <alignment horizontal="left" readingOrder="0"/>
    </xf>
    <xf borderId="99" fillId="16" fontId="1" numFmtId="0" xfId="0" applyAlignment="1" applyBorder="1" applyFill="1" applyFont="1">
      <alignment horizontal="center" readingOrder="0"/>
    </xf>
    <xf borderId="100" fillId="16" fontId="1" numFmtId="0" xfId="0" applyAlignment="1" applyBorder="1" applyFill="1" applyFont="1">
      <alignment horizontal="center" readingOrder="0"/>
    </xf>
    <xf borderId="88" fillId="16" fontId="1" numFmtId="0" xfId="0" applyAlignment="1" applyBorder="1" applyFill="1" applyFont="1">
      <alignment horizontal="center" readingOrder="0"/>
    </xf>
    <xf borderId="101" fillId="16" fontId="1" numFmtId="0" xfId="0" applyAlignment="1" applyBorder="1" applyFill="1" applyFont="1">
      <alignment horizontal="center" readingOrder="0"/>
    </xf>
    <xf borderId="24" fillId="16" fontId="1" numFmtId="0" xfId="0" applyAlignment="1" applyBorder="1" applyFill="1" applyFont="1">
      <alignment horizontal="center" readingOrder="0"/>
    </xf>
    <xf borderId="102" fillId="16" fontId="1" numFmtId="0" xfId="0" applyAlignment="1" applyBorder="1" applyFill="1" applyFont="1">
      <alignment horizontal="center" readingOrder="0"/>
    </xf>
    <xf borderId="97" fillId="16" fontId="1" numFmtId="168" xfId="0" applyAlignment="1" applyBorder="1" applyFill="1" applyFont="1" applyNumberFormat="1">
      <alignment horizontal="center" readingOrder="0"/>
    </xf>
    <xf borderId="97" fillId="15" fontId="1" numFmtId="168" xfId="0" applyAlignment="1" applyBorder="1" applyFill="1" applyFont="1" applyNumberFormat="1">
      <alignment horizontal="center" readingOrder="0"/>
    </xf>
    <xf borderId="70" fillId="2" fontId="23" numFmtId="0" xfId="0" applyAlignment="1" applyBorder="1" applyFill="1" applyFont="1">
      <alignment horizontal="center" readingOrder="0" vertical="center"/>
    </xf>
    <xf borderId="63" fillId="17" fontId="2" numFmtId="0" xfId="0" applyAlignment="1" applyBorder="1" applyFill="1" applyFont="1">
      <alignment horizontal="center" readingOrder="0"/>
    </xf>
    <xf borderId="63" fillId="6" fontId="2" numFmtId="0" xfId="0" applyAlignment="1" applyBorder="1" applyFill="1" applyFont="1">
      <alignment horizontal="center" readingOrder="0"/>
    </xf>
    <xf borderId="62" fillId="17" fontId="2" numFmtId="0" xfId="0" applyAlignment="1" applyBorder="1" applyFill="1" applyFont="1">
      <alignment horizontal="center"/>
    </xf>
    <xf borderId="62" fillId="17" fontId="3" numFmtId="0" xfId="0" applyAlignment="1" applyBorder="1" applyFill="1" applyFont="1">
      <alignment horizontal="center"/>
    </xf>
    <xf borderId="63" fillId="17" fontId="2" numFmtId="0" xfId="0" applyAlignment="1" applyBorder="1" applyFill="1" applyFont="1">
      <alignment horizontal="center"/>
    </xf>
    <xf borderId="102" fillId="15" fontId="1" numFmtId="0" xfId="0" applyAlignment="1" applyBorder="1" applyFill="1" applyFont="1">
      <alignment horizontal="center"/>
    </xf>
    <xf borderId="103" fillId="15" fontId="1" numFmtId="0" xfId="0" applyAlignment="1" applyBorder="1" applyFill="1" applyFont="1">
      <alignment horizontal="center" readingOrder="0"/>
    </xf>
    <xf borderId="13" fillId="15" fontId="1" numFmtId="0" xfId="0" applyBorder="1" applyFill="1" applyFont="1"/>
    <xf borderId="14" fillId="15" fontId="1" numFmtId="0" xfId="0" applyBorder="1" applyFill="1" applyFont="1"/>
    <xf borderId="70" fillId="2" fontId="24" numFmtId="0" xfId="0" applyAlignment="1" applyBorder="1" applyFill="1" applyFont="1">
      <alignment horizontal="center" readingOrder="0" vertical="center"/>
    </xf>
    <xf borderId="63" fillId="17" fontId="2" numFmtId="0" xfId="0" applyAlignment="1" applyBorder="1" applyFill="1" applyFont="1">
      <alignment horizontal="center" readingOrder="0" vertical="center"/>
    </xf>
    <xf borderId="104" fillId="16" fontId="1" numFmtId="0" xfId="0" applyAlignment="1" applyBorder="1" applyFill="1" applyFont="1">
      <alignment horizontal="center" readingOrder="0"/>
    </xf>
    <xf borderId="105" fillId="16" fontId="1" numFmtId="0" xfId="0" applyAlignment="1" applyBorder="1" applyFill="1" applyFont="1">
      <alignment horizontal="center" readingOrder="0"/>
    </xf>
    <xf borderId="106" fillId="16" fontId="1" numFmtId="0" xfId="0" applyAlignment="1" applyBorder="1" applyFill="1" applyFont="1">
      <alignment horizontal="center" readingOrder="0"/>
    </xf>
    <xf borderId="107" fillId="16" fontId="1" numFmtId="0" xfId="0" applyAlignment="1" applyBorder="1" applyFill="1" applyFont="1">
      <alignment horizontal="center" readingOrder="0"/>
    </xf>
    <xf borderId="52" fillId="16" fontId="1" numFmtId="0" xfId="0" applyAlignment="1" applyBorder="1" applyFill="1" applyFont="1">
      <alignment horizontal="center" readingOrder="0"/>
    </xf>
    <xf borderId="108" fillId="16" fontId="1" numFmtId="0" xfId="0" applyAlignment="1" applyBorder="1" applyFill="1" applyFont="1">
      <alignment horizontal="center" readingOrder="0"/>
    </xf>
    <xf borderId="30" fillId="16" fontId="1" numFmtId="0" xfId="0" applyAlignment="1" applyBorder="1" applyFill="1" applyFont="1">
      <alignment horizontal="center" readingOrder="0"/>
    </xf>
    <xf borderId="109" fillId="16" fontId="1" numFmtId="0" xfId="0" applyAlignment="1" applyBorder="1" applyFill="1" applyFont="1">
      <alignment horizontal="center" readingOrder="0"/>
    </xf>
    <xf borderId="62" fillId="17" fontId="2" numFmtId="0" xfId="0" applyAlignment="1" applyBorder="1" applyFill="1" applyFont="1">
      <alignment horizontal="center" readingOrder="0"/>
    </xf>
    <xf borderId="62" fillId="17" fontId="3" numFmtId="0" xfId="0" applyAlignment="1" applyBorder="1" applyFill="1" applyFont="1">
      <alignment horizontal="center" readingOrder="0"/>
    </xf>
    <xf borderId="96" fillId="16" fontId="1" numFmtId="0" xfId="0" applyAlignment="1" applyBorder="1" applyFill="1" applyFont="1">
      <alignment horizontal="center"/>
    </xf>
    <xf borderId="62" fillId="17" fontId="2" numFmtId="0" xfId="0" applyAlignment="1" applyBorder="1" applyFill="1" applyFont="1">
      <alignment horizontal="center"/>
    </xf>
    <xf borderId="62" fillId="17" fontId="3" numFmtId="0" xfId="0" applyAlignment="1" applyBorder="1" applyFill="1" applyFont="1">
      <alignment horizontal="center"/>
    </xf>
    <xf borderId="24" fillId="15" fontId="1" numFmtId="0" xfId="0" applyAlignment="1" applyBorder="1" applyFill="1" applyFont="1">
      <alignment horizontal="center"/>
    </xf>
    <xf borderId="97" fillId="16" fontId="1" numFmtId="0" xfId="0" applyBorder="1" applyFill="1" applyFont="1"/>
    <xf borderId="100" fillId="16" fontId="1" numFmtId="168" xfId="0" applyAlignment="1" applyBorder="1" applyFill="1" applyFont="1" applyNumberFormat="1">
      <alignment horizontal="center" readingOrder="0"/>
    </xf>
    <xf borderId="88" fillId="16" fontId="1" numFmtId="168" xfId="0" applyAlignment="1" applyBorder="1" applyFill="1" applyFont="1" applyNumberFormat="1">
      <alignment horizontal="center" readingOrder="0"/>
    </xf>
    <xf borderId="101" fillId="16" fontId="1" numFmtId="168" xfId="0" applyAlignment="1" applyBorder="1" applyFill="1" applyFont="1" applyNumberFormat="1">
      <alignment horizontal="center" readingOrder="0"/>
    </xf>
    <xf borderId="24" fillId="16" fontId="1" numFmtId="168" xfId="0" applyAlignment="1" applyBorder="1" applyFill="1" applyFont="1" applyNumberFormat="1">
      <alignment horizontal="center" readingOrder="0"/>
    </xf>
    <xf borderId="97" fillId="15" fontId="1" numFmtId="0" xfId="0" applyBorder="1" applyFill="1" applyFont="1"/>
    <xf borderId="104" fillId="16" fontId="1" numFmtId="0" xfId="0" applyAlignment="1" applyBorder="1" applyFill="1" applyFont="1">
      <alignment horizontal="left" readingOrder="0"/>
    </xf>
    <xf borderId="105" fillId="16" fontId="1" numFmtId="0" xfId="0" applyBorder="1" applyFill="1" applyFont="1"/>
    <xf borderId="109" fillId="16" fontId="1" numFmtId="0" xfId="0" applyAlignment="1" applyBorder="1" applyFill="1" applyFont="1">
      <alignment horizontal="center"/>
    </xf>
    <xf borderId="0" fillId="15" fontId="1" numFmtId="0" xfId="0" applyAlignment="1" applyFill="1" applyFont="1">
      <alignment horizontal="center"/>
    </xf>
    <xf borderId="0" fillId="15" fontId="1" numFmtId="0" xfId="0" applyAlignment="1" applyFill="1" applyFont="1">
      <alignment horizontal="right" readingOrder="0"/>
    </xf>
    <xf borderId="40" fillId="16" fontId="1" numFmtId="168" xfId="0" applyAlignment="1" applyBorder="1" applyFill="1" applyFont="1" applyNumberFormat="1">
      <alignment horizontal="center" readingOrder="0"/>
    </xf>
    <xf borderId="93" fillId="16" fontId="1" numFmtId="168" xfId="0" applyAlignment="1" applyBorder="1" applyFill="1" applyFont="1" applyNumberFormat="1">
      <alignment horizontal="center" readingOrder="0"/>
    </xf>
    <xf borderId="94" fillId="16" fontId="1" numFmtId="168" xfId="0" applyAlignment="1" applyBorder="1" applyFill="1" applyFont="1" applyNumberFormat="1">
      <alignment horizontal="center" readingOrder="0"/>
    </xf>
    <xf borderId="42" fillId="16" fontId="1" numFmtId="168" xfId="0" applyAlignment="1" applyBorder="1" applyFill="1" applyFont="1" applyNumberFormat="1">
      <alignment horizontal="center" readingOrder="0"/>
    </xf>
    <xf borderId="19" fillId="16" fontId="1" numFmtId="0" xfId="0" applyAlignment="1" applyBorder="1" applyFill="1" applyFont="1">
      <alignment horizontal="center"/>
    </xf>
    <xf borderId="0" fillId="16" fontId="1" numFmtId="0" xfId="0" applyAlignment="1" applyFill="1" applyFont="1">
      <alignment horizontal="center"/>
    </xf>
    <xf borderId="0" fillId="16" fontId="1" numFmtId="0" xfId="0" applyAlignment="1" applyFill="1" applyFont="1">
      <alignment horizontal="right" readingOrder="0"/>
    </xf>
    <xf borderId="100" fillId="15" fontId="1" numFmtId="168" xfId="0" applyAlignment="1" applyBorder="1" applyFill="1" applyFont="1" applyNumberFormat="1">
      <alignment horizontal="center" readingOrder="0"/>
    </xf>
    <xf borderId="88" fillId="15" fontId="1" numFmtId="168" xfId="0" applyAlignment="1" applyBorder="1" applyFill="1" applyFont="1" applyNumberFormat="1">
      <alignment horizontal="center" readingOrder="0"/>
    </xf>
    <xf borderId="13" fillId="15" fontId="1" numFmtId="165" xfId="0" applyAlignment="1" applyBorder="1" applyFill="1" applyFont="1" applyNumberFormat="1">
      <alignment horizontal="center" readingOrder="0"/>
    </xf>
    <xf borderId="99" fillId="16" fontId="1" numFmtId="168" xfId="0" applyAlignment="1" applyBorder="1" applyFill="1" applyFont="1" applyNumberFormat="1">
      <alignment horizontal="center" readingOrder="0"/>
    </xf>
    <xf borderId="101" fillId="15" fontId="1" numFmtId="168" xfId="0" applyAlignment="1" applyBorder="1" applyFill="1" applyFont="1" applyNumberFormat="1">
      <alignment horizontal="center" readingOrder="0"/>
    </xf>
    <xf borderId="24" fillId="15" fontId="1" numFmtId="168" xfId="0" applyAlignment="1" applyBorder="1" applyFill="1" applyFont="1" applyNumberFormat="1">
      <alignment horizontal="center" readingOrder="0"/>
    </xf>
    <xf borderId="0" fillId="16" fontId="1" numFmtId="169" xfId="0" applyAlignment="1" applyFill="1" applyFont="1" applyNumberFormat="1">
      <alignment horizontal="left" readingOrder="0"/>
    </xf>
    <xf borderId="0" fillId="16" fontId="1" numFmtId="0" xfId="0" applyAlignment="1" applyFill="1" applyFont="1">
      <alignment readingOrder="0"/>
    </xf>
    <xf borderId="0" fillId="16" fontId="1" numFmtId="0" xfId="0" applyFill="1" applyFont="1"/>
    <xf borderId="99" fillId="15" fontId="1" numFmtId="168" xfId="0" applyAlignment="1" applyBorder="1" applyFill="1" applyFont="1" applyNumberFormat="1">
      <alignment horizontal="center" readingOrder="0"/>
    </xf>
    <xf borderId="0" fillId="15" fontId="1" numFmtId="0" xfId="0" applyFill="1" applyFont="1"/>
    <xf borderId="97" fillId="16" fontId="1" numFmtId="0" xfId="0" applyAlignment="1" applyBorder="1" applyFill="1" applyFont="1">
      <alignment horizontal="center"/>
    </xf>
    <xf borderId="0" fillId="15" fontId="1" numFmtId="169" xfId="0" applyAlignment="1" applyFill="1" applyFont="1" applyNumberFormat="1">
      <alignment horizontal="left" readingOrder="0"/>
    </xf>
    <xf borderId="24" fillId="16" fontId="1" numFmtId="0" xfId="0" applyAlignment="1" applyBorder="1" applyFill="1" applyFont="1">
      <alignment horizontal="center"/>
    </xf>
    <xf borderId="12" fillId="16" fontId="1" numFmtId="0" xfId="0" applyAlignment="1" applyBorder="1" applyFill="1" applyFont="1">
      <alignment horizontal="center"/>
    </xf>
    <xf borderId="12" fillId="15" fontId="1" numFmtId="0" xfId="0" applyAlignment="1" applyBorder="1" applyFill="1" applyFont="1">
      <alignment horizontal="center"/>
    </xf>
    <xf borderId="0" fillId="15" fontId="1" numFmtId="0" xfId="0" applyAlignment="1" applyFill="1" applyFont="1">
      <alignment readingOrder="0"/>
    </xf>
    <xf borderId="98" fillId="16" fontId="1" numFmtId="0" xfId="0" applyAlignment="1" applyBorder="1" applyFill="1" applyFont="1">
      <alignment readingOrder="0"/>
    </xf>
    <xf borderId="98" fillId="15" fontId="1" numFmtId="0" xfId="0" applyAlignment="1" applyBorder="1" applyFill="1" applyFont="1">
      <alignment readingOrder="0"/>
    </xf>
    <xf borderId="97" fillId="15" fontId="1" numFmtId="0" xfId="0" applyAlignment="1" applyBorder="1" applyFill="1" applyFont="1">
      <alignment horizontal="center"/>
    </xf>
    <xf borderId="104" fillId="16" fontId="1" numFmtId="0" xfId="0" applyAlignment="1" applyBorder="1" applyFill="1" applyFont="1">
      <alignment readingOrder="0"/>
    </xf>
    <xf borderId="105" fillId="16" fontId="1" numFmtId="0" xfId="0" applyAlignment="1" applyBorder="1" applyFill="1" applyFont="1">
      <alignment horizontal="center"/>
    </xf>
    <xf borderId="107" fillId="16" fontId="1" numFmtId="168" xfId="0" applyAlignment="1" applyBorder="1" applyFill="1" applyFont="1" applyNumberFormat="1">
      <alignment horizontal="center" readingOrder="0"/>
    </xf>
    <xf borderId="52" fillId="16" fontId="1" numFmtId="168" xfId="0" applyAlignment="1" applyBorder="1" applyFill="1" applyFont="1" applyNumberFormat="1">
      <alignment horizontal="center" readingOrder="0"/>
    </xf>
    <xf borderId="14" fillId="15" fontId="1" numFmtId="165" xfId="0" applyAlignment="1" applyBorder="1" applyFill="1" applyFont="1" applyNumberFormat="1">
      <alignment horizontal="center"/>
    </xf>
    <xf borderId="23" fillId="15" fontId="1" numFmtId="165" xfId="0" applyAlignment="1" applyBorder="1" applyFill="1" applyFont="1" applyNumberFormat="1">
      <alignment horizontal="center"/>
    </xf>
    <xf borderId="23" fillId="15" fontId="1" numFmtId="0" xfId="0" applyAlignment="1" applyBorder="1" applyFill="1" applyFont="1">
      <alignment horizontal="center"/>
    </xf>
    <xf borderId="92" fillId="16" fontId="1" numFmtId="0" xfId="0" applyAlignment="1" applyBorder="1" applyFill="1" applyFont="1">
      <alignment readingOrder="0"/>
    </xf>
    <xf borderId="14" fillId="16" fontId="1" numFmtId="165" xfId="0" applyAlignment="1" applyBorder="1" applyFill="1" applyFont="1" applyNumberFormat="1">
      <alignment horizontal="center"/>
    </xf>
    <xf borderId="23" fillId="16" fontId="1" numFmtId="165" xfId="0" applyAlignment="1" applyBorder="1" applyFill="1" applyFont="1" applyNumberFormat="1">
      <alignment horizontal="center"/>
    </xf>
    <xf borderId="23" fillId="16" fontId="1" numFmtId="0" xfId="0" applyAlignment="1" applyBorder="1" applyFill="1" applyFont="1">
      <alignment horizontal="center"/>
    </xf>
    <xf borderId="40" fillId="16" fontId="1" numFmtId="0" xfId="0" applyAlignment="1" applyBorder="1" applyFill="1" applyFont="1">
      <alignment horizontal="center"/>
    </xf>
    <xf borderId="95" fillId="16" fontId="1" numFmtId="168" xfId="0" applyAlignment="1" applyBorder="1" applyFill="1" applyFont="1" applyNumberFormat="1">
      <alignment horizontal="center" readingOrder="0"/>
    </xf>
    <xf borderId="19" fillId="16" fontId="1" numFmtId="168" xfId="0" applyAlignment="1" applyBorder="1" applyFill="1" applyFont="1" applyNumberFormat="1">
      <alignment horizontal="center" readingOrder="0"/>
    </xf>
    <xf borderId="97" fillId="15" fontId="1" numFmtId="170" xfId="0" applyAlignment="1" applyBorder="1" applyFill="1" applyFont="1" applyNumberFormat="1">
      <alignment horizontal="center" readingOrder="0"/>
    </xf>
    <xf borderId="102" fillId="16" fontId="1" numFmtId="0" xfId="0" applyAlignment="1" applyBorder="1" applyFill="1" applyFont="1">
      <alignment horizontal="center"/>
    </xf>
    <xf borderId="30" fillId="16" fontId="1" numFmtId="0" xfId="0" applyAlignment="1" applyBorder="1" applyFill="1" applyFont="1">
      <alignment horizontal="center"/>
    </xf>
    <xf borderId="22" fillId="16" fontId="1" numFmtId="165" xfId="0" applyAlignment="1" applyBorder="1" applyFill="1" applyFont="1" applyNumberFormat="1">
      <alignment horizontal="center" readingOrder="0"/>
    </xf>
    <xf borderId="20" fillId="16" fontId="1" numFmtId="165" xfId="0" applyAlignment="1" applyBorder="1" applyFill="1" applyFont="1" applyNumberFormat="1">
      <alignment horizontal="center" readingOrder="0"/>
    </xf>
    <xf borderId="20" fillId="16" fontId="1" numFmtId="0" xfId="0" applyAlignment="1" applyBorder="1" applyFill="1" applyFont="1">
      <alignment horizontal="center" readingOrder="0"/>
    </xf>
    <xf borderId="21" fillId="16" fontId="1" numFmtId="0" xfId="0" applyAlignment="1" applyBorder="1" applyFill="1" applyFont="1">
      <alignment horizontal="center"/>
    </xf>
    <xf borderId="78" fillId="15" fontId="1" numFmtId="0" xfId="0" applyAlignment="1" applyBorder="1" applyFill="1" applyFont="1">
      <alignment readingOrder="0"/>
    </xf>
    <xf borderId="10" fillId="15" fontId="1" numFmtId="0" xfId="0" applyAlignment="1" applyBorder="1" applyFill="1" applyFont="1">
      <alignment horizontal="center"/>
    </xf>
    <xf borderId="80" fillId="15" fontId="1" numFmtId="0" xfId="0" applyAlignment="1" applyBorder="1" applyFill="1" applyFont="1">
      <alignment horizontal="center" readingOrder="0"/>
    </xf>
    <xf borderId="79" fillId="15" fontId="1" numFmtId="0" xfId="0" applyAlignment="1" applyBorder="1" applyFill="1" applyFont="1">
      <alignment horizontal="center" readingOrder="0"/>
    </xf>
    <xf borderId="78" fillId="15" fontId="1" numFmtId="0" xfId="0" applyAlignment="1" applyBorder="1" applyFill="1" applyFont="1">
      <alignment horizontal="center"/>
    </xf>
    <xf borderId="91" fillId="15" fontId="1" numFmtId="0" xfId="0" applyAlignment="1" applyBorder="1" applyFill="1" applyFont="1">
      <alignment horizontal="center" readingOrder="0"/>
    </xf>
    <xf borderId="0" fillId="15" fontId="1" numFmtId="0" xfId="0" applyAlignment="1" applyFill="1" applyFont="1">
      <alignment horizontal="center" readingOrder="0"/>
    </xf>
    <xf borderId="78" fillId="16" fontId="1" numFmtId="0" xfId="0" applyAlignment="1" applyBorder="1" applyFill="1" applyFont="1">
      <alignment readingOrder="0"/>
    </xf>
    <xf borderId="10" fillId="16" fontId="1" numFmtId="0" xfId="0" applyAlignment="1" applyBorder="1" applyFill="1" applyFont="1">
      <alignment horizontal="center"/>
    </xf>
    <xf borderId="80" fillId="16" fontId="1" numFmtId="0" xfId="0" applyAlignment="1" applyBorder="1" applyFill="1" applyFont="1">
      <alignment horizontal="center" readingOrder="0"/>
    </xf>
    <xf borderId="79" fillId="16" fontId="1" numFmtId="0" xfId="0" applyAlignment="1" applyBorder="1" applyFill="1" applyFont="1">
      <alignment horizontal="center" readingOrder="0"/>
    </xf>
    <xf borderId="78" fillId="16" fontId="1" numFmtId="0" xfId="0" applyAlignment="1" applyBorder="1" applyFill="1" applyFont="1">
      <alignment horizontal="center"/>
    </xf>
    <xf borderId="91" fillId="16" fontId="1" numFmtId="0" xfId="0" applyAlignment="1" applyBorder="1" applyFill="1" applyFont="1">
      <alignment horizontal="center" readingOrder="0"/>
    </xf>
    <xf borderId="0" fillId="16" fontId="1" numFmtId="0" xfId="0" applyAlignment="1" applyFill="1" applyFont="1">
      <alignment horizontal="center" readingOrder="0"/>
    </xf>
    <xf borderId="32" fillId="14" fontId="1" numFmtId="0" xfId="0" applyAlignment="1" applyBorder="1" applyFill="1" applyFont="1">
      <alignment horizontal="center" readingOrder="0"/>
    </xf>
    <xf borderId="28" fillId="15" fontId="1" numFmtId="0" xfId="0" applyBorder="1" applyFill="1" applyFont="1"/>
    <xf borderId="97" fillId="16" fontId="1" numFmtId="1" xfId="0" applyAlignment="1" applyBorder="1" applyFill="1" applyFont="1" applyNumberFormat="1">
      <alignment horizontal="center" readingOrder="0"/>
    </xf>
    <xf borderId="23" fillId="16" fontId="1" numFmtId="1" xfId="0" applyAlignment="1" applyBorder="1" applyFill="1" applyFont="1" applyNumberFormat="1">
      <alignment horizontal="center" readingOrder="0"/>
    </xf>
    <xf borderId="12" fillId="16" fontId="1" numFmtId="1" xfId="0" applyAlignment="1" applyBorder="1" applyFill="1" applyFont="1" applyNumberFormat="1">
      <alignment horizontal="center" readingOrder="0"/>
    </xf>
    <xf borderId="97" fillId="15" fontId="1" numFmtId="1" xfId="0" applyAlignment="1" applyBorder="1" applyFill="1" applyFont="1" applyNumberFormat="1">
      <alignment horizontal="center" readingOrder="0"/>
    </xf>
    <xf borderId="23" fillId="15" fontId="1" numFmtId="1" xfId="0" applyAlignment="1" applyBorder="1" applyFill="1" applyFont="1" applyNumberFormat="1">
      <alignment horizontal="center" readingOrder="0"/>
    </xf>
    <xf borderId="12" fillId="15" fontId="1" numFmtId="1" xfId="0" applyAlignment="1" applyBorder="1" applyFill="1" applyFont="1" applyNumberFormat="1">
      <alignment horizontal="center" readingOrder="0"/>
    </xf>
    <xf borderId="0" fillId="16" fontId="1" numFmtId="1" xfId="0" applyFill="1" applyFont="1" applyNumberFormat="1"/>
    <xf borderId="0" fillId="15" fontId="1" numFmtId="1" xfId="0" applyFill="1" applyFont="1" applyNumberFormat="1"/>
    <xf borderId="20" fillId="16" fontId="1" numFmtId="1" xfId="0" applyAlignment="1" applyBorder="1" applyFill="1" applyFont="1" applyNumberFormat="1">
      <alignment horizontal="center" readingOrder="0"/>
    </xf>
    <xf borderId="10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78" fillId="0" fontId="1" numFmtId="0" xfId="0" applyAlignment="1" applyBorder="1" applyFont="1">
      <alignment horizontal="center"/>
    </xf>
    <xf borderId="91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31" fillId="0" fontId="1" numFmtId="0" xfId="0" applyAlignment="1" applyBorder="1" applyFont="1">
      <alignment horizontal="center" readingOrder="0"/>
    </xf>
    <xf borderId="110" fillId="0" fontId="1" numFmtId="0" xfId="0" applyAlignment="1" applyBorder="1" applyFont="1">
      <alignment horizontal="left" readingOrder="0"/>
    </xf>
    <xf borderId="110" fillId="0" fontId="1" numFmtId="0" xfId="0" applyAlignment="1" applyBorder="1" applyFont="1">
      <alignment horizontal="left"/>
    </xf>
    <xf borderId="21" fillId="0" fontId="1" numFmtId="0" xfId="0" applyAlignment="1" applyBorder="1" applyFont="1">
      <alignment horizontal="center"/>
    </xf>
    <xf borderId="110" fillId="0" fontId="1" numFmtId="0" xfId="0" applyAlignment="1" applyBorder="1" applyFont="1">
      <alignment horizontal="center" readingOrder="0"/>
    </xf>
    <xf borderId="110" fillId="0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 readingOrder="0"/>
    </xf>
    <xf borderId="111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 readingOrder="0"/>
    </xf>
    <xf borderId="21" fillId="18" fontId="1" numFmtId="0" xfId="0" applyAlignment="1" applyBorder="1" applyFill="1" applyFont="1">
      <alignment horizontal="center"/>
    </xf>
    <xf borderId="110" fillId="18" fontId="1" numFmtId="0" xfId="0" applyAlignment="1" applyBorder="1" applyFill="1" applyFont="1">
      <alignment horizontal="center" readingOrder="0"/>
    </xf>
    <xf borderId="110" fillId="18" fontId="1" numFmtId="0" xfId="0" applyAlignment="1" applyBorder="1" applyFill="1" applyFont="1">
      <alignment horizontal="center"/>
    </xf>
    <xf borderId="21" fillId="18" fontId="1" numFmtId="0" xfId="0" applyAlignment="1" applyBorder="1" applyFill="1" applyFont="1">
      <alignment horizontal="center" readingOrder="0"/>
    </xf>
    <xf borderId="31" fillId="18" fontId="1" numFmtId="0" xfId="0" applyAlignment="1" applyBorder="1" applyFill="1" applyFont="1">
      <alignment horizontal="center"/>
    </xf>
    <xf borderId="0" fillId="18" fontId="1" numFmtId="0" xfId="0" applyAlignment="1" applyFill="1" applyFont="1">
      <alignment horizontal="center" readingOrder="0"/>
    </xf>
    <xf borderId="0" fillId="18" fontId="1" numFmtId="0" xfId="0" applyAlignment="1" applyFill="1" applyFont="1">
      <alignment horizontal="center"/>
    </xf>
    <xf borderId="31" fillId="18" fontId="1" numFmtId="0" xfId="0" applyAlignment="1" applyBorder="1" applyFill="1" applyFont="1">
      <alignment horizontal="center" readingOrder="0"/>
    </xf>
    <xf borderId="111" fillId="0" fontId="1" numFmtId="0" xfId="0" applyAlignment="1" applyBorder="1" applyFont="1">
      <alignment horizontal="center" readingOrder="0"/>
    </xf>
    <xf borderId="0" fillId="0" fontId="3" numFmtId="0" xfId="0" applyAlignment="1" applyFont="1">
      <alignment vertical="bottom"/>
    </xf>
    <xf borderId="11" fillId="0" fontId="3" numFmtId="0" xfId="0" applyAlignment="1" applyBorder="1" applyFont="1">
      <alignment readingOrder="0" vertical="bottom"/>
    </xf>
    <xf borderId="0" fillId="18" fontId="3" numFmtId="0" xfId="0" applyAlignment="1" applyFill="1" applyFont="1">
      <alignment horizontal="center" vertical="bottom"/>
    </xf>
    <xf borderId="0" fillId="18" fontId="3" numFmtId="0" xfId="0" applyAlignment="1" applyFill="1" applyFont="1">
      <alignment horizontal="center" vertical="bottom"/>
    </xf>
    <xf borderId="11" fillId="18" fontId="3" numFmtId="0" xfId="0" applyAlignment="1" applyBorder="1" applyFill="1" applyFont="1">
      <alignment horizontal="center" vertical="bottom"/>
    </xf>
    <xf borderId="0" fillId="18" fontId="3" numFmtId="0" xfId="0" applyAlignment="1" applyFill="1" applyFont="1">
      <alignment horizontal="center" readingOrder="0" vertical="bottom"/>
    </xf>
    <xf borderId="78" fillId="18" fontId="3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11" fillId="0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31" fillId="0" fontId="1" numFmtId="2" xfId="0" applyAlignment="1" applyBorder="1" applyFont="1" applyNumberFormat="1">
      <alignment horizontal="left"/>
    </xf>
    <xf borderId="0" fillId="0" fontId="1" numFmtId="2" xfId="0" applyAlignment="1" applyFont="1" applyNumberFormat="1">
      <alignment horizontal="left"/>
    </xf>
    <xf borderId="0" fillId="0" fontId="1" numFmtId="166" xfId="0" applyAlignment="1" applyFont="1" applyNumberFormat="1">
      <alignment horizontal="left"/>
    </xf>
    <xf borderId="31" fillId="0" fontId="1" numFmtId="0" xfId="0" applyAlignment="1" applyBorder="1" applyFont="1">
      <alignment horizontal="left"/>
    </xf>
    <xf borderId="31" fillId="0" fontId="1" numFmtId="2" xfId="0" applyAlignment="1" applyBorder="1" applyFont="1" applyNumberFormat="1">
      <alignment horizontal="center"/>
    </xf>
    <xf borderId="0" fillId="0" fontId="1" numFmtId="2" xfId="0" applyAlignment="1" applyFont="1" applyNumberFormat="1">
      <alignment horizontal="center"/>
    </xf>
    <xf borderId="80" fillId="0" fontId="1" numFmtId="0" xfId="0" applyAlignment="1" applyBorder="1" applyFont="1">
      <alignment horizontal="center"/>
    </xf>
    <xf borderId="79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31" fillId="0" fontId="1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31" fillId="0" fontId="1" numFmtId="164" xfId="0" applyAlignment="1" applyBorder="1" applyFont="1" applyNumberFormat="1">
      <alignment horizontal="center"/>
    </xf>
    <xf borderId="31" fillId="0" fontId="1" numFmtId="166" xfId="0" applyAlignment="1" applyBorder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borderId="0" fillId="15" fontId="1" numFmtId="0" xfId="0" applyAlignment="1" applyFill="1" applyFont="1">
      <alignment readingOrder="0"/>
    </xf>
    <xf borderId="0" fillId="16" fontId="1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vid Su" id="{0de702c9-3d83-4994-bde4-3f89b852aafd}" providerId="google-sheets"/>
  <x18tc:person displayName="Mark Hyatt" id="{eab24d27-a73b-4778-b0d5-18161e88a5fa}" providerId="google-sheets"/>
  <x18tc:person displayName="Tsuyara (Tsuyara)" id="{ce8f30be-5008-46ae-8e86-f9e0bcaa732a}" providerId="google-sheets"/>
  <x18tc:person displayName="CobraBoogie 315" id="{ed17b265-ce8e-4de8-adc1-46aff6f64cab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6" dT="2019-03-30T10:37:20.00" personId="{eab24d27-a73b-4778-b0d5-18161e88a5fa}" id="{c9afb489-c5e3-4be3-a270-e50cc08f0ba1}" done="1">
    <x18tc:text xml:space="preserve">any chance for the M110 making this list?</x18tc:text>
  </x18tc:threadedComment>
  <x18tc:threadedComment ref="A1" dT="2021-12-27T10:39:36.00" personId="{ed17b265-ce8e-4de8-adc1-46aff6f64cab}" id="{f6673d1e-cc32-4bfb-bfa3-7c0641ff36bd}" done="1">
    <x18tc:text xml:space="preserve">I haven't used this chart since 2018
Funny I found it!!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27" dT="2021-01-28T09:30:37.00" personId="{0de702c9-3d83-4994-bde4-3f89b852aafd}" id="{2e973dd6-b029-4cce-b585-8c57a72ffc3f}" done="1">
    <x18tc:text xml:space="preserve">15 and 25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8" dT="2018-08-31T06:43:55.00" personId="{ce8f30be-5008-46ae-8e86-f9e0bcaa732a}" id="{be7dbf60-9c22-4a67-8679-d6582c6b2a8a}" done="0">
    <x18tc:text xml:space="preserve">1hs+2bs</x18tc:text>
  </x18tc:threadedComment>
  <x18tc:threadedComment ref="C1" dT="2018-08-31T08:41:33.00" personId="{ce8f30be-5008-46ae-8e86-f9e0bcaa732a}" id="{a6e8214b-848f-446e-bc0e-c2cf7649f421}" done="0">
    <x18tc:text xml:space="preserve">Short barrel, bodyshots</x18tc:text>
  </x18tc:threadedComment>
  <x18tc:threadedComment ref="D43" dT="2018-08-31T07:31:50.00" personId="{ce8f30be-5008-46ae-8e86-f9e0bcaa732a}" id="{2d172367-c4b2-4e01-b158-8e2fbb6efaed}" done="0">
    <x18tc:text xml:space="preserve">4hs for SB</x18tc:text>
  </x18tc:threadedComment>
  <x18tc:threadedComment ref="B36" dT="2018-08-31T07:22:23.00" personId="{ce8f30be-5008-46ae-8e86-f9e0bcaa732a}" id="{f9526745-2082-4d36-8602-aa84c4e8f642}" done="0">
    <x18tc:text xml:space="preserve">1hs+2bs in semi</x18tc:text>
  </x18tc:threadedComment>
  <x18tc:threadedComment ref="B1" dT="2018-08-31T08:41:20.00" personId="{ce8f30be-5008-46ae-8e86-f9e0bcaa732a}" id="{d6e9101a-ef0f-4746-9bc4-67545f00ddd8}" done="1">
    <x18tc:text xml:space="preserve">Short barrel, headshots</x18tc:text>
  </x18tc:threadedComment>
  <x18tc:threadedComment ref="D36" dT="2018-08-31T07:21:28.00" personId="{ce8f30be-5008-46ae-8e86-f9e0bcaa732a}" id="{346a5e82-4544-4b1b-9ac6-13f1f119d40b}" done="0">
    <x18tc:text xml:space="preserve">1hs+2bs in semi, 2hs or 1hs+3bs for SB in full</x18tc:text>
  </x18tc:threadedComment>
  <x18tc:threadedComment ref="D79" dT="2018-08-31T07:49:21.00" personId="{ce8f30be-5008-46ae-8e86-f9e0bcaa732a}" id="{d544cf0c-5b7a-48ff-82c0-ed0d1da49683}" done="0">
    <x18tc:text xml:space="preserve">1hs+1bs</x18tc:text>
  </x18tc:threadedComment>
  <x18tc:threadedComment ref="D78" dT="2018-08-31T07:49:12.00" personId="{ce8f30be-5008-46ae-8e86-f9e0bcaa732a}" id="{9183a16e-c753-417f-8366-45eaddfc53cb}" done="0">
    <x18tc:text xml:space="preserve">1hs+2bs</x18tc:text>
  </x18tc:threadedComment>
  <x18tc:threadedComment ref="F36" dT="2018-08-31T07:19:20.00" personId="{ce8f30be-5008-46ae-8e86-f9e0bcaa732a}" id="{c823c80a-fab6-4b13-bdb3-40609d0d3da0}" done="0">
    <x18tc:text xml:space="preserve">1hs+2bs in semi, 1hs+3bs for uni, 1hs+2bs for sb in full</x18tc:text>
  </x18tc:threadedComment>
  <x18tc:threadedComment ref="F33" dT="2018-08-31T07:11:07.00" personId="{ce8f30be-5008-46ae-8e86-f9e0bcaa732a}" id="{18cb2da3-fa4b-45d2-b97f-363ccc994225}" done="0">
    <x18tc:text xml:space="preserve">2hs or 1hs+3bs for SB</x18tc:text>
  </x18tc:threadedComment>
  <x18tc:threadedComment ref="E29" dT="2018-08-31T07:25:39.00" personId="{ce8f30be-5008-46ae-8e86-f9e0bcaa732a}" id="{b1b77c8b-b032-4d01-a901-070335f091b2}" done="0">
    <x18tc:text xml:space="preserve">6bs for regulars in full</x18tc:text>
  </x18tc:threadedComment>
  <x18tc:threadedComment ref="F35" dT="2018-08-31T07:15:58.00" personId="{ce8f30be-5008-46ae-8e86-f9e0bcaa732a}" id="{6f0aebc2-2d59-44a2-9cc6-a588ed0c9952}" done="0">
    <x18tc:text xml:space="preserve">2hs or 1hs+3bs for SB in semi</x18tc:text>
  </x18tc:threadedComment>
  <x18tc:threadedComment ref="D34" dT="2018-08-31T07:14:04.00" personId="{ce8f30be-5008-46ae-8e86-f9e0bcaa732a}" id="{9e320ff0-1722-4932-9601-5b834d2b1c75}" done="0">
    <x18tc:text xml:space="preserve">1hs+3bs for uni, 1hs+2bs for SB in semi</x18tc:text>
  </x18tc:threadedComment>
  <x18tc:threadedComment ref="D77" dT="2018-08-31T07:47:57.00" personId="{ce8f30be-5008-46ae-8e86-f9e0bcaa732a}" id="{9c6f1965-cdc8-49b4-ab80-56c0c978e51e}" done="0">
    <x18tc:text xml:space="preserve">1hs+2bs</x18tc:text>
  </x18tc:threadedComment>
  <x18tc:threadedComment ref="F34" dT="2018-08-31T07:13:31.00" personId="{ce8f30be-5008-46ae-8e86-f9e0bcaa732a}" id="{dffc79e6-1b40-470d-8300-39fabc83f929}" done="0">
    <x18tc:text xml:space="preserve">1hs+2bs in semi</x18tc:text>
  </x18tc:threadedComment>
  <x18tc:threadedComment ref="D76" dT="2018-08-31T07:47:44.00" personId="{ce8f30be-5008-46ae-8e86-f9e0bcaa732a}" id="{d08c1c2d-51f7-4f46-b34f-e238e36d4d9e}" done="0">
    <x18tc:text xml:space="preserve">1hs+2bs</x18tc:text>
  </x18tc:threadedComment>
  <x18tc:threadedComment ref="K13" dT="2018-09-11T13:11:58.00" personId="{ce8f30be-5008-46ae-8e86-f9e0bcaa732a}" id="{7e7e4986-4a72-46db-adb1-7236351e440c}" done="0">
    <x18tc:text xml:space="preserve">from empty mag</x18tc:text>
  </x18tc:threadedComment>
  <x18tc:threadedComment ref="D23" dT="2018-08-31T07:07:55.00" personId="{ce8f30be-5008-46ae-8e86-f9e0bcaa732a}" id="{78553c21-01de-43bb-9485-bfd754ba9e4c}" done="0">
    <x18tc:text xml:space="preserve">3hs for SB in full</x18tc:text>
  </x18tc:threadedComment>
  <x18tc:threadedComment ref="N62" dT="2018-09-09T13:41:49.00" personId="{ce8f30be-5008-46ae-8e86-f9e0bcaa732a}" id="{f86d86cd-6295-4656-8f72-702ece3360a7}" done="0">
    <x18tc:text xml:space="preserve">Possibly no improvement over short barrel</x18tc:text>
  </x18tc:threadedComment>
  <x18tc:threadedComment ref="G34" dT="2018-08-31T07:41:31.00" personId="{ce8f30be-5008-46ae-8e86-f9e0bcaa732a}" id="{87bde62b-bf20-4ec5-a258-8c0021c4f96a}" done="0">
    <x18tc:text xml:space="preserve">5bs for regulars in full</x18tc:text>
  </x18tc:threadedComment>
  <x18tc:threadedComment ref="F30" dT="2018-08-31T07:05:18.00" personId="{ce8f30be-5008-46ae-8e86-f9e0bcaa732a}" id="{121252ea-b4e0-49a1-9d0c-2f53ac80ec37}" done="0">
    <x18tc:text xml:space="preserve">1hs+3bs for uni, 1hs+2bs for SB in semi</x18tc:text>
  </x18tc:threadedComment>
  <x18tc:threadedComment ref="D32" dT="2018-08-31T07:09:23.00" personId="{ce8f30be-5008-46ae-8e86-f9e0bcaa732a}" id="{47cfd511-163b-414e-a730-5601097af6e3}" done="0">
    <x18tc:text xml:space="preserve">1hs+2bs in semi</x18tc:text>
  </x18tc:threadedComment>
  <x18tc:threadedComment ref="F53" dT="2018-08-31T08:15:48.00" personId="{ce8f30be-5008-46ae-8e86-f9e0bcaa732a}" id="{57bf99e7-4dc1-4d5d-b3e4-ff0361c4eb4e}" done="0">
    <x18tc:text xml:space="preserve">2hs for SB in semi</x18tc:text>
  </x18tc:threadedComment>
  <x18tc:threadedComment ref="D30" dT="2018-08-31T07:05:03.00" personId="{ce8f30be-5008-46ae-8e86-f9e0bcaa732a}" id="{236ea0cf-778d-4344-a8d5-0b2c80d75c57}" done="0">
    <x18tc:text xml:space="preserve">2hs or 1hs+3bs for SB in semi</x18tc:text>
  </x18tc:threadedComment>
  <x18tc:threadedComment ref="B34" dT="2018-08-31T07:13:01.00" personId="{ce8f30be-5008-46ae-8e86-f9e0bcaa732a}" id="{45baf539-3d75-4eb5-8c15-1416c962a3d2}" done="0">
    <x18tc:text xml:space="preserve">2hs or 1hs+3bs for SB in semi</x18tc:text>
  </x18tc:threadedComment>
  <x18tc:threadedComment ref="D27" dT="2018-08-31T07:04:55.00" personId="{ce8f30be-5008-46ae-8e86-f9e0bcaa732a}" id="{94222c3d-9f4b-4319-9fca-5a9d9a18d3f6}" done="0">
    <x18tc:text xml:space="preserve">2hs or 1hs+3bs for SB in semi</x18tc:text>
  </x18tc:threadedComment>
  <x18tc:threadedComment ref="F27" dT="2018-08-31T06:58:18.00" personId="{ce8f30be-5008-46ae-8e86-f9e0bcaa732a}" id="{74b6d487-dfdd-4f94-b627-11e84b18e00c}" done="0">
    <x18tc:text xml:space="preserve">1hs+3bs for uni, 1hs+2bs for SB in semi</x18tc:text>
  </x18tc:threadedComment>
  <x18tc:threadedComment ref="D29" dT="2018-08-31T07:01:43.00" personId="{ce8f30be-5008-46ae-8e86-f9e0bcaa732a}" id="{4d73a972-dbac-427f-9fea-b1f865cf61f2}" done="0">
    <x18tc:text xml:space="preserve">2hs or 1hs+3bs for SB in semi</x18tc:text>
  </x18tc:threadedComment>
  <x18tc:threadedComment ref="D72" dT="2018-08-31T07:46:40.00" personId="{ce8f30be-5008-46ae-8e86-f9e0bcaa732a}" id="{42ef8193-4ddd-424d-9e57-1eaa64c728f2}" done="0">
    <x18tc:text xml:space="preserve">4hs for SB</x18tc:text>
  </x18tc:threadedComment>
  <x18tc:threadedComment ref="F29" dT="2018-08-31T07:01:15.00" personId="{ce8f30be-5008-46ae-8e86-f9e0bcaa732a}" id="{50a4dbdc-6024-47c0-acbe-d98d54797342}" done="0">
    <x18tc:text xml:space="preserve">1hs+3bs in semi</x18tc:text>
  </x18tc:threadedComment>
  <x18tc:threadedComment ref="D74" dT="2018-08-31T07:46:30.00" personId="{ce8f30be-5008-46ae-8e86-f9e0bcaa732a}" id="{70345221-fb70-4fe6-a41a-aac58e625ccc}" done="0">
    <x18tc:text xml:space="preserve">4hs for SB</x18tc:text>
  </x18tc:threadedComment>
  <x18tc:threadedComment ref="D48" dT="2018-08-31T07:35:50.00" personId="{ce8f30be-5008-46ae-8e86-f9e0bcaa732a}" id="{7c6e7d7e-9414-49e7-8d01-0f4481db8747}" done="0">
    <x18tc:text xml:space="preserve">4hs for SB</x18tc:text>
  </x18tc:threadedComment>
  <x18tc:threadedComment ref="J13" dT="2018-09-11T13:11:45.00" personId="{ce8f30be-5008-46ae-8e86-f9e0bcaa732a}" id="{02e531ca-5c18-4c4e-a62f-21d8ac120ebd}" done="0">
    <x18tc:text xml:space="preserve">for 1 round</x18tc:text>
  </x18tc:threadedComment>
  <x18tc:threadedComment ref="B62" dT="2018-08-31T08:29:08.00" personId="{ce8f30be-5008-46ae-8e86-f9e0bcaa732a}" id="{4acc383e-ca36-425b-8262-df451d698c3c}" done="0">
    <x18tc:text xml:space="preserve">4hs for SB in full</x18tc:text>
  </x18tc:threadedComment>
  <x18tc:threadedComment ref="O61" dT="2018-09-02T08:28:31.00" personId="{ce8f30be-5008-46ae-8e86-f9e0bcaa732a}" id="{de59603b-daef-4697-8b70-e7439a02f700}" done="0">
    <x18tc:text xml:space="preserve">Possibly no improvement over standard barrel</x18tc:text>
  </x18tc:threadedComment>
  <x18tc:threadedComment ref="D45" dT="2018-08-31T07:34:50.00" personId="{ce8f30be-5008-46ae-8e86-f9e0bcaa732a}" id="{73ddd0df-0183-4c58-b452-33ee73bc293e}" done="0">
    <x18tc:text xml:space="preserve">3hs for SB</x18tc:text>
  </x18tc:threadedComment>
  <x18tc:threadedComment ref="D61" dT="2018-08-31T08:29:00.00" personId="{ce8f30be-5008-46ae-8e86-f9e0bcaa732a}" id="{4c9479c7-8993-4a2e-a021-71670ca58a9f}" done="0">
    <x18tc:text xml:space="preserve">4hs for SB in full</x18tc:text>
  </x18tc:threadedComment>
  <x18tc:threadedComment ref="D31" dT="2018-08-31T07:08:06.00" personId="{ce8f30be-5008-46ae-8e86-f9e0bcaa732a}" id="{70d2a08e-be86-47dd-9fe4-cca149fe7e6e}" done="0">
    <x18tc:text xml:space="preserve">3hs for SB in full</x18tc:text>
  </x18tc:threadedComment>
  <x18tc:threadedComment ref="F57" dT="2018-08-31T08:26:03.00" personId="{ce8f30be-5008-46ae-8e86-f9e0bcaa732a}" id="{d82320bb-6b00-4de5-abfa-9b23ba9f5515}" done="0">
    <x18tc:text xml:space="preserve">2hs for SB in semi</x18tc:text>
  </x18tc:threadedComment>
  <x18tc:threadedComment ref="F26" dT="2018-08-31T06:53:58.00" personId="{ce8f30be-5008-46ae-8e86-f9e0bcaa732a}" id="{f39312d5-63aa-40f2-82bc-4b2e34874543}" done="0">
    <x18tc:text xml:space="preserve">1hs+3bs in semi</x18tc:text>
  </x18tc:threadedComment>
  <x18tc:threadedComment ref="D26" dT="2018-08-31T06:53:28.00" personId="{ce8f30be-5008-46ae-8e86-f9e0bcaa732a}" id="{53417bae-5d84-474c-9ed2-70a231fc8d53}" done="0">
    <x18tc:text xml:space="preserve">2hs or 1hs+3bs for SB in semi</x18tc:text>
  </x18tc:threadedComment>
  <x18tc:threadedComment ref="G57" dT="2018-08-31T08:25:24.00" personId="{ce8f30be-5008-46ae-8e86-f9e0bcaa732a}" id="{3f307d48-449a-467a-a9ec-bba86196c57c}" done="0">
    <x18tc:text xml:space="preserve">5bs for regulars in semi</x18tc:text>
  </x18tc:threadedComment>
  <x18tc:threadedComment ref="D44" dT="2018-08-31T07:34:41.00" personId="{ce8f30be-5008-46ae-8e86-f9e0bcaa732a}" id="{24deb7bb-ebad-472d-9ef1-b1a73ed61cf6}" done="0">
    <x18tc:text xml:space="preserve">3hs for SB</x18tc:text>
  </x18tc:threadedComment>
  <x18tc:threadedComment ref="D24" dT="2018-08-31T06:49:52.00" personId="{ce8f30be-5008-46ae-8e86-f9e0bcaa732a}" id="{91177e5e-def1-4246-83d1-b82297203214}" done="0">
    <x18tc:text xml:space="preserve">1hs+2bs in semi</x18tc:text>
  </x18tc:threadedComment>
  <x18tc:threadedComment ref="D17" dT="2018-08-31T06:26:30.00" personId="{ce8f30be-5008-46ae-8e86-f9e0bcaa732a}" id="{34fd53a8-5585-42e8-81a1-6c149fa998ec}" done="0">
    <x18tc:text xml:space="preserve">1hs+1bs</x18tc:text>
  </x18tc:threadedComment>
  <x18tc:threadedComment ref="F39" dT="2018-08-31T07:30:35.00" personId="{ce8f30be-5008-46ae-8e86-f9e0bcaa732a}" id="{7e860674-7cc6-4703-a0e7-96c849145912}" done="0">
    <x18tc:text xml:space="preserve">2hs or 1hs+3bs for SB in semi</x18tc:text>
  </x18tc:threadedComment>
  <x18tc:threadedComment ref="G40" dT="2018-08-31T07:29:30.00" personId="{ce8f30be-5008-46ae-8e86-f9e0bcaa732a}" id="{2d0c9f68-d12c-4dae-a8f9-1c02dc1170a6}" done="0">
    <x18tc:text xml:space="preserve">6bs for regulars in full</x18tc:text>
  </x18tc:threadedComment>
  <x18tc:threadedComment ref="F1" dT="2018-08-31T08:42:42.00" personId="{ce8f30be-5008-46ae-8e86-f9e0bcaa732a}" id="{680d5874-72a7-4f93-a4cd-f63a0a1b760c}" done="0">
    <x18tc:text xml:space="preserve">Long barrel, headshots</x18tc:text>
  </x18tc:threadedComment>
  <x18tc:threadedComment ref="E26" dT="2018-08-31T06:55:00.00" personId="{ce8f30be-5008-46ae-8e86-f9e0bcaa732a}" id="{66d81878-085f-4341-abf9-db93d048b16e}" done="0">
    <x18tc:text xml:space="preserve">6bs for regulars in full</x18tc:text>
  </x18tc:threadedComment>
  <x18tc:threadedComment ref="F55" dT="2018-08-31T08:21:59.00" personId="{ce8f30be-5008-46ae-8e86-f9e0bcaa732a}" id="{21871731-c90d-428e-bb8e-6ca9d34e6264}" done="0">
    <x18tc:text xml:space="preserve">3hs for SB in full</x18tc:text>
  </x18tc:threadedComment>
  <x18tc:threadedComment ref="F37" dT="2018-08-31T07:27:03.00" personId="{ce8f30be-5008-46ae-8e86-f9e0bcaa732a}" id="{60c77c8f-d88e-4148-85ef-2ea097e616b6}" done="0">
    <x18tc:text xml:space="preserve">2hs or 1hs+3bs for SB in semi</x18tc:text>
  </x18tc:threadedComment>
  <x18tc:threadedComment ref="F58" dT="2018-08-31T08:17:48.00" personId="{ce8f30be-5008-46ae-8e86-f9e0bcaa732a}" id="{56a32475-87ec-474c-944c-53bdbbd18517}" done="0">
    <x18tc:text xml:space="preserve">2hs for SB in semi</x18tc:text>
  </x18tc:threadedComment>
  <x18tc:threadedComment ref="F40" dT="2018-08-31T07:29:05.00" personId="{ce8f30be-5008-46ae-8e86-f9e0bcaa732a}" id="{e550044e-071a-4541-ba14-13224e255059}" done="0">
    <x18tc:text xml:space="preserve">2hs or 1hs+3bs for SB in semi</x18tc:text>
  </x18tc:threadedComment>
  <x18tc:threadedComment ref="G1" dT="2018-08-31T08:42:52.00" personId="{ce8f30be-5008-46ae-8e86-f9e0bcaa732a}" id="{426cf93b-eba8-4373-931c-98a4e3fa5010}" done="0">
    <x18tc:text xml:space="preserve">Long barrel, bodyshots</x18tc:text>
  </x18tc:threadedComment>
  <x18tc:threadedComment ref="F38" dT="2018-08-31T07:28:52.00" personId="{ce8f30be-5008-46ae-8e86-f9e0bcaa732a}" id="{9c44ce01-d1c0-4b06-bc78-b07b49c312c4}" done="0">
    <x18tc:text xml:space="preserve">2hs or 1hs+3bs for SB in semi</x18tc:text>
  </x18tc:threadedComment>
  <x18tc:threadedComment ref="G38" dT="2018-08-31T07:28:32.00" personId="{ce8f30be-5008-46ae-8e86-f9e0bcaa732a}" id="{cae7fe4e-cdf1-4d97-b95e-c05fc96baa77}" done="0">
    <x18tc:text xml:space="preserve">6bs for regulars in full</x18tc:text>
  </x18tc:threadedComment>
  <x18tc:threadedComment ref="F54" dT="2018-08-31T08:17:40.00" personId="{ce8f30be-5008-46ae-8e86-f9e0bcaa732a}" id="{c06d2999-e64a-49a6-89f2-8dd61241d3df}" done="0">
    <x18tc:text xml:space="preserve">2hs for SB in semi</x18tc:text>
  </x18tc:threadedComment>
  <x18tc:threadedComment ref="G37" dT="2018-08-31T07:26:09.00" personId="{ce8f30be-5008-46ae-8e86-f9e0bcaa732a}" id="{f15ae1b0-1b48-4a74-b225-6c4e3d9756cd}" done="0">
    <x18tc:text xml:space="preserve">6bs for regulars in full</x18tc:text>
  </x18tc:threadedComment>
  <x18tc:threadedComment ref="E1" dT="2018-08-31T08:42:24.00" personId="{ce8f30be-5008-46ae-8e86-f9e0bcaa732a}" id="{82f03329-bafa-4d15-80cb-e08ec8d01a05}" done="0">
    <x18tc:text xml:space="preserve">Standard barrel, bodyshots</x18tc:text>
  </x18tc:threadedComment>
  <x18tc:threadedComment ref="F51" dT="2018-08-31T08:11:18.00" personId="{ce8f30be-5008-46ae-8e86-f9e0bcaa732a}" id="{46e1fedf-eae4-4474-a3cb-f58316d09063}" done="0">
    <x18tc:text xml:space="preserve">3hs for SB in full</x18tc:text>
  </x18tc:threadedComment>
  <x18tc:threadedComment ref="E20" dT="2018-08-31T06:45:56.00" personId="{ce8f30be-5008-46ae-8e86-f9e0bcaa732a}" id="{ab1b5561-f0b4-4891-a438-7c6db6d3c9e1}" done="0">
    <x18tc:text xml:space="preserve">9bs for regulars</x18tc:text>
  </x18tc:threadedComment>
  <x18tc:threadedComment ref="D1" dT="2018-08-31T08:41:53.00" personId="{ce8f30be-5008-46ae-8e86-f9e0bcaa732a}" id="{d81a9545-7ec1-4d73-bad7-3ae7ea308965}" done="0">
    <x18tc:text xml:space="preserve">Standard barrel, headshots</x18tc:text>
  </x18tc:threadedComment>
  <x18tc:threadedComment ref="B18" dT="2018-08-31T06:44:08.00" personId="{ce8f30be-5008-46ae-8e86-f9e0bcaa732a}" id="{98599fec-8181-44bf-9378-18b135e25da1}" done="0">
    <x18tc:text xml:space="preserve">1hs+2bs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5" dT="2018-09-12T19:24:20.00" personId="{ce8f30be-5008-46ae-8e86-f9e0bcaa732a}" id="{326c93c1-88a5-4742-b356-f4730f5a6cd1}" done="0">
    <x18tc:text xml:space="preserve">5bs for regulars</x18tc:text>
  </x18tc:threadedComment>
  <x18tc:threadedComment ref="G25" dT="2018-09-10T17:37:25.00" personId="{ce8f30be-5008-46ae-8e86-f9e0bcaa732a}" id="{6670e757-8914-41e6-ac81-6bd61dcdb7dc}" done="0">
    <x18tc:text xml:space="preserve">6bs for regulars in semi</x18tc:text>
  </x18tc:threadedComment>
  <x18tc:threadedComment ref="B18" dT="2018-09-08T19:33:12.00" personId="{ce8f30be-5008-46ae-8e86-f9e0bcaa732a}" id="{b783e46d-e1df-439d-8d25-495120cc9182}" done="0">
    <x18tc:text xml:space="preserve">1hs for SB</x18tc:text>
  </x18tc:threadedComment>
  <x18tc:threadedComment ref="C17" dT="2018-09-08T19:31:40.00" personId="{ce8f30be-5008-46ae-8e86-f9e0bcaa732a}" id="{8f6ce497-1e8f-4966-9bea-a151d7773fa9}" done="0">
    <x18tc:text xml:space="preserve">2bs for regulars</x18tc:text>
  </x18tc:threadedComment>
  <x18tc:threadedComment ref="E23" dT="2018-09-10T17:09:09.00" personId="{ce8f30be-5008-46ae-8e86-f9e0bcaa732a}" id="{79f4d8a3-5c5b-439e-8fd3-832fe6b1520e}" done="0">
    <x18tc:text xml:space="preserve">8bs for regulars in full</x18tc:text>
  </x18tc:threadedComment>
  <x18tc:threadedComment ref="C23" dT="2018-09-10T17:32:08.00" personId="{ce8f30be-5008-46ae-8e86-f9e0bcaa732a}" id="{1e1c1ad3-19db-412c-b5eb-5df8435b7e84}" done="0">
    <x18tc:text xml:space="preserve">8bs!? for regulars in semi</x18tc:text>
  </x18tc:threadedComment>
  <x18tc:threadedComment ref="E19" dT="2018-09-12T19:14:36.00" personId="{ce8f30be-5008-46ae-8e86-f9e0bcaa732a}" id="{5e113448-bfca-4a9c-9241-396c39c7e8a5}" done="0">
    <x18tc:text xml:space="preserve">4/5bs for regulars</x18tc:text>
  </x18tc:threadedComment>
  <x18tc:threadedComment ref="C46" dT="2018-09-09T14:46:47.00" personId="{ce8f30be-5008-46ae-8e86-f9e0bcaa732a}" id="{b787f869-1eea-4e64-93d2-91add569954a}" done="0">
    <x18tc:text xml:space="preserve">6bs for regulars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X44" dT="2018-08-24T05:45:05.00" personId="{ce8f30be-5008-46ae-8e86-f9e0bcaa732a}" id="{d7c1ea83-605e-475f-9ee3-a80d003e15b1}" done="0">
    <x18tc:text xml:space="preserve">+3 Body shots</x18tc:text>
  </x18tc:threadedComment>
  <x18tc:threadedComment ref="X43" dT="2018-08-18T00:19:08.00" personId="{ce8f30be-5008-46ae-8e86-f9e0bcaa732a}" id="{6b5981d4-93a1-42fc-a049-6c6f3990a27d}" done="0">
    <x18tc:text xml:space="preserve">+2 Body shots, +4 Leg shots</x18tc:text>
  </x18tc:threadedComment>
  <x18tc:threadedComment ref="X182" dT="2018-08-25T11:13:03.00" personId="{ce8f30be-5008-46ae-8e86-f9e0bcaa732a}" id="{88776768-67a9-4445-afb3-98a6f7635fac}" done="0">
    <x18tc:text xml:space="preserve">+2 Body shots</x18tc:text>
  </x18tc:threadedComment>
  <x18tc:threadedComment ref="X103" dT="2018-08-20T01:18:56.00" personId="{ce8f30be-5008-46ae-8e86-f9e0bcaa732a}" id="{6045bde0-1423-49b0-b88d-55910ef1ae32}" done="0">
    <x18tc:text xml:space="preserve">+2 Body shots</x18tc:text>
  </x18tc:threadedComment>
  <x18tc:threadedComment ref="R41" dT="2018-08-18T00:18:19.00" personId="{ce8f30be-5008-46ae-8e86-f9e0bcaa732a}" id="{10cd7102-8f93-4c71-8d6a-2d94207ec989}" done="0">
    <x18tc:text xml:space="preserve">+2 Body shots, +3 Leg shots</x18tc:text>
  </x18tc:threadedComment>
  <x18tc:threadedComment ref="X41" dT="2018-08-18T00:18:48.00" personId="{ce8f30be-5008-46ae-8e86-f9e0bcaa732a}" id="{2670d97d-ba49-4cf5-8dcf-15a0edbe2139}" done="0">
    <x18tc:text xml:space="preserve">+2 Body shots, +3 Leg shots</x18tc:text>
  </x18tc:threadedComment>
  <x18tc:threadedComment ref="R216" dT="2018-08-24T14:56:57.00" personId="{ce8f30be-5008-46ae-8e86-f9e0bcaa732a}" id="{52becd17-259d-440c-b679-5a838e683805}" done="0">
    <x18tc:text xml:space="preserve">+1 Body shot</x18tc:text>
  </x18tc:threadedComment>
  <x18tc:threadedComment ref="R87" dT="2018-08-24T07:57:01.00" personId="{ce8f30be-5008-46ae-8e86-f9e0bcaa732a}" id="{b5050f88-22b0-476e-8b24-761a7d25d3d5}" done="0">
    <x18tc:text xml:space="preserve">+2 Body shots</x18tc:text>
  </x18tc:threadedComment>
  <x18tc:threadedComment ref="R55" dT="2018-08-21T03:53:15.00" personId="{ce8f30be-5008-46ae-8e86-f9e0bcaa732a}" id="{b5db2ccc-5974-420c-affb-e677615a146e}" done="0">
    <x18tc:text xml:space="preserve">+3 Body shots</x18tc:text>
  </x18tc:threadedComment>
  <x18tc:threadedComment ref="R45" dT="2018-08-22T05:57:07.00" personId="{ce8f30be-5008-46ae-8e86-f9e0bcaa732a}" id="{33f73d3c-c2ec-48fb-bfeb-a43c2fd4dc74}" done="0">
    <x18tc:text xml:space="preserve">+3 Body shots</x18tc:text>
  </x18tc:threadedComment>
  <x18tc:threadedComment ref="X213" dT="2018-08-24T14:05:08.00" personId="{ce8f30be-5008-46ae-8e86-f9e0bcaa732a}" id="{6882ef81-f1a3-4c0e-a3f8-0c4d5b6f637e}" done="0">
    <x18tc:text xml:space="preserve">+2 Body shots</x18tc:text>
  </x18tc:threadedComment>
  <x18tc:threadedComment ref="U108" dT="2018-08-20T01:23:28.00" personId="{ce8f30be-5008-46ae-8e86-f9e0bcaa732a}" id="{6d207894-5e14-42b9-a0b3-744109a4bd4a}" done="0">
    <x18tc:text xml:space="preserve">+1 Body shot</x18tc:text>
  </x18tc:threadedComment>
  <x18tc:threadedComment ref="R115" dT="2018-08-24T09:38:10.00" personId="{ce8f30be-5008-46ae-8e86-f9e0bcaa732a}" id="{5b9b7713-3ca6-4d81-9ea3-2c51995175f2}" done="0">
    <x18tc:text xml:space="preserve">+3 Body shots</x18tc:text>
  </x18tc:threadedComment>
  <x18tc:threadedComment ref="X87" dT="2018-08-24T07:46:23.00" personId="{ce8f30be-5008-46ae-8e86-f9e0bcaa732a}" id="{b2a5b6f5-ef5b-484f-8bfe-6cc22854da33}" done="0">
    <x18tc:text xml:space="preserve">+3 Body shots</x18tc:text>
  </x18tc:threadedComment>
  <x18tc:threadedComment ref="R25" dT="2018-08-21T03:39:19.00" personId="{ce8f30be-5008-46ae-8e86-f9e0bcaa732a}" id="{9e109569-474e-46cc-9ed3-86907cdfeed9}" done="1">
    <x18tc:text xml:space="preserve">+2 Body shots</x18tc:text>
  </x18tc:threadedComment>
  <x18tc:threadedComment ref="L41" dT="2018-08-18T00:17:44.00" personId="{ce8f30be-5008-46ae-8e86-f9e0bcaa732a}" id="{000558cf-9f37-4154-8248-1e3576845f9c}" done="0">
    <x18tc:text xml:space="preserve">+2 Body shots, +3 Leg shots</x18tc:text>
  </x18tc:threadedComment>
  <x18tc:threadedComment ref="X23" dT="2018-08-24T14:05:29.00" personId="{ce8f30be-5008-46ae-8e86-f9e0bcaa732a}" id="{a8e3bc42-ebde-4c21-802e-71ef6c76aab2}" done="0">
    <x18tc:text xml:space="preserve">+1 Body shot</x18tc:text>
  </x18tc:threadedComment>
  <x18tc:threadedComment ref="R44" dT="2018-08-22T05:58:07.00" personId="{ce8f30be-5008-46ae-8e86-f9e0bcaa732a}" id="{41ebb472-534f-49cb-bebe-5bd287e3604a}" done="0">
    <x18tc:text xml:space="preserve">+2 Body shots</x18tc:text>
  </x18tc:threadedComment>
  <x18tc:threadedComment ref="X26" dT="2018-08-21T03:42:06.00" personId="{ce8f30be-5008-46ae-8e86-f9e0bcaa732a}" id="{1d5181f4-b6c1-4462-af33-573af794284a}" done="0">
    <x18tc:text xml:space="preserve">+2 Body shots</x18tc:text>
  </x18tc:threadedComment>
  <x18tc:threadedComment ref="R84" dT="2018-08-24T07:31:11.00" personId="{ce8f30be-5008-46ae-8e86-f9e0bcaa732a}" id="{ac682787-b046-4679-8551-ebcc9232c5c6}" done="0">
    <x18tc:text xml:space="preserve">+3 Body shots</x18tc:text>
  </x18tc:threadedComment>
  <x18tc:threadedComment ref="R119" dT="2018-08-24T11:02:03.00" personId="{ce8f30be-5008-46ae-8e86-f9e0bcaa732a}" id="{3057b0e6-efce-4e13-a60a-fc323740596f}" done="0">
    <x18tc:text xml:space="preserve">+3 Body shots</x18tc:text>
  </x18tc:threadedComment>
  <x18tc:threadedComment ref="X42" dT="2018-08-18T00:18:54.00" personId="{ce8f30be-5008-46ae-8e86-f9e0bcaa732a}" id="{5cf29b05-eb5c-4150-9664-7f2e518c5a27}" done="0">
    <x18tc:text xml:space="preserve">+2 Body shots, +3 Leg shots</x18tc:text>
  </x18tc:threadedComment>
  <x18tc:threadedComment ref="X25" dT="2018-08-21T03:40:02.00" personId="{ce8f30be-5008-46ae-8e86-f9e0bcaa732a}" id="{98d50b4f-af53-4f0a-b3f3-4ce840a4d503}" done="0">
    <x18tc:text xml:space="preserve">+2 Body shots</x18tc:text>
  </x18tc:threadedComment>
  <x18tc:threadedComment ref="U171" dT="2018-08-18T08:12:41.00" personId="{ce8f30be-5008-46ae-8e86-f9e0bcaa732a}" id="{afe3cca8-798f-4b3b-bd7c-3db47a054ad4}" done="0">
    <x18tc:text xml:space="preserve">+3 Body shots</x18tc:text>
  </x18tc:threadedComment>
  <x18tc:threadedComment ref="R97" dT="2018-08-24T08:54:32.00" personId="{ce8f30be-5008-46ae-8e86-f9e0bcaa732a}" id="{c9bb6b35-5bdd-4eb4-90aa-eb977a467f9f}" done="0">
    <x18tc:text xml:space="preserve">+3 Body shots</x18tc:text>
  </x18tc:threadedComment>
  <x18tc:threadedComment ref="X97" dT="2018-08-24T08:32:15.00" personId="{ce8f30be-5008-46ae-8e86-f9e0bcaa732a}" id="{e3e1a1c9-c589-4e50-a829-5ca1392d8f62}" done="0">
    <x18tc:text xml:space="preserve">+3 Body shots</x18tc:text>
  </x18tc:threadedComment>
  <x18tc:threadedComment ref="U137" dT="2018-08-18T08:18:04.00" personId="{ce8f30be-5008-46ae-8e86-f9e0bcaa732a}" id="{0c67d288-7f58-4d89-b029-1a7bce343772}" done="0">
    <x18tc:text xml:space="preserve">+5 Body shots</x18tc:text>
  </x18tc:threadedComment>
  <x18tc:threadedComment ref="U52" dT="2018-08-18T02:26:15.00" personId="{ce8f30be-5008-46ae-8e86-f9e0bcaa732a}" id="{edec558e-b68d-4f6f-95a3-b919dd471b40}" done="0">
    <x18tc:text xml:space="preserve">+1 Body shot</x18tc:text>
  </x18tc:threadedComment>
  <x18tc:threadedComment ref="U218" dT="2018-08-24T14:47:58.00" personId="{ce8f30be-5008-46ae-8e86-f9e0bcaa732a}" id="{f8663cce-75b5-4774-99a4-e86425098364}" done="0">
    <x18tc:text xml:space="preserve">2hs+1bs enough to kill, but 1hs+8bs</x18tc:text>
  </x18tc:threadedComment>
  <x18tc:threadedComment ref="U168" dT="2018-08-18T08:04:35.00" personId="{ce8f30be-5008-46ae-8e86-f9e0bcaa732a}" id="{f275b5f9-eacc-4dcf-a1a6-3cce6c36ae11}" done="0">
    <x18tc:text xml:space="preserve">+1 Body shot</x18tc:text>
  </x18tc:threadedComment>
  <x18tc:threadedComment ref="R62" dT="2018-08-21T04:58:20.00" personId="{ce8f30be-5008-46ae-8e86-f9e0bcaa732a}" id="{0bcae917-4df0-4321-be01-803346b4b031}" done="0">
    <x18tc:text xml:space="preserve">+3 Body shots</x18tc:text>
  </x18tc:threadedComment>
  <x18tc:threadedComment ref="U136" dT="2018-08-18T08:17:29.00" personId="{ce8f30be-5008-46ae-8e86-f9e0bcaa732a}" id="{f59df3b2-157a-46fe-a7bf-28baa1f5310e}" done="0">
    <x18tc:text xml:space="preserve">+4 Body shots</x18tc:text>
  </x18tc:threadedComment>
  <x18tc:threadedComment ref="I66" dT="2018-09-10T17:05:08.00" personId="{ce8f30be-5008-46ae-8e86-f9e0bcaa732a}" id="{cecf058a-4d11-4a01-9cb5-3e52e4020982}" done="0">
    <x18tc:text xml:space="preserve">+1 Body shot</x18tc:text>
  </x18tc:threadedComment>
  <x18tc:threadedComment ref="X83" dT="2018-08-24T07:15:54.00" personId="{ce8f30be-5008-46ae-8e86-f9e0bcaa732a}" id="{460c94be-3bd4-4eaf-bb41-ba43f89b2455}" done="0">
    <x18tc:text xml:space="preserve">+3 Body shots</x18tc:text>
  </x18tc:threadedComment>
  <x18tc:threadedComment ref="X61" dT="2018-08-21T06:03:49.00" personId="{ce8f30be-5008-46ae-8e86-f9e0bcaa732a}" id="{53bd3136-7bfd-46f7-b6c9-01e3f62fb8ac}" done="0">
    <x18tc:text xml:space="preserve">+3 Body shots</x18tc:text>
  </x18tc:threadedComment>
  <x18tc:threadedComment ref="U29" dT="2018-08-18T01:05:02.00" personId="{ce8f30be-5008-46ae-8e86-f9e0bcaa732a}" id="{f77fbf0d-673d-4218-a6d7-a40604919a4e}" done="0">
    <x18tc:text xml:space="preserve">+3 Body shots</x18tc:text>
  </x18tc:threadedComment>
  <x18tc:threadedComment ref="U212" dT="2018-08-18T08:14:05.00" personId="{ce8f30be-5008-46ae-8e86-f9e0bcaa732a}" id="{ab3eb946-c235-48d4-9237-7ebfad33d4e6}" done="0">
    <x18tc:text xml:space="preserve">+3 Body shots</x18tc:text>
  </x18tc:threadedComment>
  <x18tc:threadedComment ref="R144" dT="2018-08-24T12:27:10.00" personId="{ce8f30be-5008-46ae-8e86-f9e0bcaa732a}" id="{72cef40c-cbac-409e-9cc9-155ebd869286}" done="0">
    <x18tc:text xml:space="preserve">+3 Body shots</x18tc:text>
  </x18tc:threadedComment>
  <x18tc:threadedComment ref="U28" dT="2018-08-18T01:04:50.00" personId="{ce8f30be-5008-46ae-8e86-f9e0bcaa732a}" id="{c8aae895-576b-481f-b85e-e54ea9695a99}" done="0">
    <x18tc:text xml:space="preserve">+1 Body shot</x18tc:text>
  </x18tc:threadedComment>
  <x18tc:threadedComment ref="U54" dT="2018-08-18T03:02:47.00" personId="{ce8f30be-5008-46ae-8e86-f9e0bcaa732a}" id="{e79493d9-bf6e-4dc2-b050-cffea5b78c88}" done="0">
    <x18tc:text xml:space="preserve">+1 Body shot</x18tc:text>
  </x18tc:threadedComment>
  <x18tc:threadedComment ref="X47" dT="2018-08-18T02:14:51.00" personId="{ce8f30be-5008-46ae-8e86-f9e0bcaa732a}" id="{718b1fd4-2649-4c32-b0f8-625f91765801}" done="0">
    <x18tc:text xml:space="preserve">+2 Body shots, +4 Leg shots</x18tc:text>
  </x18tc:threadedComment>
  <x18tc:threadedComment ref="U109" dT="2018-08-18T18:08:21.00" personId="{ce8f30be-5008-46ae-8e86-f9e0bcaa732a}" id="{43a6e56f-b7fd-409a-8dfa-76edbc97fa1a}" done="0">
    <x18tc:text xml:space="preserve">+6 Body shots</x18tc:text>
  </x18tc:threadedComment>
  <x18tc:threadedComment ref="U30" dT="2018-08-18T01:05:14.00" personId="{ce8f30be-5008-46ae-8e86-f9e0bcaa732a}" id="{baedf078-57cf-453e-963b-da20015dada2}" done="0">
    <x18tc:text xml:space="preserve">+3 Body shots</x18tc:text>
  </x18tc:threadedComment>
  <x18tc:threadedComment ref="R145" dT="2018-08-24T12:27:02.00" personId="{ce8f30be-5008-46ae-8e86-f9e0bcaa732a}" id="{36e4b2bd-324b-4e0d-8867-ed2f4d70a899}" done="0">
    <x18tc:text xml:space="preserve">+4 Body shots</x18tc:text>
  </x18tc:threadedComment>
  <x18tc:threadedComment ref="R214" dT="2018-08-24T14:21:49.00" personId="{ce8f30be-5008-46ae-8e86-f9e0bcaa732a}" id="{b33b9a66-9301-4de7-b5b5-6b28607c280a}" done="0">
    <x18tc:text xml:space="preserve">+2 Body shots</x18tc:text>
  </x18tc:threadedComment>
  <x18tc:threadedComment ref="R123" dT="2018-08-24T11:33:17.00" personId="{ce8f30be-5008-46ae-8e86-f9e0bcaa732a}" id="{49974136-5242-471e-b5b5-4f9dae2a2229}" done="0">
    <x18tc:text xml:space="preserve">+3 Body shots</x18tc:text>
  </x18tc:threadedComment>
  <x18tc:threadedComment ref="U169" dT="2018-08-18T08:06:18.00" personId="{ce8f30be-5008-46ae-8e86-f9e0bcaa732a}" id="{4f672cbc-f841-4ed4-bce8-33cc7d78c053}" done="0">
    <x18tc:text xml:space="preserve">+1 Body shot</x18tc:text>
  </x18tc:threadedComment>
  <x18tc:threadedComment ref="R83" dT="2018-08-24T07:31:04.00" personId="{ce8f30be-5008-46ae-8e86-f9e0bcaa732a}" id="{08387905-4c02-44fb-844a-a7d0e82596c1}" done="0">
    <x18tc:text xml:space="preserve">+3 Body shots</x18tc:text>
  </x18tc:threadedComment>
  <x18tc:threadedComment ref="R73" dT="2018-08-24T06:40:05.00" personId="{ce8f30be-5008-46ae-8e86-f9e0bcaa732a}" id="{eb6ab56d-29a6-4626-bdb1-d56a98fe5fc1}" done="0">
    <x18tc:text xml:space="preserve">+3 Body shots</x18tc:text>
  </x18tc:threadedComment>
  <x18tc:threadedComment ref="U32" dT="2018-08-18T01:04:06.00" personId="{ce8f30be-5008-46ae-8e86-f9e0bcaa732a}" id="{0cd80f51-740d-4349-b917-dcde0020d0d3}" done="0">
    <x18tc:text xml:space="preserve">+3 Body shots</x18tc:text>
  </x18tc:threadedComment>
  <x18tc:threadedComment ref="X181" dT="2018-08-25T10:55:06.00" personId="{ce8f30be-5008-46ae-8e86-f9e0bcaa732a}" id="{8bdbab86-44b9-4129-b539-c0f2bf59e7e8}" done="0">
    <x18tc:text xml:space="preserve">+2 Body shots, 4 Leg shots</x18tc:text>
  </x18tc:threadedComment>
  <x18tc:threadedComment ref="U60" dT="2018-08-21T04:16:19.00" personId="{ce8f30be-5008-46ae-8e86-f9e0bcaa732a}" id="{d79aa5a4-e181-4281-8215-1156c27c6d34}" done="0">
    <x18tc:text xml:space="preserve">+2 Body shots</x18tc:text>
  </x18tc:threadedComment>
  <x18tc:threadedComment ref="R172" dT="2018-08-25T10:20:21.00" personId="{ce8f30be-5008-46ae-8e86-f9e0bcaa732a}" id="{705f46b8-42b8-4f5b-8d1b-85d4f9a9e64d}" done="0">
    <x18tc:text xml:space="preserve">+3 Body shots</x18tc:text>
  </x18tc:threadedComment>
  <x18tc:threadedComment ref="U31" dT="2018-08-18T01:03:54.00" personId="{ce8f30be-5008-46ae-8e86-f9e0bcaa732a}" id="{27ac6509-421d-4c04-9416-0d3ae431c11b}" done="0">
    <x18tc:text xml:space="preserve">+3 Body shots</x18tc:text>
  </x18tc:threadedComment>
  <x18tc:threadedComment ref="X180" dT="2018-08-25T10:54:56.00" personId="{ce8f30be-5008-46ae-8e86-f9e0bcaa732a}" id="{07c47815-2581-4e90-838a-2f9c9171a481}" done="0">
    <x18tc:text xml:space="preserve">+2 Body, 3 Leg shots</x18tc:text>
  </x18tc:threadedComment>
  <x18tc:threadedComment ref="U59" dT="2018-08-21T04:16:47.00" personId="{ce8f30be-5008-46ae-8e86-f9e0bcaa732a}" id="{e948c50f-f4de-4087-b85e-06e057621544}" done="0">
    <x18tc:text xml:space="preserve">+1 Body shot</x18tc:text>
  </x18tc:threadedComment>
  <x18tc:threadedComment ref="X153" dT="2018-08-25T08:46:21.00" personId="{ce8f30be-5008-46ae-8e86-f9e0bcaa732a}" id="{7f17aea0-0e28-4215-add3-3f607a59c0d9}" done="0">
    <x18tc:text xml:space="preserve">+2 Body shots</x18tc:text>
  </x18tc:threadedComment>
  <x18tc:threadedComment ref="X214" dT="2018-08-24T14:17:06.00" personId="{ce8f30be-5008-46ae-8e86-f9e0bcaa732a}" id="{d0add732-0124-44b1-af05-35788614b46f}" done="0">
    <x18tc:text xml:space="preserve">+2 Body shots</x18tc:text>
  </x18tc:threadedComment>
  <x18tc:threadedComment ref="U27" dT="2018-08-18T01:04:40.00" personId="{ce8f30be-5008-46ae-8e86-f9e0bcaa732a}" id="{15417f79-7ce6-4fa7-a350-d297366d9d9f}" done="0">
    <x18tc:text xml:space="preserve">+1 Body shot</x18tc:text>
  </x18tc:threadedComment>
  <x18tc:threadedComment ref="U170" dT="2018-08-18T08:07:22.00" personId="{ce8f30be-5008-46ae-8e86-f9e0bcaa732a}" id="{66b53072-b6b6-4990-b3e4-9fcd70eaf952}" done="0">
    <x18tc:text xml:space="preserve">+2 Body shots</x18tc:text>
  </x18tc:threadedComment>
  <x18tc:threadedComment ref="U140" dT="2018-08-18T07:53:29.00" personId="{ce8f30be-5008-46ae-8e86-f9e0bcaa732a}" id="{dd794d7e-5638-4b6e-8255-3e7497b21a11}" done="0">
    <x18tc:text xml:space="preserve">+1 Body shot</x18tc:text>
  </x18tc:threadedComment>
  <x18tc:threadedComment ref="X73" dT="2018-08-24T06:29:05.00" personId="{ce8f30be-5008-46ae-8e86-f9e0bcaa732a}" id="{895eab39-9150-444e-8e0d-89e9dea46cbb}" done="0">
    <x18tc:text xml:space="preserve">+3 Body shots</x18tc:text>
  </x18tc:threadedComment>
  <x18tc:threadedComment ref="R103" dT="2018-08-24T04:37:26.00" personId="{ce8f30be-5008-46ae-8e86-f9e0bcaa732a}" id="{522ad083-17fb-4389-a256-6d7aa963c8a3}" done="0">
    <x18tc:text xml:space="preserve">+2 Body shots</x18tc:text>
  </x18tc:threadedComment>
  <x18tc:threadedComment ref="U141" dT="2018-08-18T07:55:00.00" personId="{ce8f30be-5008-46ae-8e86-f9e0bcaa732a}" id="{a8429efe-90f0-4eb5-93ac-284c3e3d10fd}" done="0">
    <x18tc:text xml:space="preserve">+2 Body shots</x18tc:text>
  </x18tc:threadedComment>
  <x18tc:threadedComment ref="U138" dT="2018-08-18T07:56:57.00" personId="{ce8f30be-5008-46ae-8e86-f9e0bcaa732a}" id="{8eb01f53-7f04-4cd8-a4ce-32bb503cc077}" done="0">
    <x18tc:text xml:space="preserve">+1 Body shot</x18tc:text>
  </x18tc:threadedComment>
  <x18tc:threadedComment ref="R105" dT="2018-08-24T04:39:18.00" personId="{ce8f30be-5008-46ae-8e86-f9e0bcaa732a}" id="{fd4fa848-4f3f-45de-b013-ea0bd2de56a1}" done="0">
    <x18tc:text xml:space="preserve">+3 Body shots</x18tc:text>
  </x18tc:threadedComment>
  <x18tc:threadedComment ref="U139" dT="2018-08-18T07:57:13.00" personId="{ce8f30be-5008-46ae-8e86-f9e0bcaa732a}" id="{bd23857d-91cc-4332-a6f1-e7880a5a2856}" done="0">
    <x18tc:text xml:space="preserve">+2 Body shots</x18tc:text>
  </x18tc:threadedComment>
  <x18tc:threadedComment ref="R104" dT="2018-08-24T04:38:24.00" personId="{ce8f30be-5008-46ae-8e86-f9e0bcaa732a}" id="{33c8897d-dee2-49b8-a795-a8863945eeb3}" done="0">
    <x18tc:text xml:space="preserve">+2 Body shots</x18tc:text>
  </x18tc:threadedComment>
  <x18tc:threadedComment ref="X35" dT="2018-08-24T11:08:43.00" personId="{ce8f30be-5008-46ae-8e86-f9e0bcaa732a}" id="{6f094671-ddd1-48bc-ade9-0e47d5cd04d1}" done="0">
    <x18tc:text xml:space="preserve">+3 Body shots</x18tc:text>
  </x18tc:threadedComment>
  <x18tc:threadedComment ref="X152" dT="2018-08-25T08:45:15.00" personId="{ce8f30be-5008-46ae-8e86-f9e0bcaa732a}" id="{d4542983-8e88-4c47-b64b-aef5353b9f37}" done="0">
    <x18tc:text xml:space="preserve">+2 Body shots</x18tc:text>
  </x18tc:threadedComment>
  <x18tc:threadedComment ref="R35" dT="2018-08-24T11:25:46.00" personId="{ce8f30be-5008-46ae-8e86-f9e0bcaa732a}" id="{f2c9dfb0-b8ec-42df-a8db-2776e5a9e8a8}" done="0">
    <x18tc:text xml:space="preserve">+2 Body shots</x18tc:text>
  </x18tc:threadedComment>
  <x18tc:threadedComment ref="X215" dT="2018-08-24T14:16:43.00" personId="{ce8f30be-5008-46ae-8e86-f9e0bcaa732a}" id="{0acd868e-5646-4308-961f-115c54d687a7}" done="0">
    <x18tc:text xml:space="preserve">+2 Body shots, +4 Leg shots</x18tc:text>
  </x18tc:threadedComment>
  <x18tc:threadedComment ref="R215" dT="2018-08-24T14:20:59.00" personId="{ce8f30be-5008-46ae-8e86-f9e0bcaa732a}" id="{7a2c95c5-4430-4563-93af-6fc3e754311e}" done="0">
    <x18tc:text xml:space="preserve">+2 Body shots, +3 Leg shots</x18tc:text>
  </x18tc:threadedComment>
  <x18tc:threadedComment ref="R61" dT="2018-08-21T04:58:39.00" personId="{ce8f30be-5008-46ae-8e86-f9e0bcaa732a}" id="{8f7376a0-be5b-4fa8-89c9-b349b18c4e3a}" done="0">
    <x18tc:text xml:space="preserve">+2 Body shots</x18tc:text>
  </x18tc:threadedComment>
  <x18tc:threadedComment ref="R74" dT="2018-08-24T06:43:25.00" personId="{ce8f30be-5008-46ae-8e86-f9e0bcaa732a}" id="{a129861c-829c-4e6e-b64b-8ebf93b87bf6}" done="0">
    <x18tc:text xml:space="preserve">+3 Body shots</x18tc:text>
  </x18tc:threadedComment>
  <x18tc:threadedComment ref="R36" dT="2018-08-24T11:27:11.00" personId="{ce8f30be-5008-46ae-8e86-f9e0bcaa732a}" id="{0aa1c40a-e33c-4213-a22a-24791793fc57}" done="0">
    <x18tc:text xml:space="preserve">+3 Body shots</x18tc:text>
  </x18tc:threadedComment>
  <x18tc:threadedComment ref="X104" dT="2018-08-20T01:21:52.00" personId="{ce8f30be-5008-46ae-8e86-f9e0bcaa732a}" id="{65ecc9d2-6b7d-40a7-baac-09949ce5d5bd}" done="0">
    <x18tc:text xml:space="preserve">+3 Body shots</x18tc:text>
  </x18tc:threadedComment>
  <x18tc:threadedComment ref="R101" dT="2018-08-24T09:12:35.00" personId="{ce8f30be-5008-46ae-8e86-f9e0bcaa732a}" id="{3da7054c-7510-4d3c-9b12-7d9b55100da0}" done="0">
    <x18tc:text xml:space="preserve">+3 Body shots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11" width="5.13"/>
    <col customWidth="1" min="12" max="18" width="6.38"/>
    <col customWidth="1" min="19" max="24" width="1.38"/>
    <col customWidth="1" min="25" max="27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3"/>
      <c r="P1" s="3"/>
      <c r="Q1" s="1"/>
      <c r="R1" s="1"/>
      <c r="S1" s="1"/>
      <c r="T1" s="1"/>
      <c r="U1" s="1"/>
      <c r="V1" s="1"/>
      <c r="W1" s="1"/>
      <c r="X1" s="1"/>
      <c r="Y1" s="3"/>
      <c r="Z1" s="3"/>
      <c r="AA1" s="3"/>
    </row>
    <row r="2">
      <c r="A2" s="1"/>
      <c r="B2" s="4" t="s">
        <v>0</v>
      </c>
      <c r="C2" s="5"/>
      <c r="D2" s="6" t="s">
        <v>3</v>
      </c>
      <c r="E2" s="7"/>
      <c r="F2" s="7"/>
      <c r="G2" s="7"/>
      <c r="H2" s="7"/>
      <c r="I2" s="7"/>
      <c r="J2" s="7"/>
      <c r="K2" s="8"/>
      <c r="L2" s="9" t="s">
        <v>4</v>
      </c>
      <c r="M2" s="10"/>
      <c r="N2" s="5"/>
      <c r="O2" s="11" t="s">
        <v>5</v>
      </c>
      <c r="P2" s="5"/>
      <c r="Q2" s="12" t="s">
        <v>6</v>
      </c>
      <c r="R2" s="5"/>
      <c r="S2" s="9" t="s">
        <v>7</v>
      </c>
      <c r="T2" s="10"/>
      <c r="U2" s="10"/>
      <c r="V2" s="10"/>
      <c r="W2" s="10"/>
      <c r="X2" s="5"/>
      <c r="Y2" s="13" t="s">
        <v>8</v>
      </c>
      <c r="Z2" s="13" t="s">
        <v>9</v>
      </c>
      <c r="AA2" s="14" t="s">
        <v>10</v>
      </c>
    </row>
    <row r="3">
      <c r="A3" s="1"/>
      <c r="B3" s="15"/>
      <c r="C3" s="16"/>
      <c r="D3" s="17" t="s">
        <v>11</v>
      </c>
      <c r="E3" s="18"/>
      <c r="F3" s="18"/>
      <c r="G3" s="19"/>
      <c r="H3" s="20" t="s">
        <v>13</v>
      </c>
      <c r="I3" s="18"/>
      <c r="J3" s="18"/>
      <c r="K3" s="19"/>
      <c r="L3" s="21"/>
      <c r="M3" s="22"/>
      <c r="N3" s="23"/>
      <c r="O3" s="21"/>
      <c r="P3" s="23"/>
      <c r="Q3" s="21"/>
      <c r="R3" s="23"/>
      <c r="S3" s="21"/>
      <c r="T3" s="22"/>
      <c r="U3" s="22"/>
      <c r="V3" s="22"/>
      <c r="W3" s="22"/>
      <c r="X3" s="23"/>
      <c r="Y3" s="24"/>
      <c r="Z3" s="24"/>
      <c r="AA3" s="25"/>
    </row>
    <row r="4">
      <c r="A4" s="1"/>
      <c r="B4" s="15"/>
      <c r="C4" s="16"/>
      <c r="D4" s="17" t="s">
        <v>14</v>
      </c>
      <c r="E4" s="19"/>
      <c r="F4" s="26" t="s">
        <v>15</v>
      </c>
      <c r="G4" s="19"/>
      <c r="H4" s="20" t="s">
        <v>14</v>
      </c>
      <c r="I4" s="19"/>
      <c r="J4" s="27" t="s">
        <v>15</v>
      </c>
      <c r="K4" s="19"/>
      <c r="L4" s="28" t="s">
        <v>16</v>
      </c>
      <c r="M4" s="29" t="s">
        <v>17</v>
      </c>
      <c r="N4" s="30" t="s">
        <v>18</v>
      </c>
      <c r="O4" s="31" t="s">
        <v>19</v>
      </c>
      <c r="P4" s="32" t="s">
        <v>20</v>
      </c>
      <c r="Q4" s="33" t="s">
        <v>21</v>
      </c>
      <c r="R4" s="33" t="s">
        <v>22</v>
      </c>
      <c r="S4" s="34" t="s">
        <v>23</v>
      </c>
      <c r="T4" s="35"/>
      <c r="U4" s="36" t="s">
        <v>24</v>
      </c>
      <c r="V4" s="35"/>
      <c r="W4" s="37" t="s">
        <v>25</v>
      </c>
      <c r="X4" s="35"/>
      <c r="Y4" s="38" t="s">
        <v>26</v>
      </c>
      <c r="Z4" s="38" t="s">
        <v>26</v>
      </c>
      <c r="AA4" s="39" t="s">
        <v>26</v>
      </c>
    </row>
    <row r="5">
      <c r="A5" s="1"/>
      <c r="B5" s="40"/>
      <c r="C5" s="23"/>
      <c r="D5" s="41" t="s">
        <v>27</v>
      </c>
      <c r="E5" s="42" t="s">
        <v>28</v>
      </c>
      <c r="F5" s="43" t="s">
        <v>27</v>
      </c>
      <c r="G5" s="44" t="s">
        <v>28</v>
      </c>
      <c r="H5" s="45" t="s">
        <v>27</v>
      </c>
      <c r="I5" s="46" t="s">
        <v>28</v>
      </c>
      <c r="J5" s="47" t="s">
        <v>27</v>
      </c>
      <c r="K5" s="48" t="s">
        <v>28</v>
      </c>
      <c r="L5" s="24"/>
      <c r="M5" s="24"/>
      <c r="N5" s="24"/>
      <c r="O5" s="24"/>
      <c r="P5" s="24"/>
      <c r="Q5" s="24"/>
      <c r="R5" s="24"/>
      <c r="S5" s="21"/>
      <c r="T5" s="23"/>
      <c r="U5" s="21"/>
      <c r="V5" s="23"/>
      <c r="W5" s="21"/>
      <c r="X5" s="23"/>
      <c r="Y5" s="49">
        <v>1.0</v>
      </c>
      <c r="Z5" s="49">
        <v>1.0</v>
      </c>
      <c r="AA5" s="50">
        <v>1.0</v>
      </c>
    </row>
    <row r="6">
      <c r="A6" s="1"/>
      <c r="B6" s="51" t="s">
        <v>29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3"/>
    </row>
    <row r="7">
      <c r="A7" s="1"/>
      <c r="B7" s="54" t="s">
        <v>30</v>
      </c>
      <c r="C7" s="55" t="s">
        <v>31</v>
      </c>
      <c r="D7" s="56">
        <v>1.0</v>
      </c>
      <c r="E7" s="58">
        <v>2.0</v>
      </c>
      <c r="F7" s="60" t="s">
        <v>32</v>
      </c>
      <c r="G7" s="16"/>
      <c r="H7" s="61">
        <v>1.0</v>
      </c>
      <c r="I7" s="62">
        <v>2.0</v>
      </c>
      <c r="J7" s="63" t="s">
        <v>32</v>
      </c>
      <c r="K7" s="16"/>
      <c r="L7" s="64" t="s">
        <v>36</v>
      </c>
      <c r="M7" s="74">
        <f>1/2.05</f>
        <v>0.487804878</v>
      </c>
      <c r="N7" s="77">
        <v>2.05</v>
      </c>
      <c r="O7" s="79">
        <v>2.05</v>
      </c>
      <c r="P7" s="82">
        <v>2.05</v>
      </c>
      <c r="Q7" s="86" t="s">
        <v>41</v>
      </c>
      <c r="R7" s="88" t="s">
        <v>32</v>
      </c>
      <c r="S7" s="90">
        <v>10.0</v>
      </c>
      <c r="T7" s="91"/>
      <c r="U7" s="92"/>
      <c r="V7" s="94">
        <v>20.0</v>
      </c>
      <c r="W7" s="91"/>
      <c r="X7" s="92"/>
      <c r="Y7" s="96" t="s">
        <v>41</v>
      </c>
      <c r="Z7" s="96" t="s">
        <v>41</v>
      </c>
      <c r="AA7" s="98" t="s">
        <v>41</v>
      </c>
    </row>
    <row r="8">
      <c r="A8" s="1"/>
      <c r="B8" s="99"/>
      <c r="C8" s="100" t="s">
        <v>40</v>
      </c>
      <c r="D8" s="101">
        <v>1.0</v>
      </c>
      <c r="E8" s="102">
        <v>2.0</v>
      </c>
      <c r="F8" s="103"/>
      <c r="G8" s="16"/>
      <c r="H8" s="110">
        <v>1.0</v>
      </c>
      <c r="I8" s="113">
        <v>2.0</v>
      </c>
      <c r="J8" s="103"/>
      <c r="K8" s="16"/>
      <c r="L8" s="116"/>
      <c r="M8" s="116"/>
      <c r="N8" s="116"/>
      <c r="O8" s="118">
        <v>2.05</v>
      </c>
      <c r="P8" s="119">
        <v>2.05</v>
      </c>
      <c r="Q8" s="120" t="s">
        <v>41</v>
      </c>
      <c r="R8" s="116"/>
      <c r="S8" s="103"/>
      <c r="U8" s="16"/>
      <c r="X8" s="16"/>
      <c r="Y8" s="122">
        <v>4.35</v>
      </c>
      <c r="Z8" s="122" t="s">
        <v>41</v>
      </c>
      <c r="AA8" s="125" t="s">
        <v>41</v>
      </c>
    </row>
    <row r="9">
      <c r="A9" s="1"/>
      <c r="B9" s="128"/>
      <c r="C9" s="129" t="s">
        <v>42</v>
      </c>
      <c r="D9" s="132">
        <v>1.0</v>
      </c>
      <c r="E9" s="133">
        <v>2.0</v>
      </c>
      <c r="F9" s="21"/>
      <c r="G9" s="23"/>
      <c r="H9" s="139">
        <v>1.0</v>
      </c>
      <c r="I9" s="142">
        <v>1.0</v>
      </c>
      <c r="J9" s="21"/>
      <c r="K9" s="23"/>
      <c r="L9" s="24"/>
      <c r="M9" s="24"/>
      <c r="N9" s="24"/>
      <c r="O9" s="147">
        <v>2.05</v>
      </c>
      <c r="P9" s="156" t="s">
        <v>43</v>
      </c>
      <c r="Q9" s="157" t="s">
        <v>41</v>
      </c>
      <c r="R9" s="24"/>
      <c r="S9" s="159"/>
      <c r="T9" s="160"/>
      <c r="U9" s="155"/>
      <c r="V9" s="160"/>
      <c r="W9" s="160"/>
      <c r="X9" s="155"/>
      <c r="Y9" s="24"/>
      <c r="Z9" s="164" t="s">
        <v>41</v>
      </c>
      <c r="AA9" s="165" t="s">
        <v>41</v>
      </c>
    </row>
    <row r="10">
      <c r="A10" s="1"/>
      <c r="B10" s="166" t="s">
        <v>44</v>
      </c>
      <c r="C10" s="168" t="s">
        <v>40</v>
      </c>
      <c r="D10" s="169">
        <v>1.0</v>
      </c>
      <c r="E10" s="170">
        <v>2.0</v>
      </c>
      <c r="F10" s="172" t="s">
        <v>32</v>
      </c>
      <c r="G10" s="92"/>
      <c r="H10" s="78">
        <v>1.0</v>
      </c>
      <c r="I10" s="173">
        <v>1.0</v>
      </c>
      <c r="J10" s="176" t="s">
        <v>32</v>
      </c>
      <c r="K10" s="92"/>
      <c r="L10" s="179" t="s">
        <v>45</v>
      </c>
      <c r="M10" s="187">
        <f>28.8/60</f>
        <v>0.48</v>
      </c>
      <c r="N10" s="188">
        <v>2.08</v>
      </c>
      <c r="O10" s="190">
        <v>2.08</v>
      </c>
      <c r="P10" s="192" t="s">
        <v>43</v>
      </c>
      <c r="Q10" s="194" t="s">
        <v>41</v>
      </c>
      <c r="R10" s="196" t="s">
        <v>32</v>
      </c>
      <c r="S10" s="130">
        <v>10.0</v>
      </c>
      <c r="U10" s="16"/>
      <c r="V10" s="94">
        <v>20.0</v>
      </c>
      <c r="W10" s="91"/>
      <c r="X10" s="92"/>
      <c r="Y10" s="202">
        <v>4.0</v>
      </c>
      <c r="Z10" s="136" t="s">
        <v>41</v>
      </c>
      <c r="AA10" s="138" t="s">
        <v>41</v>
      </c>
    </row>
    <row r="11">
      <c r="A11" s="1"/>
      <c r="B11" s="141"/>
      <c r="C11" s="204" t="s">
        <v>42</v>
      </c>
      <c r="D11" s="206">
        <v>1.0</v>
      </c>
      <c r="E11" s="207">
        <v>2.0</v>
      </c>
      <c r="F11" s="159"/>
      <c r="G11" s="155"/>
      <c r="H11" s="151">
        <v>1.0</v>
      </c>
      <c r="I11" s="208">
        <v>1.0</v>
      </c>
      <c r="J11" s="159"/>
      <c r="K11" s="155"/>
      <c r="L11" s="163"/>
      <c r="M11" s="163"/>
      <c r="N11" s="163"/>
      <c r="O11" s="209">
        <v>2.08</v>
      </c>
      <c r="P11" s="210" t="s">
        <v>43</v>
      </c>
      <c r="Q11" s="211" t="s">
        <v>41</v>
      </c>
      <c r="R11" s="163"/>
      <c r="S11" s="159"/>
      <c r="T11" s="160"/>
      <c r="U11" s="155"/>
      <c r="X11" s="16"/>
      <c r="Y11" s="24"/>
      <c r="Z11" s="203" t="s">
        <v>41</v>
      </c>
      <c r="AA11" s="205" t="s">
        <v>41</v>
      </c>
    </row>
    <row r="12">
      <c r="A12" s="1"/>
      <c r="B12" s="67" t="s">
        <v>48</v>
      </c>
      <c r="C12" s="168" t="s">
        <v>40</v>
      </c>
      <c r="D12" s="169">
        <v>1.0</v>
      </c>
      <c r="E12" s="170">
        <v>2.0</v>
      </c>
      <c r="F12" s="172" t="s">
        <v>32</v>
      </c>
      <c r="G12" s="92"/>
      <c r="H12" s="78">
        <v>1.0</v>
      </c>
      <c r="I12" s="173">
        <v>1.0</v>
      </c>
      <c r="J12" s="176" t="s">
        <v>32</v>
      </c>
      <c r="K12" s="92"/>
      <c r="L12" s="179" t="s">
        <v>50</v>
      </c>
      <c r="M12" s="187">
        <f>1/2.15</f>
        <v>0.4651162791</v>
      </c>
      <c r="N12" s="188">
        <v>2.15</v>
      </c>
      <c r="O12" s="190">
        <v>2.15</v>
      </c>
      <c r="P12" s="192" t="s">
        <v>43</v>
      </c>
      <c r="Q12" s="194" t="s">
        <v>41</v>
      </c>
      <c r="R12" s="196" t="s">
        <v>32</v>
      </c>
      <c r="S12" s="90">
        <v>5.0</v>
      </c>
      <c r="T12" s="91"/>
      <c r="U12" s="92"/>
      <c r="V12" s="94">
        <v>10.0</v>
      </c>
      <c r="W12" s="91"/>
      <c r="X12" s="92"/>
      <c r="Y12" s="202">
        <v>4.0</v>
      </c>
      <c r="Z12" s="136" t="s">
        <v>41</v>
      </c>
      <c r="AA12" s="138" t="s">
        <v>41</v>
      </c>
    </row>
    <row r="13">
      <c r="A13" s="1"/>
      <c r="B13" s="141"/>
      <c r="C13" s="204" t="s">
        <v>42</v>
      </c>
      <c r="D13" s="206">
        <v>1.0</v>
      </c>
      <c r="E13" s="207">
        <v>2.0</v>
      </c>
      <c r="F13" s="159"/>
      <c r="G13" s="155"/>
      <c r="H13" s="151">
        <v>1.0</v>
      </c>
      <c r="I13" s="208">
        <v>1.0</v>
      </c>
      <c r="J13" s="159"/>
      <c r="K13" s="155"/>
      <c r="L13" s="163"/>
      <c r="M13" s="163"/>
      <c r="N13" s="163"/>
      <c r="O13" s="209">
        <v>2.15</v>
      </c>
      <c r="P13" s="210" t="s">
        <v>43</v>
      </c>
      <c r="Q13" s="211" t="s">
        <v>41</v>
      </c>
      <c r="R13" s="163"/>
      <c r="S13" s="159"/>
      <c r="T13" s="160"/>
      <c r="U13" s="155"/>
      <c r="X13" s="16"/>
      <c r="Y13" s="24"/>
      <c r="Z13" s="203" t="s">
        <v>41</v>
      </c>
      <c r="AA13" s="205" t="s">
        <v>41</v>
      </c>
    </row>
    <row r="14">
      <c r="A14" s="1"/>
      <c r="B14" s="67" t="s">
        <v>51</v>
      </c>
      <c r="C14" s="168" t="s">
        <v>40</v>
      </c>
      <c r="D14" s="169">
        <v>1.0</v>
      </c>
      <c r="E14" s="170">
        <v>2.0</v>
      </c>
      <c r="F14" s="172" t="s">
        <v>32</v>
      </c>
      <c r="G14" s="92"/>
      <c r="H14" s="78">
        <v>1.0</v>
      </c>
      <c r="I14" s="173">
        <v>1.0</v>
      </c>
      <c r="J14" s="176" t="s">
        <v>32</v>
      </c>
      <c r="K14" s="92"/>
      <c r="L14" s="179" t="s">
        <v>52</v>
      </c>
      <c r="M14" s="187">
        <f>1/2.22</f>
        <v>0.4504504505</v>
      </c>
      <c r="N14" s="188">
        <v>2.22</v>
      </c>
      <c r="O14" s="190">
        <v>2.22</v>
      </c>
      <c r="P14" s="192" t="s">
        <v>43</v>
      </c>
      <c r="Q14" s="194" t="s">
        <v>41</v>
      </c>
      <c r="R14" s="196" t="s">
        <v>32</v>
      </c>
      <c r="S14" s="90">
        <v>5.0</v>
      </c>
      <c r="T14" s="91"/>
      <c r="U14" s="92"/>
      <c r="V14" s="94">
        <v>10.0</v>
      </c>
      <c r="W14" s="91"/>
      <c r="X14" s="92"/>
      <c r="Y14" s="202">
        <v>3.95</v>
      </c>
      <c r="Z14" s="136" t="s">
        <v>41</v>
      </c>
      <c r="AA14" s="138" t="s">
        <v>41</v>
      </c>
    </row>
    <row r="15">
      <c r="A15" s="1"/>
      <c r="B15" s="141"/>
      <c r="C15" s="204" t="s">
        <v>42</v>
      </c>
      <c r="D15" s="206">
        <v>1.0</v>
      </c>
      <c r="E15" s="207">
        <v>2.0</v>
      </c>
      <c r="F15" s="159"/>
      <c r="G15" s="155"/>
      <c r="H15" s="151">
        <v>1.0</v>
      </c>
      <c r="I15" s="208">
        <v>1.0</v>
      </c>
      <c r="J15" s="159"/>
      <c r="K15" s="155"/>
      <c r="L15" s="163"/>
      <c r="M15" s="163"/>
      <c r="N15" s="163"/>
      <c r="O15" s="209">
        <v>2.22</v>
      </c>
      <c r="P15" s="210" t="s">
        <v>43</v>
      </c>
      <c r="Q15" s="211" t="s">
        <v>41</v>
      </c>
      <c r="R15" s="163"/>
      <c r="S15" s="159"/>
      <c r="T15" s="160"/>
      <c r="U15" s="155"/>
      <c r="X15" s="16"/>
      <c r="Y15" s="24"/>
      <c r="Z15" s="203" t="s">
        <v>41</v>
      </c>
      <c r="AA15" s="205" t="s">
        <v>41</v>
      </c>
    </row>
    <row r="16">
      <c r="A16" s="1"/>
      <c r="B16" s="67" t="s">
        <v>53</v>
      </c>
      <c r="C16" s="168" t="s">
        <v>40</v>
      </c>
      <c r="D16" s="169">
        <v>1.0</v>
      </c>
      <c r="E16" s="170">
        <v>2.0</v>
      </c>
      <c r="F16" s="172" t="s">
        <v>32</v>
      </c>
      <c r="G16" s="92"/>
      <c r="H16" s="78">
        <v>1.0</v>
      </c>
      <c r="I16" s="173">
        <v>1.0</v>
      </c>
      <c r="J16" s="176" t="s">
        <v>32</v>
      </c>
      <c r="K16" s="92"/>
      <c r="L16" s="179" t="s">
        <v>50</v>
      </c>
      <c r="M16" s="187">
        <f>1/2.15</f>
        <v>0.4651162791</v>
      </c>
      <c r="N16" s="188">
        <v>2.15</v>
      </c>
      <c r="O16" s="190">
        <v>2.15</v>
      </c>
      <c r="P16" s="192" t="s">
        <v>43</v>
      </c>
      <c r="Q16" s="194" t="s">
        <v>41</v>
      </c>
      <c r="R16" s="196" t="s">
        <v>32</v>
      </c>
      <c r="S16" s="221">
        <v>5.0</v>
      </c>
      <c r="T16" s="91"/>
      <c r="U16" s="92"/>
      <c r="V16" s="222">
        <v>10.0</v>
      </c>
      <c r="W16" s="91"/>
      <c r="X16" s="92"/>
      <c r="Y16" s="202">
        <v>4.35</v>
      </c>
      <c r="Z16" s="136" t="s">
        <v>41</v>
      </c>
      <c r="AA16" s="138" t="s">
        <v>41</v>
      </c>
    </row>
    <row r="17">
      <c r="A17" s="1"/>
      <c r="B17" s="141"/>
      <c r="C17" s="204" t="s">
        <v>42</v>
      </c>
      <c r="D17" s="206">
        <v>1.0</v>
      </c>
      <c r="E17" s="207">
        <v>2.0</v>
      </c>
      <c r="F17" s="159"/>
      <c r="G17" s="155"/>
      <c r="H17" s="151">
        <v>1.0</v>
      </c>
      <c r="I17" s="208">
        <v>1.0</v>
      </c>
      <c r="J17" s="159"/>
      <c r="K17" s="155"/>
      <c r="L17" s="163"/>
      <c r="M17" s="163"/>
      <c r="N17" s="163"/>
      <c r="O17" s="209">
        <v>2.15</v>
      </c>
      <c r="P17" s="210" t="s">
        <v>43</v>
      </c>
      <c r="Q17" s="211" t="s">
        <v>41</v>
      </c>
      <c r="R17" s="163"/>
      <c r="S17" s="159"/>
      <c r="T17" s="160"/>
      <c r="U17" s="155"/>
      <c r="V17" s="160"/>
      <c r="W17" s="160"/>
      <c r="X17" s="155"/>
      <c r="Y17" s="24"/>
      <c r="Z17" s="203" t="s">
        <v>41</v>
      </c>
      <c r="AA17" s="205" t="s">
        <v>41</v>
      </c>
    </row>
    <row r="18">
      <c r="A18" s="1"/>
      <c r="B18" s="67" t="s">
        <v>55</v>
      </c>
      <c r="C18" s="69" t="s">
        <v>31</v>
      </c>
      <c r="D18" s="169">
        <v>1.0</v>
      </c>
      <c r="E18" s="170">
        <v>2.0</v>
      </c>
      <c r="F18" s="172" t="s">
        <v>32</v>
      </c>
      <c r="G18" s="92"/>
      <c r="H18" s="78">
        <v>1.0</v>
      </c>
      <c r="I18" s="173">
        <v>1.0</v>
      </c>
      <c r="J18" s="176" t="s">
        <v>32</v>
      </c>
      <c r="K18" s="92"/>
      <c r="L18" s="179" t="s">
        <v>56</v>
      </c>
      <c r="M18" s="187">
        <f>1/2.3</f>
        <v>0.4347826087</v>
      </c>
      <c r="N18" s="188">
        <v>2.3</v>
      </c>
      <c r="O18" s="190">
        <v>2.3</v>
      </c>
      <c r="P18" s="192" t="s">
        <v>43</v>
      </c>
      <c r="Q18" s="194" t="s">
        <v>41</v>
      </c>
      <c r="R18" s="196" t="s">
        <v>32</v>
      </c>
      <c r="S18" s="221">
        <v>5.0</v>
      </c>
      <c r="T18" s="91"/>
      <c r="U18" s="92"/>
      <c r="V18" s="222">
        <v>10.0</v>
      </c>
      <c r="W18" s="91"/>
      <c r="X18" s="92"/>
      <c r="Y18" s="136" t="s">
        <v>41</v>
      </c>
      <c r="Z18" s="136" t="s">
        <v>41</v>
      </c>
      <c r="AA18" s="138" t="s">
        <v>41</v>
      </c>
    </row>
    <row r="19">
      <c r="A19" s="1"/>
      <c r="B19" s="99"/>
      <c r="C19" s="100" t="s">
        <v>40</v>
      </c>
      <c r="D19" s="101">
        <v>1.0</v>
      </c>
      <c r="E19" s="102">
        <v>2.0</v>
      </c>
      <c r="F19" s="103"/>
      <c r="G19" s="16"/>
      <c r="H19" s="110">
        <v>1.0</v>
      </c>
      <c r="I19" s="113">
        <v>1.0</v>
      </c>
      <c r="J19" s="103"/>
      <c r="K19" s="16"/>
      <c r="L19" s="116"/>
      <c r="M19" s="116"/>
      <c r="N19" s="116"/>
      <c r="O19" s="118">
        <v>2.3</v>
      </c>
      <c r="P19" s="119" t="s">
        <v>43</v>
      </c>
      <c r="Q19" s="120" t="s">
        <v>41</v>
      </c>
      <c r="R19" s="116"/>
      <c r="S19" s="103"/>
      <c r="U19" s="16"/>
      <c r="X19" s="16"/>
      <c r="Y19" s="122">
        <v>4.35</v>
      </c>
      <c r="Z19" s="122" t="s">
        <v>41</v>
      </c>
      <c r="AA19" s="125" t="s">
        <v>41</v>
      </c>
    </row>
    <row r="20">
      <c r="A20" s="1"/>
      <c r="B20" s="141"/>
      <c r="C20" s="204" t="s">
        <v>42</v>
      </c>
      <c r="D20" s="206">
        <v>1.0</v>
      </c>
      <c r="E20" s="207">
        <v>1.0</v>
      </c>
      <c r="F20" s="159"/>
      <c r="G20" s="155"/>
      <c r="H20" s="151">
        <v>1.0</v>
      </c>
      <c r="I20" s="208">
        <v>1.0</v>
      </c>
      <c r="J20" s="159"/>
      <c r="K20" s="155"/>
      <c r="L20" s="163"/>
      <c r="M20" s="163"/>
      <c r="N20" s="163"/>
      <c r="O20" s="209" t="s">
        <v>43</v>
      </c>
      <c r="P20" s="210" t="s">
        <v>43</v>
      </c>
      <c r="Q20" s="211" t="s">
        <v>41</v>
      </c>
      <c r="R20" s="163"/>
      <c r="S20" s="159"/>
      <c r="T20" s="160"/>
      <c r="U20" s="155"/>
      <c r="V20" s="160"/>
      <c r="W20" s="160"/>
      <c r="X20" s="155"/>
      <c r="Y20" s="163"/>
      <c r="Z20" s="224" t="s">
        <v>41</v>
      </c>
      <c r="AA20" s="225" t="s">
        <v>41</v>
      </c>
    </row>
    <row r="21">
      <c r="A21" s="1"/>
      <c r="B21" s="67" t="s">
        <v>57</v>
      </c>
      <c r="C21" s="168" t="s">
        <v>40</v>
      </c>
      <c r="D21" s="169">
        <v>1.0</v>
      </c>
      <c r="E21" s="170">
        <v>1.0</v>
      </c>
      <c r="F21" s="172" t="s">
        <v>32</v>
      </c>
      <c r="G21" s="92"/>
      <c r="H21" s="78">
        <v>1.0</v>
      </c>
      <c r="I21" s="173">
        <v>1.0</v>
      </c>
      <c r="J21" s="176" t="s">
        <v>32</v>
      </c>
      <c r="K21" s="92"/>
      <c r="L21" s="179" t="s">
        <v>58</v>
      </c>
      <c r="M21" s="187">
        <f>1/2.35</f>
        <v>0.4255319149</v>
      </c>
      <c r="N21" s="188">
        <v>2.35</v>
      </c>
      <c r="O21" s="190" t="s">
        <v>43</v>
      </c>
      <c r="P21" s="192" t="s">
        <v>43</v>
      </c>
      <c r="Q21" s="194" t="s">
        <v>41</v>
      </c>
      <c r="R21" s="196" t="s">
        <v>32</v>
      </c>
      <c r="S21" s="90">
        <v>5.0</v>
      </c>
      <c r="T21" s="91"/>
      <c r="U21" s="91"/>
      <c r="V21" s="91"/>
      <c r="W21" s="91"/>
      <c r="X21" s="92"/>
      <c r="Y21" s="202">
        <v>3.95</v>
      </c>
      <c r="Z21" s="136" t="s">
        <v>41</v>
      </c>
      <c r="AA21" s="138" t="s">
        <v>41</v>
      </c>
    </row>
    <row r="22">
      <c r="A22" s="1"/>
      <c r="B22" s="141"/>
      <c r="C22" s="204" t="s">
        <v>42</v>
      </c>
      <c r="D22" s="206">
        <v>1.0</v>
      </c>
      <c r="E22" s="207">
        <v>1.0</v>
      </c>
      <c r="F22" s="159"/>
      <c r="G22" s="155"/>
      <c r="H22" s="151">
        <v>1.0</v>
      </c>
      <c r="I22" s="208">
        <v>1.0</v>
      </c>
      <c r="J22" s="159"/>
      <c r="K22" s="155"/>
      <c r="L22" s="163"/>
      <c r="M22" s="163"/>
      <c r="N22" s="163"/>
      <c r="O22" s="209" t="s">
        <v>43</v>
      </c>
      <c r="P22" s="210" t="s">
        <v>43</v>
      </c>
      <c r="Q22" s="211" t="s">
        <v>41</v>
      </c>
      <c r="R22" s="163"/>
      <c r="S22" s="159"/>
      <c r="T22" s="160"/>
      <c r="U22" s="160"/>
      <c r="V22" s="160"/>
      <c r="W22" s="160"/>
      <c r="X22" s="155"/>
      <c r="Y22" s="24"/>
      <c r="Z22" s="203" t="s">
        <v>41</v>
      </c>
      <c r="AA22" s="205" t="s">
        <v>41</v>
      </c>
    </row>
    <row r="23">
      <c r="A23" s="1"/>
      <c r="B23" s="67" t="s">
        <v>60</v>
      </c>
      <c r="C23" s="69" t="s">
        <v>31</v>
      </c>
      <c r="D23" s="169">
        <v>2.0</v>
      </c>
      <c r="E23" s="170">
        <v>4.0</v>
      </c>
      <c r="F23" s="172" t="s">
        <v>32</v>
      </c>
      <c r="G23" s="92"/>
      <c r="H23" s="78">
        <v>1.0</v>
      </c>
      <c r="I23" s="173">
        <v>3.0</v>
      </c>
      <c r="J23" s="176" t="s">
        <v>32</v>
      </c>
      <c r="K23" s="92"/>
      <c r="L23" s="179" t="s">
        <v>41</v>
      </c>
      <c r="M23" s="226" t="s">
        <v>41</v>
      </c>
      <c r="N23" s="188" t="s">
        <v>41</v>
      </c>
      <c r="O23" s="190" t="s">
        <v>41</v>
      </c>
      <c r="P23" s="192" t="s">
        <v>41</v>
      </c>
      <c r="Q23" s="194" t="s">
        <v>41</v>
      </c>
      <c r="R23" s="196" t="s">
        <v>32</v>
      </c>
      <c r="S23" s="90">
        <v>10.0</v>
      </c>
      <c r="T23" s="91"/>
      <c r="U23" s="92"/>
      <c r="V23" s="94">
        <v>20.0</v>
      </c>
      <c r="W23" s="91"/>
      <c r="X23" s="92"/>
      <c r="Y23" s="136" t="s">
        <v>41</v>
      </c>
      <c r="Z23" s="136" t="s">
        <v>41</v>
      </c>
      <c r="AA23" s="138" t="s">
        <v>41</v>
      </c>
    </row>
    <row r="24">
      <c r="A24" s="1"/>
      <c r="B24" s="141"/>
      <c r="C24" s="227" t="s">
        <v>40</v>
      </c>
      <c r="D24" s="206">
        <v>2.0</v>
      </c>
      <c r="E24" s="207">
        <v>4.0</v>
      </c>
      <c r="F24" s="159"/>
      <c r="G24" s="155"/>
      <c r="H24" s="151">
        <v>1.0</v>
      </c>
      <c r="I24" s="208">
        <v>2.0</v>
      </c>
      <c r="J24" s="159"/>
      <c r="K24" s="155"/>
      <c r="L24" s="163"/>
      <c r="M24" s="163"/>
      <c r="N24" s="163"/>
      <c r="O24" s="209" t="s">
        <v>41</v>
      </c>
      <c r="P24" s="210" t="s">
        <v>41</v>
      </c>
      <c r="Q24" s="211" t="s">
        <v>41</v>
      </c>
      <c r="R24" s="163"/>
      <c r="S24" s="159"/>
      <c r="T24" s="160"/>
      <c r="U24" s="155"/>
      <c r="X24" s="16"/>
      <c r="Y24" s="203">
        <v>1.97</v>
      </c>
      <c r="Z24" s="203" t="s">
        <v>41</v>
      </c>
      <c r="AA24" s="205" t="s">
        <v>41</v>
      </c>
    </row>
    <row r="25">
      <c r="A25" s="1"/>
      <c r="B25" s="67" t="s">
        <v>62</v>
      </c>
      <c r="C25" s="213" t="s">
        <v>31</v>
      </c>
      <c r="D25" s="228">
        <v>2.0</v>
      </c>
      <c r="E25" s="73">
        <v>5.0</v>
      </c>
      <c r="F25" s="229" t="s">
        <v>32</v>
      </c>
      <c r="G25" s="92"/>
      <c r="H25" s="230">
        <v>2.0</v>
      </c>
      <c r="I25" s="81">
        <v>3.0</v>
      </c>
      <c r="J25" s="231" t="s">
        <v>32</v>
      </c>
      <c r="K25" s="92"/>
      <c r="L25" s="232" t="s">
        <v>41</v>
      </c>
      <c r="M25" s="233" t="s">
        <v>41</v>
      </c>
      <c r="N25" s="234" t="s">
        <v>41</v>
      </c>
      <c r="O25" s="235" t="s">
        <v>41</v>
      </c>
      <c r="P25" s="236" t="s">
        <v>41</v>
      </c>
      <c r="Q25" s="123" t="s">
        <v>41</v>
      </c>
      <c r="R25" s="237" t="s">
        <v>32</v>
      </c>
      <c r="S25" s="90">
        <v>10.0</v>
      </c>
      <c r="T25" s="91"/>
      <c r="U25" s="92"/>
      <c r="V25" s="94">
        <v>20.0</v>
      </c>
      <c r="W25" s="91"/>
      <c r="X25" s="92"/>
      <c r="Y25" s="136" t="s">
        <v>41</v>
      </c>
      <c r="Z25" s="136" t="s">
        <v>41</v>
      </c>
      <c r="AA25" s="138" t="s">
        <v>41</v>
      </c>
    </row>
    <row r="26">
      <c r="A26" s="1"/>
      <c r="B26" s="141"/>
      <c r="C26" s="144" t="s">
        <v>40</v>
      </c>
      <c r="D26" s="238">
        <v>2.0</v>
      </c>
      <c r="E26" s="180">
        <v>4.0</v>
      </c>
      <c r="F26" s="160"/>
      <c r="G26" s="155"/>
      <c r="H26" s="239">
        <v>1.0</v>
      </c>
      <c r="I26" s="240">
        <v>3.0</v>
      </c>
      <c r="J26" s="160"/>
      <c r="K26" s="155"/>
      <c r="L26" s="155"/>
      <c r="M26" s="155"/>
      <c r="N26" s="155"/>
      <c r="O26" s="241" t="s">
        <v>41</v>
      </c>
      <c r="P26" s="242" t="s">
        <v>41</v>
      </c>
      <c r="Q26" s="144" t="s">
        <v>41</v>
      </c>
      <c r="R26" s="155"/>
      <c r="S26" s="159"/>
      <c r="T26" s="160"/>
      <c r="U26" s="155"/>
      <c r="X26" s="16"/>
      <c r="Y26" s="203">
        <v>2.55</v>
      </c>
      <c r="Z26" s="203" t="s">
        <v>41</v>
      </c>
      <c r="AA26" s="205" t="s">
        <v>41</v>
      </c>
    </row>
    <row r="27">
      <c r="A27" s="1"/>
      <c r="B27" s="67" t="s">
        <v>63</v>
      </c>
      <c r="C27" s="168" t="s">
        <v>40</v>
      </c>
      <c r="D27" s="71">
        <v>3.0</v>
      </c>
      <c r="E27" s="73">
        <v>7.0</v>
      </c>
      <c r="F27" s="75">
        <v>4.0</v>
      </c>
      <c r="G27" s="75">
        <v>9.0</v>
      </c>
      <c r="H27" s="78">
        <v>2.0</v>
      </c>
      <c r="I27" s="81">
        <v>5.0</v>
      </c>
      <c r="J27" s="83">
        <v>3.0</v>
      </c>
      <c r="K27" s="85">
        <v>6.0</v>
      </c>
      <c r="L27" s="87">
        <v>705.0</v>
      </c>
      <c r="M27" s="97">
        <f>L27/60</f>
        <v>11.75</v>
      </c>
      <c r="N27" s="105">
        <f>60/L27</f>
        <v>0.08510638298</v>
      </c>
      <c r="O27" s="247">
        <f>4*60/L27</f>
        <v>0.3404255319</v>
      </c>
      <c r="P27" s="121">
        <f>2*60/L27</f>
        <v>0.170212766</v>
      </c>
      <c r="Q27" s="123" t="s">
        <v>41</v>
      </c>
      <c r="R27" s="126" t="s">
        <v>41</v>
      </c>
      <c r="S27" s="90">
        <v>10.0</v>
      </c>
      <c r="T27" s="91"/>
      <c r="U27" s="92"/>
      <c r="V27" s="94">
        <v>20.0</v>
      </c>
      <c r="W27" s="91"/>
      <c r="X27" s="92"/>
      <c r="Y27" s="202">
        <v>2.45</v>
      </c>
      <c r="Z27" s="136" t="s">
        <v>41</v>
      </c>
      <c r="AA27" s="138" t="s">
        <v>41</v>
      </c>
    </row>
    <row r="28">
      <c r="A28" s="1"/>
      <c r="B28" s="141"/>
      <c r="C28" s="204" t="s">
        <v>42</v>
      </c>
      <c r="D28" s="146">
        <v>3.0</v>
      </c>
      <c r="E28" s="148">
        <v>7.0</v>
      </c>
      <c r="F28" s="150">
        <v>4.0</v>
      </c>
      <c r="G28" s="150">
        <v>9.0</v>
      </c>
      <c r="H28" s="151">
        <v>2.0</v>
      </c>
      <c r="I28" s="152">
        <v>4.0</v>
      </c>
      <c r="J28" s="153">
        <v>3.0</v>
      </c>
      <c r="K28" s="154">
        <v>5.0</v>
      </c>
      <c r="L28" s="155"/>
      <c r="M28" s="155"/>
      <c r="N28" s="155"/>
      <c r="O28" s="175">
        <f>3*60/L27</f>
        <v>0.2553191489</v>
      </c>
      <c r="P28" s="189">
        <f>2*60/L27</f>
        <v>0.170212766</v>
      </c>
      <c r="Q28" s="144" t="s">
        <v>41</v>
      </c>
      <c r="R28" s="197" t="s">
        <v>41</v>
      </c>
      <c r="S28" s="159"/>
      <c r="T28" s="160"/>
      <c r="U28" s="155"/>
      <c r="X28" s="16"/>
      <c r="Y28" s="24"/>
      <c r="Z28" s="203" t="s">
        <v>41</v>
      </c>
      <c r="AA28" s="205" t="s">
        <v>41</v>
      </c>
    </row>
    <row r="29">
      <c r="A29" s="1"/>
      <c r="B29" s="67" t="s">
        <v>65</v>
      </c>
      <c r="C29" s="168" t="s">
        <v>40</v>
      </c>
      <c r="D29" s="169">
        <v>4.0</v>
      </c>
      <c r="E29" s="170">
        <v>10.0</v>
      </c>
      <c r="F29" s="172" t="s">
        <v>32</v>
      </c>
      <c r="G29" s="92"/>
      <c r="H29" s="78">
        <v>3.0</v>
      </c>
      <c r="I29" s="173">
        <v>6.0</v>
      </c>
      <c r="J29" s="176" t="s">
        <v>32</v>
      </c>
      <c r="K29" s="92"/>
      <c r="L29" s="179" t="s">
        <v>41</v>
      </c>
      <c r="M29" s="226" t="s">
        <v>41</v>
      </c>
      <c r="N29" s="188" t="s">
        <v>41</v>
      </c>
      <c r="O29" s="190" t="s">
        <v>41</v>
      </c>
      <c r="P29" s="192" t="s">
        <v>41</v>
      </c>
      <c r="Q29" s="194" t="s">
        <v>41</v>
      </c>
      <c r="R29" s="196" t="s">
        <v>32</v>
      </c>
      <c r="S29" s="90">
        <v>10.0</v>
      </c>
      <c r="T29" s="91"/>
      <c r="U29" s="92"/>
      <c r="V29" s="94">
        <v>20.0</v>
      </c>
      <c r="W29" s="91"/>
      <c r="X29" s="92"/>
      <c r="Y29" s="202">
        <v>1.97</v>
      </c>
      <c r="Z29" s="136" t="s">
        <v>41</v>
      </c>
      <c r="AA29" s="138" t="s">
        <v>41</v>
      </c>
    </row>
    <row r="30">
      <c r="A30" s="1"/>
      <c r="B30" s="141"/>
      <c r="C30" s="204" t="s">
        <v>42</v>
      </c>
      <c r="D30" s="206">
        <v>4.0</v>
      </c>
      <c r="E30" s="207">
        <v>9.0</v>
      </c>
      <c r="F30" s="159"/>
      <c r="G30" s="155"/>
      <c r="H30" s="151">
        <v>3.0</v>
      </c>
      <c r="I30" s="208">
        <v>5.0</v>
      </c>
      <c r="J30" s="159"/>
      <c r="K30" s="155"/>
      <c r="L30" s="163"/>
      <c r="M30" s="163"/>
      <c r="N30" s="163"/>
      <c r="O30" s="209" t="s">
        <v>41</v>
      </c>
      <c r="P30" s="210" t="s">
        <v>41</v>
      </c>
      <c r="Q30" s="211" t="s">
        <v>41</v>
      </c>
      <c r="R30" s="163"/>
      <c r="S30" s="159"/>
      <c r="T30" s="160"/>
      <c r="U30" s="155"/>
      <c r="X30" s="16"/>
      <c r="Y30" s="24"/>
      <c r="Z30" s="203" t="s">
        <v>41</v>
      </c>
      <c r="AA30" s="205" t="s">
        <v>41</v>
      </c>
    </row>
    <row r="31">
      <c r="A31" s="1"/>
      <c r="B31" s="248" t="s">
        <v>67</v>
      </c>
      <c r="C31" s="249"/>
      <c r="D31" s="249"/>
      <c r="E31" s="249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  <c r="AA31" s="250"/>
    </row>
    <row r="32">
      <c r="A32" s="1"/>
      <c r="B32" s="67" t="s">
        <v>68</v>
      </c>
      <c r="C32" s="168" t="s">
        <v>40</v>
      </c>
      <c r="D32" s="169">
        <v>4.0</v>
      </c>
      <c r="E32" s="170">
        <v>10.0</v>
      </c>
      <c r="F32" s="172" t="s">
        <v>32</v>
      </c>
      <c r="G32" s="92"/>
      <c r="H32" s="78">
        <v>3.0</v>
      </c>
      <c r="I32" s="173">
        <v>6.0</v>
      </c>
      <c r="J32" s="176" t="s">
        <v>32</v>
      </c>
      <c r="K32" s="92"/>
      <c r="L32" s="179" t="s">
        <v>41</v>
      </c>
      <c r="M32" s="226" t="s">
        <v>41</v>
      </c>
      <c r="N32" s="188" t="s">
        <v>41</v>
      </c>
      <c r="O32" s="190" t="s">
        <v>41</v>
      </c>
      <c r="P32" s="192" t="s">
        <v>41</v>
      </c>
      <c r="Q32" s="194" t="s">
        <v>41</v>
      </c>
      <c r="R32" s="196" t="s">
        <v>32</v>
      </c>
      <c r="S32" s="90">
        <v>10.0</v>
      </c>
      <c r="T32" s="91"/>
      <c r="U32" s="92"/>
      <c r="V32" s="94">
        <v>20.0</v>
      </c>
      <c r="W32" s="91"/>
      <c r="X32" s="92"/>
      <c r="Y32" s="202">
        <v>1.97</v>
      </c>
      <c r="Z32" s="136" t="s">
        <v>41</v>
      </c>
      <c r="AA32" s="138" t="s">
        <v>41</v>
      </c>
    </row>
    <row r="33">
      <c r="A33" s="1"/>
      <c r="B33" s="141"/>
      <c r="C33" s="204" t="s">
        <v>42</v>
      </c>
      <c r="D33" s="206">
        <v>4.0</v>
      </c>
      <c r="E33" s="207">
        <v>9.0</v>
      </c>
      <c r="F33" s="159"/>
      <c r="G33" s="155"/>
      <c r="H33" s="151">
        <v>3.0</v>
      </c>
      <c r="I33" s="208">
        <v>5.0</v>
      </c>
      <c r="J33" s="159"/>
      <c r="K33" s="155"/>
      <c r="L33" s="163"/>
      <c r="M33" s="163"/>
      <c r="N33" s="163"/>
      <c r="O33" s="209" t="s">
        <v>41</v>
      </c>
      <c r="P33" s="210" t="s">
        <v>41</v>
      </c>
      <c r="Q33" s="211" t="s">
        <v>41</v>
      </c>
      <c r="R33" s="163"/>
      <c r="S33" s="159"/>
      <c r="T33" s="160"/>
      <c r="U33" s="155"/>
      <c r="X33" s="16"/>
      <c r="Y33" s="24"/>
      <c r="Z33" s="203" t="s">
        <v>41</v>
      </c>
      <c r="AA33" s="205" t="s">
        <v>41</v>
      </c>
    </row>
    <row r="34">
      <c r="A34" s="1"/>
      <c r="B34" s="67" t="s">
        <v>71</v>
      </c>
      <c r="C34" s="168" t="s">
        <v>40</v>
      </c>
      <c r="D34" s="169">
        <v>1.0</v>
      </c>
      <c r="E34" s="170">
        <v>1.0</v>
      </c>
      <c r="F34" s="172" t="s">
        <v>32</v>
      </c>
      <c r="G34" s="92"/>
      <c r="H34" s="78">
        <v>1.0</v>
      </c>
      <c r="I34" s="173">
        <v>1.0</v>
      </c>
      <c r="J34" s="176" t="s">
        <v>32</v>
      </c>
      <c r="K34" s="92"/>
      <c r="L34" s="179" t="s">
        <v>41</v>
      </c>
      <c r="M34" s="226" t="s">
        <v>41</v>
      </c>
      <c r="N34" s="188" t="s">
        <v>41</v>
      </c>
      <c r="O34" s="190" t="s">
        <v>43</v>
      </c>
      <c r="P34" s="192" t="s">
        <v>43</v>
      </c>
      <c r="Q34" s="194" t="s">
        <v>41</v>
      </c>
      <c r="R34" s="196" t="s">
        <v>32</v>
      </c>
      <c r="S34" s="90">
        <v>5.0</v>
      </c>
      <c r="T34" s="91"/>
      <c r="U34" s="91"/>
      <c r="V34" s="91"/>
      <c r="W34" s="91"/>
      <c r="X34" s="92"/>
      <c r="Y34" s="202">
        <v>3.95</v>
      </c>
      <c r="Z34" s="136" t="s">
        <v>41</v>
      </c>
      <c r="AA34" s="138" t="s">
        <v>41</v>
      </c>
    </row>
    <row r="35">
      <c r="A35" s="1"/>
      <c r="B35" s="141"/>
      <c r="C35" s="129" t="s">
        <v>42</v>
      </c>
      <c r="D35" s="132">
        <v>1.0</v>
      </c>
      <c r="E35" s="133">
        <v>1.0</v>
      </c>
      <c r="F35" s="159"/>
      <c r="G35" s="155"/>
      <c r="H35" s="139">
        <v>1.0</v>
      </c>
      <c r="I35" s="142">
        <v>1.0</v>
      </c>
      <c r="J35" s="159"/>
      <c r="K35" s="155"/>
      <c r="L35" s="163"/>
      <c r="M35" s="163"/>
      <c r="N35" s="163"/>
      <c r="O35" s="147" t="s">
        <v>43</v>
      </c>
      <c r="P35" s="156" t="s">
        <v>43</v>
      </c>
      <c r="Q35" s="157" t="s">
        <v>41</v>
      </c>
      <c r="R35" s="163"/>
      <c r="S35" s="159"/>
      <c r="T35" s="160"/>
      <c r="U35" s="160"/>
      <c r="V35" s="160"/>
      <c r="W35" s="160"/>
      <c r="X35" s="155"/>
      <c r="Y35" s="24"/>
      <c r="Z35" s="122" t="s">
        <v>41</v>
      </c>
      <c r="AA35" s="125" t="s">
        <v>41</v>
      </c>
    </row>
    <row r="36">
      <c r="A36" s="1"/>
      <c r="B36" s="251" t="s">
        <v>73</v>
      </c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252"/>
    </row>
    <row r="37">
      <c r="A37" s="1"/>
      <c r="B37" s="253" t="s">
        <v>74</v>
      </c>
      <c r="C37" s="254" t="s">
        <v>40</v>
      </c>
      <c r="D37" s="255">
        <v>1.0</v>
      </c>
      <c r="E37" s="256">
        <v>1.0</v>
      </c>
      <c r="F37" s="257" t="s">
        <v>32</v>
      </c>
      <c r="G37" s="249"/>
      <c r="H37" s="258">
        <v>1.0</v>
      </c>
      <c r="I37" s="259">
        <v>1.0</v>
      </c>
      <c r="J37" s="260" t="s">
        <v>32</v>
      </c>
      <c r="K37" s="249"/>
      <c r="L37" s="261">
        <v>25.5</v>
      </c>
      <c r="M37" s="262">
        <f>1/2.35</f>
        <v>0.4255319149</v>
      </c>
      <c r="N37" s="263">
        <v>2.35</v>
      </c>
      <c r="O37" s="264" t="s">
        <v>43</v>
      </c>
      <c r="P37" s="265" t="s">
        <v>43</v>
      </c>
      <c r="Q37" s="266" t="s">
        <v>41</v>
      </c>
      <c r="R37" s="266" t="s">
        <v>32</v>
      </c>
      <c r="S37" s="267">
        <v>5.0</v>
      </c>
      <c r="T37" s="249"/>
      <c r="U37" s="249"/>
      <c r="V37" s="249"/>
      <c r="W37" s="249"/>
      <c r="X37" s="249"/>
      <c r="Y37" s="268">
        <v>3.95</v>
      </c>
      <c r="Z37" s="270" t="s">
        <v>41</v>
      </c>
      <c r="AA37" s="272" t="s">
        <v>41</v>
      </c>
    </row>
    <row r="38">
      <c r="A38" s="1"/>
      <c r="B38" s="67" t="s">
        <v>75</v>
      </c>
      <c r="C38" s="69" t="s">
        <v>31</v>
      </c>
      <c r="D38" s="169">
        <v>1.0</v>
      </c>
      <c r="E38" s="170">
        <v>2.0</v>
      </c>
      <c r="F38" s="172" t="s">
        <v>32</v>
      </c>
      <c r="G38" s="92"/>
      <c r="H38" s="78">
        <v>1.0</v>
      </c>
      <c r="I38" s="173">
        <v>1.0</v>
      </c>
      <c r="J38" s="176" t="s">
        <v>32</v>
      </c>
      <c r="K38" s="92"/>
      <c r="L38" s="179">
        <v>26.1</v>
      </c>
      <c r="M38" s="187">
        <f>1/2.3</f>
        <v>0.4347826087</v>
      </c>
      <c r="N38" s="188">
        <v>2.3</v>
      </c>
      <c r="O38" s="190">
        <v>2.3</v>
      </c>
      <c r="P38" s="192" t="s">
        <v>43</v>
      </c>
      <c r="Q38" s="194" t="s">
        <v>41</v>
      </c>
      <c r="R38" s="196" t="s">
        <v>32</v>
      </c>
      <c r="S38" s="90">
        <v>5.0</v>
      </c>
      <c r="T38" s="91"/>
      <c r="U38" s="91"/>
      <c r="V38" s="131">
        <v>10.0</v>
      </c>
      <c r="W38" s="91"/>
      <c r="X38" s="91"/>
      <c r="Y38" s="136" t="s">
        <v>41</v>
      </c>
      <c r="Z38" s="136" t="s">
        <v>41</v>
      </c>
      <c r="AA38" s="138" t="s">
        <v>41</v>
      </c>
    </row>
    <row r="39">
      <c r="A39" s="1"/>
      <c r="B39" s="99"/>
      <c r="C39" s="100" t="s">
        <v>40</v>
      </c>
      <c r="D39" s="101">
        <v>1.0</v>
      </c>
      <c r="E39" s="102">
        <v>2.0</v>
      </c>
      <c r="F39" s="103"/>
      <c r="G39" s="16"/>
      <c r="H39" s="110">
        <v>1.0</v>
      </c>
      <c r="I39" s="113">
        <v>1.0</v>
      </c>
      <c r="J39" s="103"/>
      <c r="K39" s="16"/>
      <c r="L39" s="116"/>
      <c r="M39" s="116"/>
      <c r="N39" s="116"/>
      <c r="O39" s="118">
        <v>2.3</v>
      </c>
      <c r="P39" s="119" t="s">
        <v>43</v>
      </c>
      <c r="Q39" s="120" t="s">
        <v>41</v>
      </c>
      <c r="R39" s="116"/>
      <c r="S39" s="103"/>
      <c r="V39" s="103"/>
      <c r="Y39" s="122">
        <v>4.35</v>
      </c>
      <c r="Z39" s="280" t="s">
        <v>41</v>
      </c>
      <c r="AA39" s="281" t="s">
        <v>41</v>
      </c>
    </row>
    <row r="40">
      <c r="A40" s="1"/>
      <c r="B40" s="141"/>
      <c r="C40" s="204" t="s">
        <v>42</v>
      </c>
      <c r="D40" s="206">
        <v>1.0</v>
      </c>
      <c r="E40" s="207">
        <v>1.0</v>
      </c>
      <c r="F40" s="159"/>
      <c r="G40" s="155"/>
      <c r="H40" s="151">
        <v>1.0</v>
      </c>
      <c r="I40" s="208">
        <v>1.0</v>
      </c>
      <c r="J40" s="159"/>
      <c r="K40" s="155"/>
      <c r="L40" s="163"/>
      <c r="M40" s="163"/>
      <c r="N40" s="163"/>
      <c r="O40" s="209" t="s">
        <v>43</v>
      </c>
      <c r="P40" s="210" t="s">
        <v>43</v>
      </c>
      <c r="Q40" s="211" t="s">
        <v>41</v>
      </c>
      <c r="R40" s="163"/>
      <c r="S40" s="103"/>
      <c r="V40" s="103"/>
      <c r="Y40" s="163"/>
      <c r="Z40" s="224" t="s">
        <v>41</v>
      </c>
      <c r="AA40" s="225" t="s">
        <v>41</v>
      </c>
    </row>
    <row r="41">
      <c r="A41" s="1"/>
      <c r="B41" s="67" t="s">
        <v>78</v>
      </c>
      <c r="C41" s="168" t="s">
        <v>40</v>
      </c>
      <c r="D41" s="169" t="s">
        <v>41</v>
      </c>
      <c r="E41" s="170" t="s">
        <v>41</v>
      </c>
      <c r="F41" s="172" t="s">
        <v>32</v>
      </c>
      <c r="G41" s="92"/>
      <c r="H41" s="78" t="s">
        <v>41</v>
      </c>
      <c r="I41" s="173" t="s">
        <v>41</v>
      </c>
      <c r="J41" s="176" t="s">
        <v>32</v>
      </c>
      <c r="K41" s="92"/>
      <c r="L41" s="179" t="s">
        <v>41</v>
      </c>
      <c r="M41" s="226" t="s">
        <v>41</v>
      </c>
      <c r="N41" s="188" t="s">
        <v>41</v>
      </c>
      <c r="O41" s="190" t="s">
        <v>41</v>
      </c>
      <c r="P41" s="192" t="s">
        <v>41</v>
      </c>
      <c r="Q41" s="194" t="s">
        <v>41</v>
      </c>
      <c r="R41" s="196" t="s">
        <v>32</v>
      </c>
      <c r="S41" s="90" t="s">
        <v>41</v>
      </c>
      <c r="T41" s="91"/>
      <c r="U41" s="92"/>
      <c r="V41" s="94">
        <v>10.0</v>
      </c>
      <c r="W41" s="91"/>
      <c r="X41" s="92"/>
      <c r="Y41" s="202" t="s">
        <v>41</v>
      </c>
      <c r="Z41" s="136" t="s">
        <v>41</v>
      </c>
      <c r="AA41" s="138" t="s">
        <v>41</v>
      </c>
    </row>
    <row r="42">
      <c r="A42" s="1"/>
      <c r="B42" s="141"/>
      <c r="C42" s="204" t="s">
        <v>42</v>
      </c>
      <c r="D42" s="206" t="s">
        <v>41</v>
      </c>
      <c r="E42" s="207" t="s">
        <v>41</v>
      </c>
      <c r="F42" s="159"/>
      <c r="G42" s="155"/>
      <c r="H42" s="151" t="s">
        <v>41</v>
      </c>
      <c r="I42" s="208" t="s">
        <v>41</v>
      </c>
      <c r="J42" s="159"/>
      <c r="K42" s="155"/>
      <c r="L42" s="163"/>
      <c r="M42" s="163"/>
      <c r="N42" s="163"/>
      <c r="O42" s="209" t="s">
        <v>41</v>
      </c>
      <c r="P42" s="210" t="s">
        <v>41</v>
      </c>
      <c r="Q42" s="211" t="s">
        <v>41</v>
      </c>
      <c r="R42" s="163"/>
      <c r="S42" s="159"/>
      <c r="T42" s="160"/>
      <c r="U42" s="155"/>
      <c r="V42" s="160"/>
      <c r="W42" s="160"/>
      <c r="X42" s="155"/>
      <c r="Y42" s="163"/>
      <c r="Z42" s="203" t="s">
        <v>41</v>
      </c>
      <c r="AA42" s="205" t="s">
        <v>41</v>
      </c>
    </row>
    <row r="43">
      <c r="A43" s="1"/>
      <c r="B43" s="67" t="s">
        <v>80</v>
      </c>
      <c r="C43" s="168" t="s">
        <v>40</v>
      </c>
      <c r="D43" s="169">
        <v>1.0</v>
      </c>
      <c r="E43" s="170" t="s">
        <v>81</v>
      </c>
      <c r="F43" s="172" t="s">
        <v>32</v>
      </c>
      <c r="G43" s="92"/>
      <c r="H43" s="78">
        <v>1.0</v>
      </c>
      <c r="I43" s="173">
        <v>1.0</v>
      </c>
      <c r="J43" s="176" t="s">
        <v>32</v>
      </c>
      <c r="K43" s="92"/>
      <c r="L43" s="179" t="s">
        <v>82</v>
      </c>
      <c r="M43" s="226" t="s">
        <v>83</v>
      </c>
      <c r="N43" s="188" t="s">
        <v>84</v>
      </c>
      <c r="O43" s="190" t="s">
        <v>43</v>
      </c>
      <c r="P43" s="192" t="s">
        <v>43</v>
      </c>
      <c r="Q43" s="194" t="s">
        <v>41</v>
      </c>
      <c r="R43" s="196" t="s">
        <v>32</v>
      </c>
      <c r="S43" s="90" t="s">
        <v>85</v>
      </c>
      <c r="T43" s="91"/>
      <c r="U43" s="91"/>
      <c r="V43" s="91"/>
      <c r="W43" s="91"/>
      <c r="X43" s="92"/>
      <c r="Y43" s="202" t="s">
        <v>86</v>
      </c>
      <c r="Z43" s="136" t="s">
        <v>41</v>
      </c>
      <c r="AA43" s="138" t="s">
        <v>41</v>
      </c>
    </row>
    <row r="44">
      <c r="A44" s="1"/>
      <c r="B44" s="141"/>
      <c r="C44" s="129" t="s">
        <v>42</v>
      </c>
      <c r="D44" s="132">
        <v>1.0</v>
      </c>
      <c r="E44" s="133" t="s">
        <v>81</v>
      </c>
      <c r="F44" s="159"/>
      <c r="G44" s="155"/>
      <c r="H44" s="139">
        <v>1.0</v>
      </c>
      <c r="I44" s="142">
        <v>1.0</v>
      </c>
      <c r="J44" s="159"/>
      <c r="K44" s="155"/>
      <c r="L44" s="163"/>
      <c r="M44" s="163"/>
      <c r="N44" s="163"/>
      <c r="O44" s="147" t="s">
        <v>43</v>
      </c>
      <c r="P44" s="156" t="s">
        <v>43</v>
      </c>
      <c r="Q44" s="157" t="s">
        <v>41</v>
      </c>
      <c r="R44" s="163"/>
      <c r="S44" s="159"/>
      <c r="T44" s="160"/>
      <c r="U44" s="160"/>
      <c r="V44" s="160"/>
      <c r="W44" s="160"/>
      <c r="X44" s="155"/>
      <c r="Y44" s="163"/>
      <c r="Z44" s="122" t="s">
        <v>41</v>
      </c>
      <c r="AA44" s="125" t="s">
        <v>41</v>
      </c>
    </row>
    <row r="45">
      <c r="A45" s="1"/>
      <c r="B45" s="51" t="s">
        <v>87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3"/>
    </row>
    <row r="46">
      <c r="A46" s="1"/>
      <c r="B46" s="296" t="s">
        <v>89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300"/>
    </row>
    <row r="47">
      <c r="A47" s="1"/>
      <c r="B47" s="302" t="s">
        <v>92</v>
      </c>
      <c r="C47" s="303"/>
      <c r="D47" s="255"/>
      <c r="E47" s="256"/>
      <c r="F47" s="257" t="s">
        <v>32</v>
      </c>
      <c r="G47" s="303"/>
      <c r="H47" s="258">
        <v>1.0</v>
      </c>
      <c r="I47" s="259">
        <v>1.0</v>
      </c>
      <c r="J47" s="260" t="s">
        <v>32</v>
      </c>
      <c r="K47" s="303"/>
      <c r="L47" s="261"/>
      <c r="M47" s="306"/>
      <c r="N47" s="263"/>
      <c r="O47" s="264"/>
      <c r="P47" s="265"/>
      <c r="Q47" s="266"/>
      <c r="R47" s="266"/>
      <c r="S47" s="267">
        <v>10.0</v>
      </c>
      <c r="T47" s="249"/>
      <c r="U47" s="249"/>
      <c r="V47" s="249"/>
      <c r="W47" s="249"/>
      <c r="X47" s="303"/>
      <c r="Y47" s="268"/>
      <c r="Z47" s="270"/>
      <c r="AA47" s="307"/>
    </row>
    <row r="48">
      <c r="A48" s="1"/>
      <c r="B48" s="302" t="s">
        <v>93</v>
      </c>
      <c r="C48" s="303"/>
      <c r="D48" s="255" t="s">
        <v>94</v>
      </c>
      <c r="E48" s="256" t="s">
        <v>90</v>
      </c>
      <c r="F48" s="257" t="s">
        <v>32</v>
      </c>
      <c r="G48" s="303"/>
      <c r="H48" s="258">
        <v>1.0</v>
      </c>
      <c r="I48" s="259">
        <v>2.0</v>
      </c>
      <c r="J48" s="260" t="s">
        <v>32</v>
      </c>
      <c r="K48" s="303"/>
      <c r="L48" s="261" t="s">
        <v>41</v>
      </c>
      <c r="M48" s="306" t="s">
        <v>41</v>
      </c>
      <c r="N48" s="263" t="s">
        <v>41</v>
      </c>
      <c r="O48" s="264" t="s">
        <v>41</v>
      </c>
      <c r="P48" s="265" t="s">
        <v>41</v>
      </c>
      <c r="Q48" s="266" t="s">
        <v>41</v>
      </c>
      <c r="R48" s="266" t="s">
        <v>32</v>
      </c>
      <c r="S48" s="267">
        <v>10.0</v>
      </c>
      <c r="T48" s="249"/>
      <c r="U48" s="249"/>
      <c r="V48" s="249"/>
      <c r="W48" s="249"/>
      <c r="X48" s="303"/>
      <c r="Y48" s="268">
        <v>2.55</v>
      </c>
      <c r="Z48" s="270" t="s">
        <v>41</v>
      </c>
      <c r="AA48" s="307" t="s">
        <v>41</v>
      </c>
    </row>
    <row r="49">
      <c r="A49" s="309"/>
      <c r="B49" s="310" t="s">
        <v>95</v>
      </c>
      <c r="C49" s="92"/>
      <c r="D49" s="312">
        <v>1.0</v>
      </c>
      <c r="E49" s="313" t="s">
        <v>94</v>
      </c>
      <c r="F49" s="317" t="s">
        <v>32</v>
      </c>
      <c r="G49" s="92"/>
      <c r="H49" s="318">
        <v>1.0</v>
      </c>
      <c r="I49" s="320">
        <v>1.0</v>
      </c>
      <c r="J49" s="321" t="s">
        <v>32</v>
      </c>
      <c r="K49" s="92"/>
      <c r="L49" s="322">
        <v>27.9</v>
      </c>
      <c r="M49" s="323">
        <f>1/2.15</f>
        <v>0.4651162791</v>
      </c>
      <c r="N49" s="325">
        <v>2.15</v>
      </c>
      <c r="O49" s="326">
        <v>2.15</v>
      </c>
      <c r="P49" s="327" t="s">
        <v>43</v>
      </c>
      <c r="Q49" s="328" t="s">
        <v>41</v>
      </c>
      <c r="R49" s="328" t="s">
        <v>32</v>
      </c>
      <c r="S49" s="329">
        <v>5.0</v>
      </c>
      <c r="T49" s="91"/>
      <c r="U49" s="91"/>
      <c r="V49" s="91"/>
      <c r="W49" s="91"/>
      <c r="X49" s="92"/>
      <c r="Y49" s="330">
        <v>4.35</v>
      </c>
      <c r="Z49" s="331" t="s">
        <v>41</v>
      </c>
      <c r="AA49" s="333" t="s">
        <v>41</v>
      </c>
    </row>
    <row r="50">
      <c r="A50" s="1"/>
      <c r="B50" s="302" t="s">
        <v>67</v>
      </c>
      <c r="C50" s="249"/>
      <c r="D50" s="249"/>
      <c r="E50" s="249"/>
      <c r="F50" s="249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49"/>
      <c r="Z50" s="249"/>
      <c r="AA50" s="338"/>
    </row>
    <row r="51">
      <c r="A51" s="1"/>
      <c r="B51" s="342" t="s">
        <v>99</v>
      </c>
      <c r="C51" s="155"/>
      <c r="D51" s="344"/>
      <c r="E51" s="345"/>
      <c r="F51" s="346" t="s">
        <v>32</v>
      </c>
      <c r="G51" s="155"/>
      <c r="H51" s="347">
        <v>1.0</v>
      </c>
      <c r="I51" s="348">
        <v>1.0</v>
      </c>
      <c r="J51" s="349" t="s">
        <v>32</v>
      </c>
      <c r="K51" s="155"/>
      <c r="L51" s="350"/>
      <c r="M51" s="351"/>
      <c r="N51" s="352"/>
      <c r="O51" s="353"/>
      <c r="P51" s="354"/>
      <c r="Q51" s="355"/>
      <c r="R51" s="355"/>
      <c r="S51" s="356">
        <v>5.0</v>
      </c>
      <c r="T51" s="160"/>
      <c r="U51" s="160"/>
      <c r="V51" s="160"/>
      <c r="W51" s="160"/>
      <c r="X51" s="155"/>
      <c r="Y51" s="357"/>
      <c r="Z51" s="358"/>
      <c r="AA51" s="359"/>
    </row>
    <row r="52">
      <c r="A52" s="1"/>
      <c r="B52" s="361" t="s">
        <v>100</v>
      </c>
      <c r="C52" s="303"/>
      <c r="D52" s="362"/>
      <c r="E52" s="363"/>
      <c r="F52" s="257" t="s">
        <v>32</v>
      </c>
      <c r="G52" s="303"/>
      <c r="H52" s="364">
        <v>1.0</v>
      </c>
      <c r="I52" s="365">
        <v>1.0</v>
      </c>
      <c r="J52" s="260" t="s">
        <v>32</v>
      </c>
      <c r="K52" s="303"/>
      <c r="L52" s="261"/>
      <c r="M52" s="306"/>
      <c r="N52" s="263"/>
      <c r="O52" s="264"/>
      <c r="P52" s="265"/>
      <c r="Q52" s="266"/>
      <c r="R52" s="266"/>
      <c r="S52" s="267">
        <v>5.0</v>
      </c>
      <c r="T52" s="249"/>
      <c r="U52" s="249"/>
      <c r="V52" s="249"/>
      <c r="W52" s="249"/>
      <c r="X52" s="303"/>
      <c r="Y52" s="268"/>
      <c r="Z52" s="270"/>
      <c r="AA52" s="307"/>
    </row>
    <row r="53">
      <c r="A53" s="1"/>
      <c r="B53" s="367" t="s">
        <v>104</v>
      </c>
      <c r="C53" s="303"/>
      <c r="D53" s="362"/>
      <c r="E53" s="363"/>
      <c r="F53" s="257" t="s">
        <v>32</v>
      </c>
      <c r="G53" s="303"/>
      <c r="H53" s="364">
        <v>3.0</v>
      </c>
      <c r="I53" s="365">
        <v>5.0</v>
      </c>
      <c r="J53" s="260" t="s">
        <v>32</v>
      </c>
      <c r="K53" s="303"/>
      <c r="L53" s="261"/>
      <c r="M53" s="306"/>
      <c r="N53" s="263"/>
      <c r="O53" s="264"/>
      <c r="P53" s="265"/>
      <c r="Q53" s="266"/>
      <c r="R53" s="266"/>
      <c r="S53" s="369">
        <v>20.0</v>
      </c>
      <c r="T53" s="249"/>
      <c r="U53" s="249"/>
      <c r="V53" s="249"/>
      <c r="W53" s="249"/>
      <c r="X53" s="303"/>
      <c r="Y53" s="268"/>
      <c r="Z53" s="270"/>
      <c r="AA53" s="307"/>
    </row>
    <row r="54">
      <c r="A54" s="1"/>
      <c r="B54" s="361" t="s">
        <v>106</v>
      </c>
      <c r="C54" s="303"/>
      <c r="D54" s="362"/>
      <c r="E54" s="363"/>
      <c r="F54" s="257" t="s">
        <v>32</v>
      </c>
      <c r="G54" s="303"/>
      <c r="H54" s="364">
        <v>3.0</v>
      </c>
      <c r="I54" s="365">
        <v>5.0</v>
      </c>
      <c r="J54" s="260" t="s">
        <v>32</v>
      </c>
      <c r="K54" s="303"/>
      <c r="L54" s="261"/>
      <c r="M54" s="306"/>
      <c r="N54" s="263"/>
      <c r="O54" s="264"/>
      <c r="P54" s="265"/>
      <c r="Q54" s="266"/>
      <c r="R54" s="266"/>
      <c r="S54" s="369">
        <v>20.0</v>
      </c>
      <c r="T54" s="249"/>
      <c r="U54" s="249"/>
      <c r="V54" s="249"/>
      <c r="W54" s="249"/>
      <c r="X54" s="303"/>
      <c r="Y54" s="268"/>
      <c r="Z54" s="270"/>
      <c r="AA54" s="307"/>
    </row>
    <row r="55">
      <c r="A55" s="1"/>
      <c r="B55" s="381" t="s">
        <v>107</v>
      </c>
      <c r="C55" s="92"/>
      <c r="D55" s="382"/>
      <c r="E55" s="383"/>
      <c r="F55" s="172" t="s">
        <v>32</v>
      </c>
      <c r="G55" s="92"/>
      <c r="H55" s="318">
        <v>1.0</v>
      </c>
      <c r="I55" s="386">
        <v>1.0</v>
      </c>
      <c r="J55" s="176" t="s">
        <v>32</v>
      </c>
      <c r="K55" s="92"/>
      <c r="L55" s="179"/>
      <c r="M55" s="226"/>
      <c r="N55" s="188"/>
      <c r="O55" s="389"/>
      <c r="P55" s="390"/>
      <c r="Q55" s="196"/>
      <c r="R55" s="196"/>
      <c r="S55" s="131">
        <v>20.0</v>
      </c>
      <c r="T55" s="91"/>
      <c r="U55" s="91"/>
      <c r="V55" s="91"/>
      <c r="W55" s="91"/>
      <c r="X55" s="92"/>
      <c r="Y55" s="202"/>
      <c r="Z55" s="392"/>
      <c r="AA55" s="393"/>
    </row>
    <row r="56">
      <c r="A56" s="1"/>
      <c r="B56" s="302" t="s">
        <v>110</v>
      </c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X56" s="249"/>
      <c r="Y56" s="249"/>
      <c r="Z56" s="249"/>
      <c r="AA56" s="338"/>
    </row>
    <row r="57">
      <c r="A57" s="1"/>
      <c r="B57" s="395" t="s">
        <v>111</v>
      </c>
      <c r="C57" s="155"/>
      <c r="D57" s="178">
        <v>1.0</v>
      </c>
      <c r="E57" s="396">
        <v>1.0</v>
      </c>
      <c r="F57" s="346" t="s">
        <v>32</v>
      </c>
      <c r="G57" s="160"/>
      <c r="H57" s="397">
        <v>1.0</v>
      </c>
      <c r="I57" s="398">
        <v>1.0</v>
      </c>
      <c r="J57" s="349" t="s">
        <v>32</v>
      </c>
      <c r="K57" s="160"/>
      <c r="L57" s="350">
        <v>25.5</v>
      </c>
      <c r="M57" s="399">
        <f>1/2.35</f>
        <v>0.4255319149</v>
      </c>
      <c r="N57" s="352">
        <v>2.35</v>
      </c>
      <c r="O57" s="353" t="s">
        <v>43</v>
      </c>
      <c r="P57" s="354" t="s">
        <v>43</v>
      </c>
      <c r="Q57" s="355" t="s">
        <v>41</v>
      </c>
      <c r="R57" s="355" t="s">
        <v>32</v>
      </c>
      <c r="S57" s="356">
        <v>5.0</v>
      </c>
      <c r="T57" s="160"/>
      <c r="U57" s="160"/>
      <c r="V57" s="160"/>
      <c r="W57" s="160"/>
      <c r="X57" s="160"/>
      <c r="Y57" s="357">
        <v>3.95</v>
      </c>
      <c r="Z57" s="358" t="s">
        <v>41</v>
      </c>
      <c r="AA57" s="359" t="s">
        <v>41</v>
      </c>
    </row>
    <row r="58">
      <c r="A58" s="1"/>
      <c r="B58" s="296" t="s">
        <v>114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</row>
    <row r="59">
      <c r="A59" s="1"/>
      <c r="B59" s="400" t="s">
        <v>115</v>
      </c>
      <c r="C59" s="249"/>
      <c r="D59" s="255">
        <v>1.0</v>
      </c>
      <c r="E59" s="256">
        <v>1.0</v>
      </c>
      <c r="F59" s="257" t="s">
        <v>32</v>
      </c>
      <c r="G59" s="249"/>
      <c r="H59" s="258">
        <v>1.0</v>
      </c>
      <c r="I59" s="259">
        <v>1.0</v>
      </c>
      <c r="J59" s="260" t="s">
        <v>32</v>
      </c>
      <c r="K59" s="249"/>
      <c r="L59" s="261">
        <f>60/1.5</f>
        <v>40</v>
      </c>
      <c r="M59" s="262">
        <f>1/1.5</f>
        <v>0.6666666667</v>
      </c>
      <c r="N59" s="263">
        <v>1.5</v>
      </c>
      <c r="O59" s="264" t="s">
        <v>43</v>
      </c>
      <c r="P59" s="265" t="s">
        <v>43</v>
      </c>
      <c r="Q59" s="266" t="s">
        <v>41</v>
      </c>
      <c r="R59" s="266" t="s">
        <v>32</v>
      </c>
      <c r="S59" s="267">
        <v>60.0</v>
      </c>
      <c r="T59" s="249"/>
      <c r="U59" s="249"/>
      <c r="V59" s="249"/>
      <c r="W59" s="249"/>
      <c r="X59" s="249"/>
      <c r="Y59" s="268" t="s">
        <v>32</v>
      </c>
      <c r="Z59" s="270" t="s">
        <v>41</v>
      </c>
      <c r="AA59" s="307" t="s">
        <v>41</v>
      </c>
    </row>
    <row r="60">
      <c r="A60" s="1"/>
      <c r="B60" s="302" t="s">
        <v>73</v>
      </c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249"/>
      <c r="W60" s="249"/>
      <c r="X60" s="249"/>
      <c r="Y60" s="249"/>
      <c r="Z60" s="249"/>
      <c r="AA60" s="338"/>
    </row>
    <row r="61">
      <c r="A61" s="1"/>
      <c r="B61" s="367" t="s">
        <v>119</v>
      </c>
      <c r="C61" s="303"/>
      <c r="D61" s="362"/>
      <c r="E61" s="363"/>
      <c r="F61" s="257" t="s">
        <v>32</v>
      </c>
      <c r="G61" s="303"/>
      <c r="H61" s="364">
        <v>1.0</v>
      </c>
      <c r="I61" s="365">
        <v>3.0</v>
      </c>
      <c r="J61" s="260" t="s">
        <v>32</v>
      </c>
      <c r="K61" s="303"/>
      <c r="L61" s="261"/>
      <c r="M61" s="306"/>
      <c r="N61" s="263"/>
      <c r="O61" s="264"/>
      <c r="P61" s="265"/>
      <c r="Q61" s="266"/>
      <c r="R61" s="266"/>
      <c r="S61" s="267">
        <v>10.0</v>
      </c>
      <c r="T61" s="249"/>
      <c r="U61" s="249"/>
      <c r="V61" s="249"/>
      <c r="W61" s="249"/>
      <c r="X61" s="303"/>
      <c r="Y61" s="268"/>
      <c r="Z61" s="270"/>
      <c r="AA61" s="307"/>
    </row>
    <row r="62">
      <c r="A62" s="1"/>
      <c r="B62" s="361" t="s">
        <v>120</v>
      </c>
      <c r="C62" s="303"/>
      <c r="D62" s="362"/>
      <c r="E62" s="363"/>
      <c r="F62" s="257" t="s">
        <v>32</v>
      </c>
      <c r="G62" s="303"/>
      <c r="H62" s="364">
        <v>3.0</v>
      </c>
      <c r="I62" s="365">
        <v>5.0</v>
      </c>
      <c r="J62" s="260" t="s">
        <v>32</v>
      </c>
      <c r="K62" s="303"/>
      <c r="L62" s="261"/>
      <c r="M62" s="306"/>
      <c r="N62" s="263"/>
      <c r="O62" s="264"/>
      <c r="P62" s="265"/>
      <c r="Q62" s="266"/>
      <c r="R62" s="266"/>
      <c r="S62" s="369">
        <v>20.0</v>
      </c>
      <c r="T62" s="249"/>
      <c r="U62" s="249"/>
      <c r="V62" s="249"/>
      <c r="W62" s="249"/>
      <c r="X62" s="303"/>
      <c r="Y62" s="268"/>
      <c r="Z62" s="270"/>
      <c r="AA62" s="307"/>
    </row>
    <row r="63">
      <c r="A63" s="1"/>
      <c r="B63" s="367" t="s">
        <v>121</v>
      </c>
      <c r="C63" s="303"/>
      <c r="D63" s="362"/>
      <c r="E63" s="363"/>
      <c r="F63" s="257" t="s">
        <v>32</v>
      </c>
      <c r="G63" s="303"/>
      <c r="H63" s="364">
        <v>1.0</v>
      </c>
      <c r="I63" s="365">
        <v>1.0</v>
      </c>
      <c r="J63" s="260" t="s">
        <v>32</v>
      </c>
      <c r="K63" s="303"/>
      <c r="L63" s="261"/>
      <c r="M63" s="306"/>
      <c r="N63" s="263"/>
      <c r="O63" s="264"/>
      <c r="P63" s="265"/>
      <c r="Q63" s="266"/>
      <c r="R63" s="266"/>
      <c r="S63" s="267">
        <v>5.0</v>
      </c>
      <c r="T63" s="249"/>
      <c r="U63" s="249"/>
      <c r="V63" s="249"/>
      <c r="W63" s="249"/>
      <c r="X63" s="303"/>
      <c r="Y63" s="268"/>
      <c r="Z63" s="270"/>
      <c r="AA63" s="307"/>
    </row>
    <row r="64">
      <c r="A64" s="1"/>
      <c r="B64" s="361" t="s">
        <v>123</v>
      </c>
      <c r="C64" s="303"/>
      <c r="D64" s="362"/>
      <c r="E64" s="363"/>
      <c r="F64" s="257" t="s">
        <v>32</v>
      </c>
      <c r="G64" s="303"/>
      <c r="H64" s="364">
        <v>1.0</v>
      </c>
      <c r="I64" s="365">
        <v>1.0</v>
      </c>
      <c r="J64" s="260" t="s">
        <v>32</v>
      </c>
      <c r="K64" s="303"/>
      <c r="L64" s="261"/>
      <c r="M64" s="306"/>
      <c r="N64" s="263"/>
      <c r="O64" s="264"/>
      <c r="P64" s="265"/>
      <c r="Q64" s="266"/>
      <c r="R64" s="266"/>
      <c r="S64" s="267">
        <v>10.0</v>
      </c>
      <c r="T64" s="249"/>
      <c r="U64" s="249"/>
      <c r="V64" s="249"/>
      <c r="W64" s="249"/>
      <c r="X64" s="303"/>
      <c r="Y64" s="268"/>
      <c r="Z64" s="270"/>
      <c r="AA64" s="307"/>
    </row>
    <row r="65">
      <c r="A65" s="1"/>
      <c r="B65" s="367" t="s">
        <v>125</v>
      </c>
      <c r="C65" s="303"/>
      <c r="D65" s="401" t="s">
        <v>32</v>
      </c>
      <c r="E65" s="303"/>
      <c r="F65" s="384"/>
      <c r="G65" s="385"/>
      <c r="H65" s="402" t="s">
        <v>32</v>
      </c>
      <c r="I65" s="303"/>
      <c r="J65" s="387">
        <v>3.0</v>
      </c>
      <c r="K65" s="388">
        <v>6.0</v>
      </c>
      <c r="L65" s="261"/>
      <c r="M65" s="306"/>
      <c r="N65" s="263"/>
      <c r="O65" s="264"/>
      <c r="P65" s="265"/>
      <c r="Q65" s="266"/>
      <c r="R65" s="266"/>
      <c r="S65" s="369">
        <v>20.0</v>
      </c>
      <c r="T65" s="249"/>
      <c r="U65" s="249"/>
      <c r="V65" s="249"/>
      <c r="W65" s="249"/>
      <c r="X65" s="303"/>
      <c r="Y65" s="268"/>
      <c r="Z65" s="270"/>
      <c r="AA65" s="307"/>
    </row>
    <row r="66">
      <c r="A66" s="1"/>
      <c r="B66" s="361" t="s">
        <v>126</v>
      </c>
      <c r="C66" s="303"/>
      <c r="D66" s="362"/>
      <c r="E66" s="363"/>
      <c r="F66" s="257" t="s">
        <v>32</v>
      </c>
      <c r="G66" s="303"/>
      <c r="H66" s="364">
        <v>1.0</v>
      </c>
      <c r="I66" s="365">
        <v>1.0</v>
      </c>
      <c r="J66" s="260" t="s">
        <v>32</v>
      </c>
      <c r="K66" s="303"/>
      <c r="L66" s="261"/>
      <c r="M66" s="306"/>
      <c r="N66" s="263"/>
      <c r="O66" s="264"/>
      <c r="P66" s="265"/>
      <c r="Q66" s="266"/>
      <c r="R66" s="266"/>
      <c r="S66" s="267">
        <v>5.0</v>
      </c>
      <c r="T66" s="249"/>
      <c r="U66" s="249"/>
      <c r="V66" s="249"/>
      <c r="W66" s="249"/>
      <c r="X66" s="303"/>
      <c r="Y66" s="268"/>
      <c r="Z66" s="270"/>
      <c r="AA66" s="307"/>
    </row>
    <row r="67">
      <c r="A67" s="1"/>
      <c r="B67" s="370" t="s">
        <v>129</v>
      </c>
      <c r="C67" s="303"/>
      <c r="D67" s="362"/>
      <c r="E67" s="363"/>
      <c r="F67" s="257" t="s">
        <v>32</v>
      </c>
      <c r="G67" s="303"/>
      <c r="H67" s="364">
        <v>1.0</v>
      </c>
      <c r="I67" s="365">
        <v>1.0</v>
      </c>
      <c r="J67" s="260" t="s">
        <v>32</v>
      </c>
      <c r="K67" s="303"/>
      <c r="L67" s="261"/>
      <c r="M67" s="306"/>
      <c r="N67" s="263"/>
      <c r="O67" s="264"/>
      <c r="P67" s="265"/>
      <c r="Q67" s="266"/>
      <c r="R67" s="266"/>
      <c r="S67" s="267">
        <v>5.0</v>
      </c>
      <c r="T67" s="249"/>
      <c r="U67" s="249"/>
      <c r="V67" s="249"/>
      <c r="W67" s="249"/>
      <c r="X67" s="303"/>
      <c r="Y67" s="268"/>
      <c r="Z67" s="270"/>
      <c r="AA67" s="307"/>
    </row>
    <row r="68">
      <c r="A68" s="1"/>
      <c r="B68" s="302" t="s">
        <v>130</v>
      </c>
      <c r="C68" s="303"/>
      <c r="D68" s="255">
        <v>1.0</v>
      </c>
      <c r="E68" s="256">
        <v>1.0</v>
      </c>
      <c r="F68" s="257" t="s">
        <v>32</v>
      </c>
      <c r="G68" s="249"/>
      <c r="H68" s="258">
        <v>1.0</v>
      </c>
      <c r="I68" s="259">
        <v>1.0</v>
      </c>
      <c r="J68" s="260" t="s">
        <v>32</v>
      </c>
      <c r="K68" s="249"/>
      <c r="L68" s="403" t="s">
        <v>32</v>
      </c>
      <c r="M68" s="249"/>
      <c r="N68" s="303"/>
      <c r="O68" s="264" t="s">
        <v>43</v>
      </c>
      <c r="P68" s="265" t="s">
        <v>43</v>
      </c>
      <c r="Q68" s="266" t="s">
        <v>41</v>
      </c>
      <c r="R68" s="266" t="s">
        <v>32</v>
      </c>
      <c r="S68" s="267">
        <v>1.0</v>
      </c>
      <c r="T68" s="249"/>
      <c r="U68" s="249"/>
      <c r="V68" s="249"/>
      <c r="W68" s="249"/>
      <c r="X68" s="249"/>
      <c r="Y68" s="268">
        <v>3.95</v>
      </c>
      <c r="Z68" s="270" t="s">
        <v>41</v>
      </c>
      <c r="AA68" s="307" t="s">
        <v>41</v>
      </c>
    </row>
    <row r="69">
      <c r="A69" s="1"/>
      <c r="B69" s="367" t="s">
        <v>132</v>
      </c>
      <c r="C69" s="303"/>
      <c r="D69" s="362"/>
      <c r="E69" s="363"/>
      <c r="F69" s="257" t="s">
        <v>32</v>
      </c>
      <c r="G69" s="303"/>
      <c r="H69" s="364">
        <v>1.0</v>
      </c>
      <c r="I69" s="365">
        <v>1.0</v>
      </c>
      <c r="J69" s="260" t="s">
        <v>32</v>
      </c>
      <c r="K69" s="303"/>
      <c r="L69" s="261"/>
      <c r="M69" s="306"/>
      <c r="N69" s="263"/>
      <c r="O69" s="264"/>
      <c r="P69" s="265"/>
      <c r="Q69" s="266"/>
      <c r="R69" s="266"/>
      <c r="S69" s="267">
        <v>5.0</v>
      </c>
      <c r="T69" s="249"/>
      <c r="U69" s="249"/>
      <c r="V69" s="249"/>
      <c r="W69" s="249"/>
      <c r="X69" s="303"/>
      <c r="Y69" s="268"/>
      <c r="Z69" s="270"/>
      <c r="AA69" s="307"/>
    </row>
    <row r="70">
      <c r="A70" s="1"/>
      <c r="B70" s="367" t="s">
        <v>133</v>
      </c>
      <c r="C70" s="303"/>
      <c r="D70" s="362"/>
      <c r="E70" s="363"/>
      <c r="F70" s="257" t="s">
        <v>32</v>
      </c>
      <c r="G70" s="303"/>
      <c r="H70" s="364">
        <v>1.0</v>
      </c>
      <c r="I70" s="365">
        <v>2.0</v>
      </c>
      <c r="J70" s="260" t="s">
        <v>32</v>
      </c>
      <c r="K70" s="303"/>
      <c r="L70" s="261"/>
      <c r="M70" s="306"/>
      <c r="N70" s="263"/>
      <c r="O70" s="264"/>
      <c r="P70" s="265"/>
      <c r="Q70" s="266"/>
      <c r="R70" s="266"/>
      <c r="S70" s="267">
        <v>10.0</v>
      </c>
      <c r="T70" s="249"/>
      <c r="U70" s="249"/>
      <c r="V70" s="249"/>
      <c r="W70" s="249"/>
      <c r="X70" s="303"/>
      <c r="Y70" s="268"/>
      <c r="Z70" s="270"/>
      <c r="AA70" s="307"/>
    </row>
    <row r="71">
      <c r="A71" s="1"/>
      <c r="B71" s="367" t="s">
        <v>134</v>
      </c>
      <c r="C71" s="303"/>
      <c r="D71" s="362"/>
      <c r="E71" s="363"/>
      <c r="F71" s="257" t="s">
        <v>32</v>
      </c>
      <c r="G71" s="303"/>
      <c r="H71" s="364">
        <v>1.0</v>
      </c>
      <c r="I71" s="365">
        <v>1.0</v>
      </c>
      <c r="J71" s="260" t="s">
        <v>32</v>
      </c>
      <c r="K71" s="303"/>
      <c r="L71" s="261"/>
      <c r="M71" s="306"/>
      <c r="N71" s="263"/>
      <c r="O71" s="264"/>
      <c r="P71" s="265"/>
      <c r="Q71" s="266"/>
      <c r="R71" s="266"/>
      <c r="S71" s="267">
        <v>10.0</v>
      </c>
      <c r="T71" s="249"/>
      <c r="U71" s="249"/>
      <c r="V71" s="249"/>
      <c r="W71" s="249"/>
      <c r="X71" s="303"/>
      <c r="Y71" s="268"/>
      <c r="Z71" s="270"/>
      <c r="AA71" s="307"/>
    </row>
    <row r="72">
      <c r="A72" s="1"/>
      <c r="B72" s="367" t="s">
        <v>135</v>
      </c>
      <c r="C72" s="303"/>
      <c r="D72" s="362"/>
      <c r="E72" s="363"/>
      <c r="F72" s="257" t="s">
        <v>32</v>
      </c>
      <c r="G72" s="303"/>
      <c r="H72" s="364">
        <v>1.0</v>
      </c>
      <c r="I72" s="365">
        <v>1.0</v>
      </c>
      <c r="J72" s="260" t="s">
        <v>32</v>
      </c>
      <c r="K72" s="303"/>
      <c r="L72" s="261"/>
      <c r="M72" s="306"/>
      <c r="N72" s="263"/>
      <c r="O72" s="264"/>
      <c r="P72" s="265"/>
      <c r="Q72" s="266"/>
      <c r="R72" s="266"/>
      <c r="S72" s="267">
        <v>5.0</v>
      </c>
      <c r="T72" s="249"/>
      <c r="U72" s="249"/>
      <c r="V72" s="249"/>
      <c r="W72" s="249"/>
      <c r="X72" s="303"/>
      <c r="Y72" s="268"/>
      <c r="Z72" s="270"/>
      <c r="AA72" s="307"/>
    </row>
    <row r="73">
      <c r="A73" s="1"/>
      <c r="B73" s="302" t="s">
        <v>136</v>
      </c>
      <c r="C73" s="303"/>
      <c r="D73" s="255">
        <v>1.0</v>
      </c>
      <c r="E73" s="256">
        <v>2.0</v>
      </c>
      <c r="F73" s="257" t="s">
        <v>32</v>
      </c>
      <c r="G73" s="249"/>
      <c r="H73" s="258">
        <v>1.0</v>
      </c>
      <c r="I73" s="259">
        <v>1.0</v>
      </c>
      <c r="J73" s="260" t="s">
        <v>32</v>
      </c>
      <c r="K73" s="249"/>
      <c r="L73" s="261">
        <v>42.2</v>
      </c>
      <c r="M73" s="262">
        <f>1/1.42</f>
        <v>0.7042253521</v>
      </c>
      <c r="N73" s="263">
        <v>1.42</v>
      </c>
      <c r="O73" s="264">
        <v>1.42</v>
      </c>
      <c r="P73" s="265" t="s">
        <v>43</v>
      </c>
      <c r="Q73" s="266" t="s">
        <v>41</v>
      </c>
      <c r="R73" s="266" t="s">
        <v>32</v>
      </c>
      <c r="S73" s="369">
        <v>15.0</v>
      </c>
      <c r="T73" s="249"/>
      <c r="U73" s="249"/>
      <c r="V73" s="249"/>
      <c r="W73" s="249"/>
      <c r="X73" s="249"/>
      <c r="Y73" s="268">
        <v>15.29</v>
      </c>
      <c r="Z73" s="270" t="s">
        <v>41</v>
      </c>
      <c r="AA73" s="307" t="s">
        <v>41</v>
      </c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2"/>
      <c r="O74" s="3"/>
      <c r="P74" s="3"/>
      <c r="Q74" s="1"/>
      <c r="R74" s="1"/>
      <c r="S74" s="1"/>
      <c r="T74" s="1"/>
      <c r="U74" s="1"/>
      <c r="V74" s="1"/>
      <c r="W74" s="1"/>
      <c r="X74" s="1"/>
      <c r="Y74" s="3"/>
      <c r="Z74" s="3"/>
      <c r="AA74" s="3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2"/>
      <c r="O75" s="3"/>
      <c r="P75" s="3"/>
      <c r="Q75" s="1"/>
      <c r="R75" s="1"/>
      <c r="S75" s="1"/>
      <c r="T75" s="1"/>
      <c r="U75" s="1"/>
      <c r="V75" s="1"/>
      <c r="W75" s="1"/>
      <c r="X75" s="1"/>
      <c r="Y75" s="3"/>
      <c r="Z75" s="3"/>
      <c r="AA75" s="3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2"/>
      <c r="O76" s="3"/>
      <c r="P76" s="3"/>
      <c r="Q76" s="1"/>
      <c r="R76" s="1"/>
      <c r="S76" s="1"/>
      <c r="T76" s="1"/>
      <c r="U76" s="1"/>
      <c r="V76" s="1"/>
      <c r="W76" s="1"/>
      <c r="X76" s="1"/>
      <c r="Y76" s="3"/>
      <c r="Z76" s="3"/>
      <c r="AA76" s="3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2"/>
      <c r="O77" s="3"/>
      <c r="P77" s="3"/>
      <c r="Q77" s="1"/>
      <c r="R77" s="1"/>
      <c r="S77" s="1"/>
      <c r="T77" s="1"/>
      <c r="U77" s="1"/>
      <c r="V77" s="1"/>
      <c r="W77" s="1"/>
      <c r="X77" s="1"/>
      <c r="Y77" s="3"/>
      <c r="Z77" s="3"/>
      <c r="AA77" s="3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2"/>
      <c r="O78" s="3"/>
      <c r="P78" s="3"/>
      <c r="Q78" s="1"/>
      <c r="R78" s="1"/>
      <c r="S78" s="1"/>
      <c r="T78" s="1"/>
      <c r="U78" s="1"/>
      <c r="V78" s="1"/>
      <c r="W78" s="1"/>
      <c r="X78" s="1"/>
      <c r="Y78" s="3"/>
      <c r="Z78" s="3"/>
      <c r="AA78" s="3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2"/>
      <c r="O79" s="3"/>
      <c r="P79" s="3"/>
      <c r="Q79" s="1"/>
      <c r="R79" s="1"/>
      <c r="S79" s="1"/>
      <c r="T79" s="1"/>
      <c r="U79" s="1"/>
      <c r="V79" s="1"/>
      <c r="W79" s="1"/>
      <c r="X79" s="1"/>
      <c r="Y79" s="3"/>
      <c r="Z79" s="3"/>
      <c r="AA79" s="3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2"/>
      <c r="O80" s="3"/>
      <c r="P80" s="3"/>
      <c r="Q80" s="1"/>
      <c r="R80" s="1"/>
      <c r="S80" s="1"/>
      <c r="T80" s="1"/>
      <c r="U80" s="1"/>
      <c r="V80" s="1"/>
      <c r="W80" s="1"/>
      <c r="X80" s="1"/>
      <c r="Y80" s="3"/>
      <c r="Z80" s="3"/>
      <c r="AA80" s="3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2"/>
      <c r="O81" s="3"/>
      <c r="P81" s="3"/>
      <c r="Q81" s="1"/>
      <c r="R81" s="1"/>
      <c r="S81" s="1"/>
      <c r="T81" s="1"/>
      <c r="U81" s="1"/>
      <c r="V81" s="1"/>
      <c r="W81" s="1"/>
      <c r="X81" s="1"/>
      <c r="Y81" s="3"/>
      <c r="Z81" s="3"/>
      <c r="AA81" s="3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2"/>
      <c r="O82" s="3"/>
      <c r="P82" s="3"/>
      <c r="Q82" s="1"/>
      <c r="R82" s="1"/>
      <c r="S82" s="1"/>
      <c r="T82" s="1"/>
      <c r="U82" s="1"/>
      <c r="V82" s="1"/>
      <c r="W82" s="1"/>
      <c r="X82" s="1"/>
      <c r="Y82" s="3"/>
      <c r="Z82" s="3"/>
      <c r="AA82" s="3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2"/>
      <c r="O83" s="3"/>
      <c r="P83" s="3"/>
      <c r="Q83" s="1"/>
      <c r="R83" s="1"/>
      <c r="S83" s="1"/>
      <c r="T83" s="1"/>
      <c r="U83" s="1"/>
      <c r="V83" s="1"/>
      <c r="W83" s="1"/>
      <c r="X83" s="1"/>
      <c r="Y83" s="3"/>
      <c r="Z83" s="3"/>
      <c r="AA83" s="3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2"/>
      <c r="O84" s="3"/>
      <c r="P84" s="3"/>
      <c r="Q84" s="1"/>
      <c r="R84" s="1"/>
      <c r="S84" s="1"/>
      <c r="T84" s="1"/>
      <c r="U84" s="1"/>
      <c r="V84" s="1"/>
      <c r="W84" s="1"/>
      <c r="X84" s="1"/>
      <c r="Y84" s="3"/>
      <c r="Z84" s="3"/>
      <c r="AA84" s="3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2"/>
      <c r="O85" s="3"/>
      <c r="P85" s="3"/>
      <c r="Q85" s="1"/>
      <c r="R85" s="1"/>
      <c r="S85" s="1"/>
      <c r="T85" s="1"/>
      <c r="U85" s="1"/>
      <c r="V85" s="1"/>
      <c r="W85" s="1"/>
      <c r="X85" s="1"/>
      <c r="Y85" s="3"/>
      <c r="Z85" s="3"/>
      <c r="AA85" s="3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2"/>
      <c r="O86" s="3"/>
      <c r="P86" s="3"/>
      <c r="Q86" s="1"/>
      <c r="R86" s="1"/>
      <c r="S86" s="1"/>
      <c r="T86" s="1"/>
      <c r="U86" s="1"/>
      <c r="V86" s="1"/>
      <c r="W86" s="1"/>
      <c r="X86" s="1"/>
      <c r="Y86" s="3"/>
      <c r="Z86" s="3"/>
      <c r="AA86" s="3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2"/>
      <c r="O87" s="3"/>
      <c r="P87" s="3"/>
      <c r="Q87" s="1"/>
      <c r="R87" s="1"/>
      <c r="S87" s="1"/>
      <c r="T87" s="1"/>
      <c r="U87" s="1"/>
      <c r="V87" s="1"/>
      <c r="W87" s="1"/>
      <c r="X87" s="1"/>
      <c r="Y87" s="3"/>
      <c r="Z87" s="3"/>
      <c r="AA87" s="3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2"/>
      <c r="O88" s="3"/>
      <c r="P88" s="3"/>
      <c r="Q88" s="1"/>
      <c r="R88" s="1"/>
      <c r="S88" s="1"/>
      <c r="T88" s="1"/>
      <c r="U88" s="1"/>
      <c r="V88" s="1"/>
      <c r="W88" s="1"/>
      <c r="X88" s="1"/>
      <c r="Y88" s="3"/>
      <c r="Z88" s="3"/>
      <c r="AA88" s="3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2"/>
      <c r="O89" s="3"/>
      <c r="P89" s="3"/>
      <c r="Q89" s="1"/>
      <c r="R89" s="1"/>
      <c r="S89" s="1"/>
      <c r="T89" s="1"/>
      <c r="U89" s="1"/>
      <c r="V89" s="1"/>
      <c r="W89" s="1"/>
      <c r="X89" s="1"/>
      <c r="Y89" s="3"/>
      <c r="Z89" s="3"/>
      <c r="AA89" s="3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2"/>
      <c r="O90" s="3"/>
      <c r="P90" s="3"/>
      <c r="Q90" s="1"/>
      <c r="R90" s="1"/>
      <c r="S90" s="1"/>
      <c r="T90" s="1"/>
      <c r="U90" s="1"/>
      <c r="V90" s="1"/>
      <c r="W90" s="1"/>
      <c r="X90" s="1"/>
      <c r="Y90" s="3"/>
      <c r="Z90" s="3"/>
      <c r="AA90" s="3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2"/>
      <c r="O91" s="3"/>
      <c r="P91" s="3"/>
      <c r="Q91" s="1"/>
      <c r="R91" s="1"/>
      <c r="S91" s="1"/>
      <c r="T91" s="1"/>
      <c r="U91" s="1"/>
      <c r="V91" s="1"/>
      <c r="W91" s="1"/>
      <c r="X91" s="1"/>
      <c r="Y91" s="3"/>
      <c r="Z91" s="3"/>
      <c r="AA91" s="3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2"/>
      <c r="O92" s="3"/>
      <c r="P92" s="3"/>
      <c r="Q92" s="1"/>
      <c r="R92" s="1"/>
      <c r="S92" s="1"/>
      <c r="T92" s="1"/>
      <c r="U92" s="1"/>
      <c r="V92" s="1"/>
      <c r="W92" s="1"/>
      <c r="X92" s="1"/>
      <c r="Y92" s="3"/>
      <c r="Z92" s="3"/>
      <c r="AA92" s="3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2"/>
      <c r="O93" s="3"/>
      <c r="P93" s="3"/>
      <c r="Q93" s="1"/>
      <c r="R93" s="1"/>
      <c r="S93" s="1"/>
      <c r="T93" s="1"/>
      <c r="U93" s="1"/>
      <c r="V93" s="1"/>
      <c r="W93" s="1"/>
      <c r="X93" s="1"/>
      <c r="Y93" s="3"/>
      <c r="Z93" s="3"/>
      <c r="AA93" s="3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2"/>
      <c r="O94" s="3"/>
      <c r="P94" s="3"/>
      <c r="Q94" s="1"/>
      <c r="R94" s="1"/>
      <c r="S94" s="1"/>
      <c r="T94" s="1"/>
      <c r="U94" s="1"/>
      <c r="V94" s="1"/>
      <c r="W94" s="1"/>
      <c r="X94" s="1"/>
      <c r="Y94" s="3"/>
      <c r="Z94" s="3"/>
      <c r="AA94" s="3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2"/>
      <c r="O95" s="3"/>
      <c r="P95" s="3"/>
      <c r="Q95" s="1"/>
      <c r="R95" s="1"/>
      <c r="S95" s="1"/>
      <c r="T95" s="1"/>
      <c r="U95" s="1"/>
      <c r="V95" s="1"/>
      <c r="W95" s="1"/>
      <c r="X95" s="1"/>
      <c r="Y95" s="3"/>
      <c r="Z95" s="3"/>
      <c r="AA95" s="3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2"/>
      <c r="O96" s="3"/>
      <c r="P96" s="3"/>
      <c r="Q96" s="1"/>
      <c r="R96" s="1"/>
      <c r="S96" s="1"/>
      <c r="T96" s="1"/>
      <c r="U96" s="1"/>
      <c r="V96" s="1"/>
      <c r="W96" s="1"/>
      <c r="X96" s="1"/>
      <c r="Y96" s="3"/>
      <c r="Z96" s="3"/>
      <c r="AA96" s="3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2"/>
      <c r="O97" s="3"/>
      <c r="P97" s="3"/>
      <c r="Q97" s="1"/>
      <c r="R97" s="1"/>
      <c r="S97" s="1"/>
      <c r="T97" s="1"/>
      <c r="U97" s="1"/>
      <c r="V97" s="1"/>
      <c r="W97" s="1"/>
      <c r="X97" s="1"/>
      <c r="Y97" s="3"/>
      <c r="Z97" s="3"/>
      <c r="AA97" s="3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2"/>
      <c r="O98" s="3"/>
      <c r="P98" s="3"/>
      <c r="Q98" s="1"/>
      <c r="R98" s="1"/>
      <c r="S98" s="1"/>
      <c r="T98" s="1"/>
      <c r="U98" s="1"/>
      <c r="V98" s="1"/>
      <c r="W98" s="1"/>
      <c r="X98" s="1"/>
      <c r="Y98" s="3"/>
      <c r="Z98" s="3"/>
      <c r="AA98" s="3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2"/>
      <c r="O99" s="3"/>
      <c r="P99" s="3"/>
      <c r="Q99" s="1"/>
      <c r="R99" s="1"/>
      <c r="S99" s="1"/>
      <c r="T99" s="1"/>
      <c r="U99" s="1"/>
      <c r="V99" s="1"/>
      <c r="W99" s="1"/>
      <c r="X99" s="1"/>
      <c r="Y99" s="3"/>
      <c r="Z99" s="3"/>
      <c r="AA99" s="3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2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3"/>
      <c r="Z100" s="3"/>
      <c r="AA100" s="3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2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3"/>
      <c r="Z101" s="3"/>
      <c r="AA101" s="3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2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3"/>
      <c r="Z102" s="3"/>
      <c r="AA102" s="3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2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3"/>
      <c r="Z103" s="3"/>
      <c r="AA103" s="3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2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3"/>
      <c r="Z104" s="3"/>
      <c r="AA104" s="3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2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3"/>
      <c r="Z105" s="3"/>
      <c r="AA105" s="3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2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3"/>
      <c r="Z106" s="3"/>
      <c r="AA106" s="3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2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3"/>
      <c r="Z107" s="3"/>
      <c r="AA107" s="3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2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3"/>
      <c r="Z108" s="3"/>
      <c r="AA108" s="3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2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3"/>
      <c r="Z109" s="3"/>
      <c r="AA109" s="3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2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3"/>
      <c r="Z110" s="3"/>
      <c r="AA110" s="3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2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3"/>
      <c r="Z111" s="3"/>
      <c r="AA111" s="3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2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3"/>
      <c r="Z112" s="3"/>
      <c r="AA112" s="3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2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3"/>
      <c r="Z113" s="3"/>
      <c r="AA113" s="3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2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3"/>
      <c r="Z114" s="3"/>
      <c r="AA114" s="3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2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3"/>
      <c r="Z115" s="3"/>
      <c r="AA115" s="3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2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3"/>
      <c r="Z116" s="3"/>
      <c r="AA116" s="3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2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3"/>
      <c r="Z117" s="3"/>
      <c r="AA117" s="3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2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3"/>
      <c r="Z118" s="3"/>
      <c r="AA118" s="3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2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3"/>
      <c r="Z119" s="3"/>
      <c r="AA119" s="3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2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3"/>
      <c r="Z120" s="3"/>
      <c r="AA120" s="3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2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3"/>
      <c r="Z121" s="3"/>
      <c r="AA121" s="3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2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3"/>
      <c r="Z122" s="3"/>
      <c r="AA122" s="3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2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3"/>
      <c r="Z123" s="3"/>
      <c r="AA123" s="3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2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3"/>
      <c r="Z124" s="3"/>
      <c r="AA124" s="3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2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3"/>
      <c r="Z125" s="3"/>
      <c r="AA125" s="3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2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3"/>
      <c r="Z126" s="3"/>
      <c r="AA126" s="3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2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3"/>
      <c r="Z127" s="3"/>
      <c r="AA127" s="3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2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3"/>
      <c r="Z128" s="3"/>
      <c r="AA128" s="3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2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3"/>
      <c r="Z129" s="3"/>
      <c r="AA129" s="3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2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3"/>
      <c r="Z130" s="3"/>
      <c r="AA130" s="3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2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3"/>
      <c r="Z131" s="3"/>
      <c r="AA131" s="3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2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3"/>
      <c r="Z132" s="3"/>
      <c r="AA132" s="3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2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3"/>
      <c r="Z133" s="3"/>
      <c r="AA133" s="3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2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3"/>
      <c r="Z134" s="3"/>
      <c r="AA134" s="3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2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3"/>
      <c r="Z135" s="3"/>
      <c r="AA135" s="3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2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3"/>
      <c r="Z136" s="3"/>
      <c r="AA136" s="3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2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3"/>
      <c r="Z137" s="3"/>
      <c r="AA137" s="3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2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3"/>
      <c r="Z138" s="3"/>
      <c r="AA138" s="3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2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3"/>
      <c r="Z139" s="3"/>
      <c r="AA139" s="3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2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3"/>
      <c r="Z140" s="3"/>
      <c r="AA140" s="3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2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3"/>
      <c r="Z141" s="3"/>
      <c r="AA141" s="3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2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3"/>
      <c r="Z142" s="3"/>
      <c r="AA142" s="3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2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3"/>
      <c r="Z143" s="3"/>
      <c r="AA143" s="3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2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3"/>
      <c r="Z144" s="3"/>
      <c r="AA144" s="3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2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3"/>
      <c r="Z145" s="3"/>
      <c r="AA145" s="3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2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3"/>
      <c r="Z146" s="3"/>
      <c r="AA146" s="3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2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3"/>
      <c r="Z147" s="3"/>
      <c r="AA147" s="3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2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3"/>
      <c r="Z148" s="3"/>
      <c r="AA148" s="3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2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3"/>
      <c r="Z149" s="3"/>
      <c r="AA149" s="3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2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3"/>
      <c r="Z150" s="3"/>
      <c r="AA150" s="3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2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3"/>
      <c r="Z151" s="3"/>
      <c r="AA151" s="3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2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3"/>
      <c r="Z152" s="3"/>
      <c r="AA152" s="3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2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3"/>
      <c r="Z153" s="3"/>
      <c r="AA153" s="3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2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3"/>
      <c r="Z154" s="3"/>
      <c r="AA154" s="3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3"/>
      <c r="Z155" s="3"/>
      <c r="AA155" s="3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2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3"/>
      <c r="Z156" s="3"/>
      <c r="AA156" s="3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2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3"/>
      <c r="Z157" s="3"/>
      <c r="AA157" s="3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2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3"/>
      <c r="Z158" s="3"/>
      <c r="AA158" s="3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2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3"/>
      <c r="Z159" s="3"/>
      <c r="AA159" s="3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2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3"/>
      <c r="Z160" s="3"/>
      <c r="AA160" s="3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2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3"/>
      <c r="Z161" s="3"/>
      <c r="AA161" s="3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2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3"/>
      <c r="Z162" s="3"/>
      <c r="AA162" s="3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2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3"/>
      <c r="Z163" s="3"/>
      <c r="AA163" s="3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2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3"/>
      <c r="Z164" s="3"/>
      <c r="AA164" s="3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2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3"/>
      <c r="Z165" s="3"/>
      <c r="AA165" s="3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2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3"/>
      <c r="Z166" s="3"/>
      <c r="AA166" s="3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2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3"/>
      <c r="Z167" s="3"/>
      <c r="AA167" s="3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2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3"/>
      <c r="Z168" s="3"/>
      <c r="AA168" s="3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2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3"/>
      <c r="Z169" s="3"/>
      <c r="AA169" s="3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2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3"/>
      <c r="Z170" s="3"/>
      <c r="AA170" s="3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2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3"/>
      <c r="Z171" s="3"/>
      <c r="AA171" s="3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2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3"/>
      <c r="Z172" s="3"/>
      <c r="AA172" s="3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2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3"/>
      <c r="Z173" s="3"/>
      <c r="AA173" s="3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2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3"/>
      <c r="Z174" s="3"/>
      <c r="AA174" s="3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2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3"/>
      <c r="Z175" s="3"/>
      <c r="AA175" s="3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3"/>
      <c r="Z176" s="3"/>
      <c r="AA176" s="3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2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3"/>
      <c r="Z177" s="3"/>
      <c r="AA177" s="3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2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3"/>
      <c r="Z178" s="3"/>
      <c r="AA178" s="3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2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3"/>
      <c r="Z179" s="3"/>
      <c r="AA179" s="3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2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3"/>
      <c r="Z180" s="3"/>
      <c r="AA180" s="3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2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3"/>
      <c r="Z181" s="3"/>
      <c r="AA181" s="3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2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3"/>
      <c r="Z182" s="3"/>
      <c r="AA182" s="3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2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3"/>
      <c r="Z183" s="3"/>
      <c r="AA183" s="3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2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3"/>
      <c r="Z184" s="3"/>
      <c r="AA184" s="3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2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3"/>
      <c r="Z185" s="3"/>
      <c r="AA185" s="3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2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3"/>
      <c r="Z186" s="3"/>
      <c r="AA186" s="3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2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3"/>
      <c r="Z187" s="3"/>
      <c r="AA187" s="3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2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3"/>
      <c r="Z188" s="3"/>
      <c r="AA188" s="3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2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3"/>
      <c r="Z189" s="3"/>
      <c r="AA189" s="3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2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3"/>
      <c r="Z190" s="3"/>
      <c r="AA190" s="3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2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3"/>
      <c r="Z191" s="3"/>
      <c r="AA191" s="3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2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3"/>
      <c r="Z192" s="3"/>
      <c r="AA192" s="3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2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3"/>
      <c r="Z193" s="3"/>
      <c r="AA193" s="3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2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3"/>
      <c r="Z194" s="3"/>
      <c r="AA194" s="3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2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3"/>
      <c r="Z195" s="3"/>
      <c r="AA195" s="3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2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3"/>
      <c r="Z196" s="3"/>
      <c r="AA196" s="3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2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3"/>
      <c r="Z197" s="3"/>
      <c r="AA197" s="3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2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3"/>
      <c r="Z198" s="3"/>
      <c r="AA198" s="3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2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3"/>
      <c r="Z199" s="3"/>
      <c r="AA199" s="3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2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3"/>
      <c r="Z200" s="3"/>
      <c r="AA200" s="3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2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3"/>
      <c r="Z201" s="3"/>
      <c r="AA201" s="3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2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3"/>
      <c r="Z202" s="3"/>
      <c r="AA202" s="3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2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3"/>
      <c r="Z203" s="3"/>
      <c r="AA203" s="3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2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3"/>
      <c r="Z204" s="3"/>
      <c r="AA204" s="3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2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3"/>
      <c r="Z205" s="3"/>
      <c r="AA205" s="3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2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3"/>
      <c r="Z206" s="3"/>
      <c r="AA206" s="3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2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3"/>
      <c r="Z207" s="3"/>
      <c r="AA207" s="3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2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3"/>
      <c r="Z208" s="3"/>
      <c r="AA208" s="3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2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3"/>
      <c r="Z209" s="3"/>
      <c r="AA209" s="3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2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3"/>
      <c r="Z210" s="3"/>
      <c r="AA210" s="3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2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3"/>
      <c r="Z211" s="3"/>
      <c r="AA211" s="3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2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3"/>
      <c r="Z212" s="3"/>
      <c r="AA212" s="3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2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3"/>
      <c r="Z213" s="3"/>
      <c r="AA213" s="3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2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3"/>
      <c r="Z214" s="3"/>
      <c r="AA214" s="3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2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3"/>
      <c r="Z215" s="3"/>
      <c r="AA215" s="3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2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3"/>
      <c r="Z216" s="3"/>
      <c r="AA216" s="3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2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3"/>
      <c r="Z217" s="3"/>
      <c r="AA217" s="3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2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3"/>
      <c r="Z218" s="3"/>
      <c r="AA218" s="3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2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3"/>
      <c r="Z219" s="3"/>
      <c r="AA219" s="3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2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3"/>
      <c r="Z220" s="3"/>
      <c r="AA220" s="3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2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3"/>
      <c r="Z221" s="3"/>
      <c r="AA221" s="3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2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3"/>
      <c r="Z222" s="3"/>
      <c r="AA222" s="3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2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3"/>
      <c r="Z223" s="3"/>
      <c r="AA223" s="3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2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3"/>
      <c r="Z224" s="3"/>
      <c r="AA224" s="3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2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3"/>
      <c r="Z225" s="3"/>
      <c r="AA225" s="3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2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3"/>
      <c r="Z226" s="3"/>
      <c r="AA226" s="3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2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3"/>
      <c r="Z227" s="3"/>
      <c r="AA227" s="3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2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3"/>
      <c r="Z228" s="3"/>
      <c r="AA228" s="3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2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3"/>
      <c r="Z229" s="3"/>
      <c r="AA229" s="3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2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3"/>
      <c r="Z230" s="3"/>
      <c r="AA230" s="3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2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3"/>
      <c r="Z231" s="3"/>
      <c r="AA231" s="3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2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3"/>
      <c r="Z232" s="3"/>
      <c r="AA232" s="3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"/>
      <c r="N233" s="2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3"/>
      <c r="Z233" s="3"/>
      <c r="AA233" s="3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"/>
      <c r="N234" s="2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3"/>
      <c r="Z234" s="3"/>
      <c r="AA234" s="3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"/>
      <c r="N235" s="2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3"/>
      <c r="Z235" s="3"/>
      <c r="AA235" s="3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"/>
      <c r="N236" s="2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3"/>
      <c r="Z236" s="3"/>
      <c r="AA236" s="3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"/>
      <c r="N237" s="2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3"/>
      <c r="Z237" s="3"/>
      <c r="AA237" s="3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"/>
      <c r="N238" s="2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3"/>
      <c r="Z238" s="3"/>
      <c r="AA238" s="3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"/>
      <c r="N239" s="2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3"/>
      <c r="Z239" s="3"/>
      <c r="AA239" s="3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"/>
      <c r="N240" s="2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3"/>
      <c r="Z240" s="3"/>
      <c r="AA240" s="3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"/>
      <c r="N241" s="2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3"/>
      <c r="Z241" s="3"/>
      <c r="AA241" s="3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"/>
      <c r="N242" s="2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3"/>
      <c r="Z242" s="3"/>
      <c r="AA242" s="3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"/>
      <c r="N243" s="2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3"/>
      <c r="Z243" s="3"/>
      <c r="AA243" s="3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"/>
      <c r="N244" s="2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3"/>
      <c r="Z244" s="3"/>
      <c r="AA244" s="3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"/>
      <c r="N245" s="2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3"/>
      <c r="Z245" s="3"/>
      <c r="AA245" s="3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"/>
      <c r="N246" s="2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3"/>
      <c r="Z246" s="3"/>
      <c r="AA246" s="3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"/>
      <c r="N247" s="2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3"/>
      <c r="Z247" s="3"/>
      <c r="AA247" s="3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"/>
      <c r="N248" s="2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3"/>
      <c r="Z248" s="3"/>
      <c r="AA248" s="3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"/>
      <c r="N249" s="2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3"/>
      <c r="Z249" s="3"/>
      <c r="AA249" s="3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"/>
      <c r="N250" s="2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3"/>
      <c r="Z250" s="3"/>
      <c r="AA250" s="3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"/>
      <c r="N251" s="2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3"/>
      <c r="Z251" s="3"/>
      <c r="AA251" s="3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"/>
      <c r="N252" s="2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3"/>
      <c r="Z252" s="3"/>
      <c r="AA252" s="3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"/>
      <c r="N253" s="2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3"/>
      <c r="Z253" s="3"/>
      <c r="AA253" s="3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"/>
      <c r="N254" s="2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3"/>
      <c r="Z254" s="3"/>
      <c r="AA254" s="3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"/>
      <c r="N255" s="2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3"/>
      <c r="Z255" s="3"/>
      <c r="AA255" s="3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"/>
      <c r="N256" s="2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3"/>
      <c r="Z256" s="3"/>
      <c r="AA256" s="3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"/>
      <c r="N257" s="2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3"/>
      <c r="Z257" s="3"/>
      <c r="AA257" s="3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"/>
      <c r="N258" s="2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3"/>
      <c r="Z258" s="3"/>
      <c r="AA258" s="3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"/>
      <c r="N259" s="2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3"/>
      <c r="Z259" s="3"/>
      <c r="AA259" s="3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"/>
      <c r="N260" s="2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3"/>
      <c r="Z260" s="3"/>
      <c r="AA260" s="3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"/>
      <c r="N261" s="2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3"/>
      <c r="Z261" s="3"/>
      <c r="AA261" s="3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"/>
      <c r="N262" s="2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3"/>
      <c r="Z262" s="3"/>
      <c r="AA262" s="3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"/>
      <c r="N263" s="2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3"/>
      <c r="Z263" s="3"/>
      <c r="AA263" s="3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"/>
      <c r="N264" s="2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3"/>
      <c r="Z264" s="3"/>
      <c r="AA264" s="3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"/>
      <c r="N265" s="2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3"/>
      <c r="Z265" s="3"/>
      <c r="AA265" s="3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"/>
      <c r="N266" s="2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3"/>
      <c r="Z266" s="3"/>
      <c r="AA266" s="3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"/>
      <c r="N267" s="2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3"/>
      <c r="Z267" s="3"/>
      <c r="AA267" s="3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"/>
      <c r="N268" s="2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3"/>
      <c r="Z268" s="3"/>
      <c r="AA268" s="3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"/>
      <c r="N269" s="2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3"/>
      <c r="Z269" s="3"/>
      <c r="AA269" s="3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"/>
      <c r="N270" s="2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3"/>
      <c r="Z270" s="3"/>
      <c r="AA270" s="3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"/>
      <c r="N271" s="2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3"/>
      <c r="Z271" s="3"/>
      <c r="AA271" s="3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"/>
      <c r="N272" s="2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3"/>
      <c r="Z272" s="3"/>
      <c r="AA272" s="3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"/>
      <c r="N273" s="2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3"/>
      <c r="Z273" s="3"/>
      <c r="AA273" s="3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"/>
      <c r="N274" s="2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3"/>
      <c r="Z274" s="3"/>
      <c r="AA274" s="3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"/>
      <c r="N275" s="2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3"/>
      <c r="Z275" s="3"/>
      <c r="AA275" s="3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"/>
      <c r="N276" s="2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3"/>
      <c r="Z276" s="3"/>
      <c r="AA276" s="3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"/>
      <c r="N277" s="2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3"/>
      <c r="Z277" s="3"/>
      <c r="AA277" s="3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"/>
      <c r="N278" s="2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3"/>
      <c r="Z278" s="3"/>
      <c r="AA278" s="3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"/>
      <c r="N279" s="2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3"/>
      <c r="Z279" s="3"/>
      <c r="AA279" s="3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"/>
      <c r="N280" s="2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3"/>
      <c r="Z280" s="3"/>
      <c r="AA280" s="3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"/>
      <c r="N281" s="2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3"/>
      <c r="Z281" s="3"/>
      <c r="AA281" s="3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"/>
      <c r="N282" s="2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3"/>
      <c r="Z282" s="3"/>
      <c r="AA282" s="3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"/>
      <c r="N283" s="2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3"/>
      <c r="Z283" s="3"/>
      <c r="AA283" s="3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"/>
      <c r="N284" s="2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3"/>
      <c r="Z284" s="3"/>
      <c r="AA284" s="3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"/>
      <c r="N285" s="2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3"/>
      <c r="Z285" s="3"/>
      <c r="AA285" s="3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"/>
      <c r="N286" s="2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3"/>
      <c r="Z286" s="3"/>
      <c r="AA286" s="3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"/>
      <c r="N287" s="2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3"/>
      <c r="Z287" s="3"/>
      <c r="AA287" s="3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"/>
      <c r="N288" s="2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3"/>
      <c r="Z288" s="3"/>
      <c r="AA288" s="3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"/>
      <c r="N289" s="2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3"/>
      <c r="Z289" s="3"/>
      <c r="AA289" s="3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"/>
      <c r="N290" s="2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3"/>
      <c r="Z290" s="3"/>
      <c r="AA290" s="3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"/>
      <c r="N291" s="2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3"/>
      <c r="Z291" s="3"/>
      <c r="AA291" s="3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"/>
      <c r="N292" s="2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3"/>
      <c r="Z292" s="3"/>
      <c r="AA292" s="3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"/>
      <c r="N293" s="2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3"/>
      <c r="Z293" s="3"/>
      <c r="AA293" s="3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"/>
      <c r="N294" s="2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3"/>
      <c r="Z294" s="3"/>
      <c r="AA294" s="3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"/>
      <c r="N295" s="2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3"/>
      <c r="Z295" s="3"/>
      <c r="AA295" s="3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2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3"/>
      <c r="Z296" s="3"/>
      <c r="AA296" s="3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"/>
      <c r="N297" s="2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3"/>
      <c r="Z297" s="3"/>
      <c r="AA297" s="3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2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3"/>
      <c r="Z298" s="3"/>
      <c r="AA298" s="3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"/>
      <c r="N299" s="2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3"/>
      <c r="Z299" s="3"/>
      <c r="AA299" s="3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2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3"/>
      <c r="Z300" s="3"/>
      <c r="AA300" s="3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"/>
      <c r="N301" s="2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3"/>
      <c r="Z301" s="3"/>
      <c r="AA301" s="3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2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3"/>
      <c r="Z302" s="3"/>
      <c r="AA302" s="3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"/>
      <c r="N303" s="2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3"/>
      <c r="Z303" s="3"/>
      <c r="AA303" s="3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2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3"/>
      <c r="Z304" s="3"/>
      <c r="AA304" s="3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"/>
      <c r="N305" s="2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3"/>
      <c r="Z305" s="3"/>
      <c r="AA305" s="3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2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3"/>
      <c r="Z306" s="3"/>
      <c r="AA306" s="3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"/>
      <c r="N307" s="2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3"/>
      <c r="Z307" s="3"/>
      <c r="AA307" s="3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2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3"/>
      <c r="Z308" s="3"/>
      <c r="AA308" s="3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"/>
      <c r="N309" s="2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3"/>
      <c r="Z309" s="3"/>
      <c r="AA309" s="3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2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3"/>
      <c r="Z310" s="3"/>
      <c r="AA310" s="3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"/>
      <c r="N311" s="2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3"/>
      <c r="Z311" s="3"/>
      <c r="AA311" s="3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2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3"/>
      <c r="Z312" s="3"/>
      <c r="AA312" s="3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"/>
      <c r="N313" s="2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3"/>
      <c r="Z313" s="3"/>
      <c r="AA313" s="3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2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3"/>
      <c r="Z314" s="3"/>
      <c r="AA314" s="3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"/>
      <c r="N315" s="2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3"/>
      <c r="Z315" s="3"/>
      <c r="AA315" s="3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2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3"/>
      <c r="Z316" s="3"/>
      <c r="AA316" s="3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"/>
      <c r="N317" s="2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3"/>
      <c r="Z317" s="3"/>
      <c r="AA317" s="3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2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3"/>
      <c r="Z318" s="3"/>
      <c r="AA318" s="3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"/>
      <c r="N319" s="2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3"/>
      <c r="Z319" s="3"/>
      <c r="AA319" s="3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2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3"/>
      <c r="Z320" s="3"/>
      <c r="AA320" s="3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"/>
      <c r="N321" s="2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3"/>
      <c r="Z321" s="3"/>
      <c r="AA321" s="3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2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3"/>
      <c r="Z322" s="3"/>
      <c r="AA322" s="3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"/>
      <c r="N323" s="2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3"/>
      <c r="Z323" s="3"/>
      <c r="AA323" s="3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2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3"/>
      <c r="Z324" s="3"/>
      <c r="AA324" s="3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"/>
      <c r="N325" s="2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3"/>
      <c r="Z325" s="3"/>
      <c r="AA325" s="3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2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3"/>
      <c r="Z326" s="3"/>
      <c r="AA326" s="3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"/>
      <c r="N327" s="2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3"/>
      <c r="Z327" s="3"/>
      <c r="AA327" s="3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2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3"/>
      <c r="Z328" s="3"/>
      <c r="AA328" s="3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"/>
      <c r="N329" s="2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3"/>
      <c r="Z329" s="3"/>
      <c r="AA329" s="3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"/>
      <c r="N330" s="2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3"/>
      <c r="Z330" s="3"/>
      <c r="AA330" s="3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"/>
      <c r="N331" s="2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3"/>
      <c r="Z331" s="3"/>
      <c r="AA331" s="3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"/>
      <c r="N332" s="2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3"/>
      <c r="Z332" s="3"/>
      <c r="AA332" s="3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"/>
      <c r="N333" s="2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3"/>
      <c r="Z333" s="3"/>
      <c r="AA333" s="3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"/>
      <c r="N334" s="2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3"/>
      <c r="Z334" s="3"/>
      <c r="AA334" s="3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"/>
      <c r="N335" s="2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3"/>
      <c r="Z335" s="3"/>
      <c r="AA335" s="3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"/>
      <c r="N336" s="2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3"/>
      <c r="Z336" s="3"/>
      <c r="AA336" s="3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"/>
      <c r="N337" s="2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3"/>
      <c r="Z337" s="3"/>
      <c r="AA337" s="3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"/>
      <c r="N338" s="2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3"/>
      <c r="Z338" s="3"/>
      <c r="AA338" s="3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"/>
      <c r="N339" s="2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3"/>
      <c r="Z339" s="3"/>
      <c r="AA339" s="3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"/>
      <c r="N340" s="2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3"/>
      <c r="Z340" s="3"/>
      <c r="AA340" s="3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"/>
      <c r="N341" s="2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3"/>
      <c r="Z341" s="3"/>
      <c r="AA341" s="3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"/>
      <c r="N342" s="2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3"/>
      <c r="Z342" s="3"/>
      <c r="AA342" s="3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"/>
      <c r="N343" s="2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3"/>
      <c r="Z343" s="3"/>
      <c r="AA343" s="3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"/>
      <c r="N344" s="2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3"/>
      <c r="Z344" s="3"/>
      <c r="AA344" s="3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"/>
      <c r="N345" s="2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3"/>
      <c r="Z345" s="3"/>
      <c r="AA345" s="3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"/>
      <c r="N346" s="2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3"/>
      <c r="Z346" s="3"/>
      <c r="AA346" s="3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"/>
      <c r="N347" s="2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3"/>
      <c r="Z347" s="3"/>
      <c r="AA347" s="3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"/>
      <c r="N348" s="2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3"/>
      <c r="Z348" s="3"/>
      <c r="AA348" s="3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"/>
      <c r="N349" s="2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3"/>
      <c r="Z349" s="3"/>
      <c r="AA349" s="3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"/>
      <c r="N350" s="2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3"/>
      <c r="Z350" s="3"/>
      <c r="AA350" s="3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"/>
      <c r="N351" s="2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3"/>
      <c r="Z351" s="3"/>
      <c r="AA351" s="3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"/>
      <c r="N352" s="2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3"/>
      <c r="Z352" s="3"/>
      <c r="AA352" s="3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"/>
      <c r="N353" s="2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3"/>
      <c r="Z353" s="3"/>
      <c r="AA353" s="3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"/>
      <c r="N354" s="2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3"/>
      <c r="Z354" s="3"/>
      <c r="AA354" s="3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"/>
      <c r="N355" s="2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3"/>
      <c r="Z355" s="3"/>
      <c r="AA355" s="3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"/>
      <c r="N356" s="2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3"/>
      <c r="Z356" s="3"/>
      <c r="AA356" s="3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"/>
      <c r="N357" s="2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3"/>
      <c r="Z357" s="3"/>
      <c r="AA357" s="3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"/>
      <c r="N358" s="2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3"/>
      <c r="Z358" s="3"/>
      <c r="AA358" s="3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"/>
      <c r="N359" s="2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3"/>
      <c r="Z359" s="3"/>
      <c r="AA359" s="3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"/>
      <c r="N360" s="2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3"/>
      <c r="Z360" s="3"/>
      <c r="AA360" s="3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"/>
      <c r="N361" s="2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3"/>
      <c r="Z361" s="3"/>
      <c r="AA361" s="3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"/>
      <c r="N362" s="2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3"/>
      <c r="Z362" s="3"/>
      <c r="AA362" s="3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"/>
      <c r="N363" s="2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3"/>
      <c r="Z363" s="3"/>
      <c r="AA363" s="3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"/>
      <c r="N364" s="2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3"/>
      <c r="Z364" s="3"/>
      <c r="AA364" s="3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"/>
      <c r="N365" s="2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3"/>
      <c r="Z365" s="3"/>
      <c r="AA365" s="3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"/>
      <c r="N366" s="2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3"/>
      <c r="Z366" s="3"/>
      <c r="AA366" s="3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2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3"/>
      <c r="Z367" s="3"/>
      <c r="AA367" s="3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2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3"/>
      <c r="Z368" s="3"/>
      <c r="AA368" s="3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2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3"/>
      <c r="Z369" s="3"/>
      <c r="AA369" s="3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2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3"/>
      <c r="Z370" s="3"/>
      <c r="AA370" s="3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2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3"/>
      <c r="Z371" s="3"/>
      <c r="AA371" s="3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2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3"/>
      <c r="Z372" s="3"/>
      <c r="AA372" s="3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2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3"/>
      <c r="Z373" s="3"/>
      <c r="AA373" s="3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2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3"/>
      <c r="Z374" s="3"/>
      <c r="AA374" s="3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2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3"/>
      <c r="Z375" s="3"/>
      <c r="AA375" s="3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2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3"/>
      <c r="Z376" s="3"/>
      <c r="AA376" s="3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2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3"/>
      <c r="Z377" s="3"/>
      <c r="AA377" s="3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2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3"/>
      <c r="Z378" s="3"/>
      <c r="AA378" s="3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2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3"/>
      <c r="Z379" s="3"/>
      <c r="AA379" s="3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2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3"/>
      <c r="Z380" s="3"/>
      <c r="AA380" s="3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2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3"/>
      <c r="Z381" s="3"/>
      <c r="AA381" s="3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2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3"/>
      <c r="Z382" s="3"/>
      <c r="AA382" s="3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2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3"/>
      <c r="Z383" s="3"/>
      <c r="AA383" s="3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2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3"/>
      <c r="Z384" s="3"/>
      <c r="AA384" s="3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2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3"/>
      <c r="Z385" s="3"/>
      <c r="AA385" s="3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2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3"/>
      <c r="Z386" s="3"/>
      <c r="AA386" s="3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2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3"/>
      <c r="Z387" s="3"/>
      <c r="AA387" s="3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2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3"/>
      <c r="Z388" s="3"/>
      <c r="AA388" s="3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2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3"/>
      <c r="Z389" s="3"/>
      <c r="AA389" s="3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2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3"/>
      <c r="Z390" s="3"/>
      <c r="AA390" s="3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2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3"/>
      <c r="Z391" s="3"/>
      <c r="AA391" s="3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2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3"/>
      <c r="Z392" s="3"/>
      <c r="AA392" s="3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2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3"/>
      <c r="Z393" s="3"/>
      <c r="AA393" s="3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2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3"/>
      <c r="Z394" s="3"/>
      <c r="AA394" s="3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2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3"/>
      <c r="Z395" s="3"/>
      <c r="AA395" s="3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2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3"/>
      <c r="Z396" s="3"/>
      <c r="AA396" s="3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2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3"/>
      <c r="Z397" s="3"/>
      <c r="AA397" s="3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2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3"/>
      <c r="Z398" s="3"/>
      <c r="AA398" s="3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2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3"/>
      <c r="Z399" s="3"/>
      <c r="AA399" s="3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2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3"/>
      <c r="Z400" s="3"/>
      <c r="AA400" s="3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2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3"/>
      <c r="Z401" s="3"/>
      <c r="AA401" s="3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2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3"/>
      <c r="Z402" s="3"/>
      <c r="AA402" s="3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2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3"/>
      <c r="Z403" s="3"/>
      <c r="AA403" s="3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2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3"/>
      <c r="Z404" s="3"/>
      <c r="AA404" s="3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2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3"/>
      <c r="Z405" s="3"/>
      <c r="AA405" s="3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2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3"/>
      <c r="Z406" s="3"/>
      <c r="AA406" s="3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2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3"/>
      <c r="Z407" s="3"/>
      <c r="AA407" s="3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2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3"/>
      <c r="Z408" s="3"/>
      <c r="AA408" s="3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2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3"/>
      <c r="Z409" s="3"/>
      <c r="AA409" s="3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2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3"/>
      <c r="Z410" s="3"/>
      <c r="AA410" s="3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2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3"/>
      <c r="Z411" s="3"/>
      <c r="AA411" s="3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2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3"/>
      <c r="Z412" s="3"/>
      <c r="AA412" s="3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2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3"/>
      <c r="Z413" s="3"/>
      <c r="AA413" s="3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2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3"/>
      <c r="Z414" s="3"/>
      <c r="AA414" s="3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2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3"/>
      <c r="Z415" s="3"/>
      <c r="AA415" s="3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2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3"/>
      <c r="Z416" s="3"/>
      <c r="AA416" s="3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2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3"/>
      <c r="Z417" s="3"/>
      <c r="AA417" s="3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2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3"/>
      <c r="Z418" s="3"/>
      <c r="AA418" s="3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2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3"/>
      <c r="Z419" s="3"/>
      <c r="AA419" s="3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2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3"/>
      <c r="Z420" s="3"/>
      <c r="AA420" s="3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2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3"/>
      <c r="Z421" s="3"/>
      <c r="AA421" s="3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2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3"/>
      <c r="Z422" s="3"/>
      <c r="AA422" s="3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2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3"/>
      <c r="Z423" s="3"/>
      <c r="AA423" s="3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2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3"/>
      <c r="Z424" s="3"/>
      <c r="AA424" s="3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2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3"/>
      <c r="Z425" s="3"/>
      <c r="AA425" s="3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2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3"/>
      <c r="Z426" s="3"/>
      <c r="AA426" s="3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2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3"/>
      <c r="Z427" s="3"/>
      <c r="AA427" s="3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2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3"/>
      <c r="Z428" s="3"/>
      <c r="AA428" s="3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2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3"/>
      <c r="Z429" s="3"/>
      <c r="AA429" s="3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2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3"/>
      <c r="Z430" s="3"/>
      <c r="AA430" s="3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2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3"/>
      <c r="Z431" s="3"/>
      <c r="AA431" s="3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2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3"/>
      <c r="Z432" s="3"/>
      <c r="AA432" s="3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2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3"/>
      <c r="Z433" s="3"/>
      <c r="AA433" s="3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2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3"/>
      <c r="Z434" s="3"/>
      <c r="AA434" s="3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2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3"/>
      <c r="Z435" s="3"/>
      <c r="AA435" s="3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2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3"/>
      <c r="Z436" s="3"/>
      <c r="AA436" s="3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2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3"/>
      <c r="Z437" s="3"/>
      <c r="AA437" s="3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2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3"/>
      <c r="Z438" s="3"/>
      <c r="AA438" s="3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2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3"/>
      <c r="Z439" s="3"/>
      <c r="AA439" s="3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2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3"/>
      <c r="Z440" s="3"/>
      <c r="AA440" s="3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2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3"/>
      <c r="Z441" s="3"/>
      <c r="AA441" s="3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2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3"/>
      <c r="Z442" s="3"/>
      <c r="AA442" s="3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2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3"/>
      <c r="Z443" s="3"/>
      <c r="AA443" s="3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2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3"/>
      <c r="Z444" s="3"/>
      <c r="AA444" s="3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2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3"/>
      <c r="Z445" s="3"/>
      <c r="AA445" s="3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2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3"/>
      <c r="Z446" s="3"/>
      <c r="AA446" s="3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2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3"/>
      <c r="Z447" s="3"/>
      <c r="AA447" s="3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2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3"/>
      <c r="Z448" s="3"/>
      <c r="AA448" s="3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2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3"/>
      <c r="Z449" s="3"/>
      <c r="AA449" s="3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2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3"/>
      <c r="Z450" s="3"/>
      <c r="AA450" s="3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2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3"/>
      <c r="Z451" s="3"/>
      <c r="AA451" s="3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2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3"/>
      <c r="Z452" s="3"/>
      <c r="AA452" s="3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2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3"/>
      <c r="Z453" s="3"/>
      <c r="AA453" s="3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2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3"/>
      <c r="Z454" s="3"/>
      <c r="AA454" s="3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2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3"/>
      <c r="Z455" s="3"/>
      <c r="AA455" s="3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2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3"/>
      <c r="Z456" s="3"/>
      <c r="AA456" s="3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2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3"/>
      <c r="Z457" s="3"/>
      <c r="AA457" s="3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2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3"/>
      <c r="Z458" s="3"/>
      <c r="AA458" s="3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2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3"/>
      <c r="Z459" s="3"/>
      <c r="AA459" s="3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2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3"/>
      <c r="Z460" s="3"/>
      <c r="AA460" s="3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2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3"/>
      <c r="Z461" s="3"/>
      <c r="AA461" s="3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2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3"/>
      <c r="Z462" s="3"/>
      <c r="AA462" s="3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2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3"/>
      <c r="Z463" s="3"/>
      <c r="AA463" s="3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2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3"/>
      <c r="Z464" s="3"/>
      <c r="AA464" s="3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2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3"/>
      <c r="Z465" s="3"/>
      <c r="AA465" s="3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2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3"/>
      <c r="Z466" s="3"/>
      <c r="AA466" s="3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2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3"/>
      <c r="Z467" s="3"/>
      <c r="AA467" s="3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2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3"/>
      <c r="Z468" s="3"/>
      <c r="AA468" s="3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2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3"/>
      <c r="Z469" s="3"/>
      <c r="AA469" s="3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2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3"/>
      <c r="Z470" s="3"/>
      <c r="AA470" s="3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2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3"/>
      <c r="Z471" s="3"/>
      <c r="AA471" s="3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2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3"/>
      <c r="Z472" s="3"/>
      <c r="AA472" s="3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2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3"/>
      <c r="Z473" s="3"/>
      <c r="AA473" s="3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2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3"/>
      <c r="Z474" s="3"/>
      <c r="AA474" s="3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2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3"/>
      <c r="Z475" s="3"/>
      <c r="AA475" s="3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2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3"/>
      <c r="Z476" s="3"/>
      <c r="AA476" s="3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2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3"/>
      <c r="Z477" s="3"/>
      <c r="AA477" s="3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2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3"/>
      <c r="Z478" s="3"/>
      <c r="AA478" s="3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2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3"/>
      <c r="Z479" s="3"/>
      <c r="AA479" s="3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2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3"/>
      <c r="Z480" s="3"/>
      <c r="AA480" s="3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2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3"/>
      <c r="Z481" s="3"/>
      <c r="AA481" s="3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2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3"/>
      <c r="Z482" s="3"/>
      <c r="AA482" s="3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2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3"/>
      <c r="Z483" s="3"/>
      <c r="AA483" s="3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2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3"/>
      <c r="Z484" s="3"/>
      <c r="AA484" s="3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2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3"/>
      <c r="Z485" s="3"/>
      <c r="AA485" s="3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2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3"/>
      <c r="Z486" s="3"/>
      <c r="AA486" s="3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2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3"/>
      <c r="Z487" s="3"/>
      <c r="AA487" s="3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2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3"/>
      <c r="Z488" s="3"/>
      <c r="AA488" s="3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2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3"/>
      <c r="Z489" s="3"/>
      <c r="AA489" s="3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2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3"/>
      <c r="Z490" s="3"/>
      <c r="AA490" s="3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2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3"/>
      <c r="Z491" s="3"/>
      <c r="AA491" s="3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2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3"/>
      <c r="Z492" s="3"/>
      <c r="AA492" s="3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2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3"/>
      <c r="Z493" s="3"/>
      <c r="AA493" s="3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2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3"/>
      <c r="Z494" s="3"/>
      <c r="AA494" s="3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2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3"/>
      <c r="Z495" s="3"/>
      <c r="AA495" s="3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2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3"/>
      <c r="Z496" s="3"/>
      <c r="AA496" s="3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2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3"/>
      <c r="Z497" s="3"/>
      <c r="AA497" s="3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2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3"/>
      <c r="Z498" s="3"/>
      <c r="AA498" s="3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2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3"/>
      <c r="Z499" s="3"/>
      <c r="AA499" s="3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2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3"/>
      <c r="Z500" s="3"/>
      <c r="AA500" s="3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2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3"/>
      <c r="Z501" s="3"/>
      <c r="AA501" s="3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2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3"/>
      <c r="Z502" s="3"/>
      <c r="AA502" s="3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2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3"/>
      <c r="Z503" s="3"/>
      <c r="AA503" s="3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2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3"/>
      <c r="Z504" s="3"/>
      <c r="AA504" s="3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2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3"/>
      <c r="Z505" s="3"/>
      <c r="AA505" s="3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2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3"/>
      <c r="Z506" s="3"/>
      <c r="AA506" s="3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2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3"/>
      <c r="Z507" s="3"/>
      <c r="AA507" s="3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2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3"/>
      <c r="Z508" s="3"/>
      <c r="AA508" s="3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2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3"/>
      <c r="Z509" s="3"/>
      <c r="AA509" s="3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2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3"/>
      <c r="Z510" s="3"/>
      <c r="AA510" s="3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2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3"/>
      <c r="Z511" s="3"/>
      <c r="AA511" s="3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2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3"/>
      <c r="Z512" s="3"/>
      <c r="AA512" s="3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2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3"/>
      <c r="Z513" s="3"/>
      <c r="AA513" s="3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2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3"/>
      <c r="Z514" s="3"/>
      <c r="AA514" s="3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2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3"/>
      <c r="Z515" s="3"/>
      <c r="AA515" s="3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2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3"/>
      <c r="Z516" s="3"/>
      <c r="AA516" s="3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2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3"/>
      <c r="Z517" s="3"/>
      <c r="AA517" s="3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2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3"/>
      <c r="Z518" s="3"/>
      <c r="AA518" s="3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2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3"/>
      <c r="Z519" s="3"/>
      <c r="AA519" s="3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2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3"/>
      <c r="Z520" s="3"/>
      <c r="AA520" s="3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2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3"/>
      <c r="Z521" s="3"/>
      <c r="AA521" s="3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2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3"/>
      <c r="Z522" s="3"/>
      <c r="AA522" s="3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2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3"/>
      <c r="Z523" s="3"/>
      <c r="AA523" s="3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2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3"/>
      <c r="Z524" s="3"/>
      <c r="AA524" s="3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2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3"/>
      <c r="Z525" s="3"/>
      <c r="AA525" s="3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2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3"/>
      <c r="Z526" s="3"/>
      <c r="AA526" s="3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2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3"/>
      <c r="Z527" s="3"/>
      <c r="AA527" s="3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2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3"/>
      <c r="Z528" s="3"/>
      <c r="AA528" s="3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2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3"/>
      <c r="Z529" s="3"/>
      <c r="AA529" s="3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2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3"/>
      <c r="Z530" s="3"/>
      <c r="AA530" s="3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2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3"/>
      <c r="Z531" s="3"/>
      <c r="AA531" s="3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2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3"/>
      <c r="Z532" s="3"/>
      <c r="AA532" s="3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2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3"/>
      <c r="Z533" s="3"/>
      <c r="AA533" s="3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2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3"/>
      <c r="Z534" s="3"/>
      <c r="AA534" s="3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2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3"/>
      <c r="Z535" s="3"/>
      <c r="AA535" s="3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2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3"/>
      <c r="Z536" s="3"/>
      <c r="AA536" s="3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2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3"/>
      <c r="Z537" s="3"/>
      <c r="AA537" s="3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2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3"/>
      <c r="Z538" s="3"/>
      <c r="AA538" s="3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2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3"/>
      <c r="Z539" s="3"/>
      <c r="AA539" s="3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2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3"/>
      <c r="Z540" s="3"/>
      <c r="AA540" s="3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2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3"/>
      <c r="Z541" s="3"/>
      <c r="AA541" s="3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2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3"/>
      <c r="Z542" s="3"/>
      <c r="AA542" s="3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2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3"/>
      <c r="Z543" s="3"/>
      <c r="AA543" s="3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2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3"/>
      <c r="Z544" s="3"/>
      <c r="AA544" s="3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2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3"/>
      <c r="Z545" s="3"/>
      <c r="AA545" s="3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2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3"/>
      <c r="Z546" s="3"/>
      <c r="AA546" s="3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2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3"/>
      <c r="Z547" s="3"/>
      <c r="AA547" s="3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2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3"/>
      <c r="Z548" s="3"/>
      <c r="AA548" s="3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2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3"/>
      <c r="Z549" s="3"/>
      <c r="AA549" s="3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2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3"/>
      <c r="Z550" s="3"/>
      <c r="AA550" s="3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2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3"/>
      <c r="Z551" s="3"/>
      <c r="AA551" s="3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2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3"/>
      <c r="Z552" s="3"/>
      <c r="AA552" s="3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2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3"/>
      <c r="Z553" s="3"/>
      <c r="AA553" s="3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2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3"/>
      <c r="Z554" s="3"/>
      <c r="AA554" s="3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2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3"/>
      <c r="Z555" s="3"/>
      <c r="AA555" s="3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2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3"/>
      <c r="Z556" s="3"/>
      <c r="AA556" s="3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2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3"/>
      <c r="Z557" s="3"/>
      <c r="AA557" s="3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2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3"/>
      <c r="Z558" s="3"/>
      <c r="AA558" s="3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2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3"/>
      <c r="Z559" s="3"/>
      <c r="AA559" s="3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2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3"/>
      <c r="Z560" s="3"/>
      <c r="AA560" s="3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2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3"/>
      <c r="Z561" s="3"/>
      <c r="AA561" s="3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2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3"/>
      <c r="Z562" s="3"/>
      <c r="AA562" s="3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2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3"/>
      <c r="Z563" s="3"/>
      <c r="AA563" s="3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2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3"/>
      <c r="Z564" s="3"/>
      <c r="AA564" s="3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2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3"/>
      <c r="Z565" s="3"/>
      <c r="AA565" s="3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2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3"/>
      <c r="Z566" s="3"/>
      <c r="AA566" s="3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2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3"/>
      <c r="Z567" s="3"/>
      <c r="AA567" s="3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2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3"/>
      <c r="Z568" s="3"/>
      <c r="AA568" s="3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2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3"/>
      <c r="Z569" s="3"/>
      <c r="AA569" s="3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2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3"/>
      <c r="Z570" s="3"/>
      <c r="AA570" s="3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2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3"/>
      <c r="Z571" s="3"/>
      <c r="AA571" s="3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2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3"/>
      <c r="Z572" s="3"/>
      <c r="AA572" s="3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2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3"/>
      <c r="Z573" s="3"/>
      <c r="AA573" s="3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2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3"/>
      <c r="Z574" s="3"/>
      <c r="AA574" s="3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2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3"/>
      <c r="Z575" s="3"/>
      <c r="AA575" s="3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2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3"/>
      <c r="Z576" s="3"/>
      <c r="AA576" s="3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2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3"/>
      <c r="Z577" s="3"/>
      <c r="AA577" s="3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2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3"/>
      <c r="Z578" s="3"/>
      <c r="AA578" s="3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2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3"/>
      <c r="Z579" s="3"/>
      <c r="AA579" s="3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2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3"/>
      <c r="Z580" s="3"/>
      <c r="AA580" s="3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2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3"/>
      <c r="Z581" s="3"/>
      <c r="AA581" s="3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2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3"/>
      <c r="Z582" s="3"/>
      <c r="AA582" s="3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2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3"/>
      <c r="Z583" s="3"/>
      <c r="AA583" s="3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2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3"/>
      <c r="Z584" s="3"/>
      <c r="AA584" s="3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2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3"/>
      <c r="Z585" s="3"/>
      <c r="AA585" s="3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"/>
      <c r="N586" s="2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3"/>
      <c r="Z586" s="3"/>
      <c r="AA586" s="3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"/>
      <c r="N587" s="2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3"/>
      <c r="Z587" s="3"/>
      <c r="AA587" s="3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"/>
      <c r="N588" s="2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3"/>
      <c r="Z588" s="3"/>
      <c r="AA588" s="3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"/>
      <c r="N589" s="2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3"/>
      <c r="Z589" s="3"/>
      <c r="AA589" s="3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"/>
      <c r="N590" s="2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3"/>
      <c r="Z590" s="3"/>
      <c r="AA590" s="3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"/>
      <c r="N591" s="2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3"/>
      <c r="Z591" s="3"/>
      <c r="AA591" s="3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"/>
      <c r="N592" s="2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3"/>
      <c r="Z592" s="3"/>
      <c r="AA592" s="3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"/>
      <c r="N593" s="2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3"/>
      <c r="Z593" s="3"/>
      <c r="AA593" s="3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"/>
      <c r="N594" s="2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3"/>
      <c r="Z594" s="3"/>
      <c r="AA594" s="3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"/>
      <c r="N595" s="2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3"/>
      <c r="Z595" s="3"/>
      <c r="AA595" s="3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"/>
      <c r="N596" s="2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3"/>
      <c r="Z596" s="3"/>
      <c r="AA596" s="3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"/>
      <c r="N597" s="2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3"/>
      <c r="Z597" s="3"/>
      <c r="AA597" s="3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"/>
      <c r="N598" s="2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3"/>
      <c r="Z598" s="3"/>
      <c r="AA598" s="3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"/>
      <c r="N599" s="2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3"/>
      <c r="Z599" s="3"/>
      <c r="AA599" s="3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2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3"/>
      <c r="Z600" s="3"/>
      <c r="AA600" s="3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"/>
      <c r="N601" s="2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3"/>
      <c r="Z601" s="3"/>
      <c r="AA601" s="3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"/>
      <c r="N602" s="2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3"/>
      <c r="Z602" s="3"/>
      <c r="AA602" s="3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"/>
      <c r="N603" s="2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3"/>
      <c r="Z603" s="3"/>
      <c r="AA603" s="3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"/>
      <c r="N604" s="2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3"/>
      <c r="Z604" s="3"/>
      <c r="AA604" s="3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"/>
      <c r="N605" s="2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3"/>
      <c r="Z605" s="3"/>
      <c r="AA605" s="3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"/>
      <c r="N606" s="2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3"/>
      <c r="Z606" s="3"/>
      <c r="AA606" s="3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"/>
      <c r="N607" s="2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3"/>
      <c r="Z607" s="3"/>
      <c r="AA607" s="3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"/>
      <c r="N608" s="2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3"/>
      <c r="Z608" s="3"/>
      <c r="AA608" s="3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"/>
      <c r="N609" s="2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3"/>
      <c r="Z609" s="3"/>
      <c r="AA609" s="3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"/>
      <c r="N610" s="2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3"/>
      <c r="Z610" s="3"/>
      <c r="AA610" s="3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"/>
      <c r="N611" s="2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3"/>
      <c r="Z611" s="3"/>
      <c r="AA611" s="3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"/>
      <c r="N612" s="2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3"/>
      <c r="Z612" s="3"/>
      <c r="AA612" s="3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"/>
      <c r="N613" s="2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3"/>
      <c r="Z613" s="3"/>
      <c r="AA613" s="3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"/>
      <c r="N614" s="2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3"/>
      <c r="Z614" s="3"/>
      <c r="AA614" s="3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"/>
      <c r="N615" s="2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3"/>
      <c r="Z615" s="3"/>
      <c r="AA615" s="3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"/>
      <c r="N616" s="2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3"/>
      <c r="Z616" s="3"/>
      <c r="AA616" s="3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"/>
      <c r="N617" s="2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3"/>
      <c r="Z617" s="3"/>
      <c r="AA617" s="3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"/>
      <c r="N618" s="2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3"/>
      <c r="Z618" s="3"/>
      <c r="AA618" s="3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"/>
      <c r="N619" s="2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3"/>
      <c r="Z619" s="3"/>
      <c r="AA619" s="3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"/>
      <c r="N620" s="2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3"/>
      <c r="Z620" s="3"/>
      <c r="AA620" s="3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"/>
      <c r="N621" s="2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3"/>
      <c r="Z621" s="3"/>
      <c r="AA621" s="3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"/>
      <c r="N622" s="2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3"/>
      <c r="Z622" s="3"/>
      <c r="AA622" s="3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"/>
      <c r="N623" s="2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3"/>
      <c r="Z623" s="3"/>
      <c r="AA623" s="3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"/>
      <c r="N624" s="2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3"/>
      <c r="Z624" s="3"/>
      <c r="AA624" s="3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"/>
      <c r="N625" s="2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3"/>
      <c r="Z625" s="3"/>
      <c r="AA625" s="3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"/>
      <c r="N626" s="2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3"/>
      <c r="Z626" s="3"/>
      <c r="AA626" s="3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"/>
      <c r="N627" s="2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3"/>
      <c r="Z627" s="3"/>
      <c r="AA627" s="3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"/>
      <c r="N628" s="2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3"/>
      <c r="Z628" s="3"/>
      <c r="AA628" s="3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"/>
      <c r="N629" s="2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3"/>
      <c r="Z629" s="3"/>
      <c r="AA629" s="3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"/>
      <c r="N630" s="2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3"/>
      <c r="Z630" s="3"/>
      <c r="AA630" s="3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"/>
      <c r="N631" s="2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3"/>
      <c r="Z631" s="3"/>
      <c r="AA631" s="3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"/>
      <c r="N632" s="2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3"/>
      <c r="Z632" s="3"/>
      <c r="AA632" s="3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"/>
      <c r="N633" s="2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3"/>
      <c r="Z633" s="3"/>
      <c r="AA633" s="3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"/>
      <c r="N634" s="2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3"/>
      <c r="Z634" s="3"/>
      <c r="AA634" s="3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"/>
      <c r="N635" s="2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3"/>
      <c r="Z635" s="3"/>
      <c r="AA635" s="3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"/>
      <c r="N636" s="2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3"/>
      <c r="Z636" s="3"/>
      <c r="AA636" s="3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"/>
      <c r="N637" s="2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3"/>
      <c r="Z637" s="3"/>
      <c r="AA637" s="3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"/>
      <c r="N638" s="2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3"/>
      <c r="Z638" s="3"/>
      <c r="AA638" s="3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"/>
      <c r="N639" s="2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3"/>
      <c r="Z639" s="3"/>
      <c r="AA639" s="3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"/>
      <c r="N640" s="2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3"/>
      <c r="Z640" s="3"/>
      <c r="AA640" s="3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"/>
      <c r="N641" s="2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3"/>
      <c r="Z641" s="3"/>
      <c r="AA641" s="3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"/>
      <c r="N642" s="2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3"/>
      <c r="Z642" s="3"/>
      <c r="AA642" s="3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"/>
      <c r="N643" s="2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3"/>
      <c r="Z643" s="3"/>
      <c r="AA643" s="3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"/>
      <c r="N644" s="2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3"/>
      <c r="Z644" s="3"/>
      <c r="AA644" s="3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2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3"/>
      <c r="Z645" s="3"/>
      <c r="AA645" s="3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2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3"/>
      <c r="Z646" s="3"/>
      <c r="AA646" s="3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2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3"/>
      <c r="Z647" s="3"/>
      <c r="AA647" s="3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2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3"/>
      <c r="Z648" s="3"/>
      <c r="AA648" s="3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2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3"/>
      <c r="Z649" s="3"/>
      <c r="AA649" s="3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2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3"/>
      <c r="Z650" s="3"/>
      <c r="AA650" s="3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2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3"/>
      <c r="Z651" s="3"/>
      <c r="AA651" s="3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2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3"/>
      <c r="Z652" s="3"/>
      <c r="AA652" s="3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2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3"/>
      <c r="Z653" s="3"/>
      <c r="AA653" s="3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2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3"/>
      <c r="Z654" s="3"/>
      <c r="AA654" s="3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2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3"/>
      <c r="Z655" s="3"/>
      <c r="AA655" s="3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2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3"/>
      <c r="Z656" s="3"/>
      <c r="AA656" s="3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2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3"/>
      <c r="Z657" s="3"/>
      <c r="AA657" s="3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2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3"/>
      <c r="Z658" s="3"/>
      <c r="AA658" s="3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2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3"/>
      <c r="Z659" s="3"/>
      <c r="AA659" s="3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2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3"/>
      <c r="Z660" s="3"/>
      <c r="AA660" s="3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2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3"/>
      <c r="Z661" s="3"/>
      <c r="AA661" s="3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2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3"/>
      <c r="Z662" s="3"/>
      <c r="AA662" s="3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2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3"/>
      <c r="Z663" s="3"/>
      <c r="AA663" s="3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2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3"/>
      <c r="Z664" s="3"/>
      <c r="AA664" s="3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2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3"/>
      <c r="Z665" s="3"/>
      <c r="AA665" s="3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2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3"/>
      <c r="Z666" s="3"/>
      <c r="AA666" s="3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2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3"/>
      <c r="Z667" s="3"/>
      <c r="AA667" s="3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2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3"/>
      <c r="Z668" s="3"/>
      <c r="AA668" s="3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2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3"/>
      <c r="Z669" s="3"/>
      <c r="AA669" s="3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2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3"/>
      <c r="Z670" s="3"/>
      <c r="AA670" s="3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2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3"/>
      <c r="Z671" s="3"/>
      <c r="AA671" s="3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2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3"/>
      <c r="Z672" s="3"/>
      <c r="AA672" s="3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2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3"/>
      <c r="Z673" s="3"/>
      <c r="AA673" s="3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2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3"/>
      <c r="Z674" s="3"/>
      <c r="AA674" s="3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2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3"/>
      <c r="Z675" s="3"/>
      <c r="AA675" s="3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2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3"/>
      <c r="Z676" s="3"/>
      <c r="AA676" s="3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2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3"/>
      <c r="Z677" s="3"/>
      <c r="AA677" s="3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2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3"/>
      <c r="Z678" s="3"/>
      <c r="AA678" s="3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2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3"/>
      <c r="Z679" s="3"/>
      <c r="AA679" s="3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2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3"/>
      <c r="Z680" s="3"/>
      <c r="AA680" s="3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2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3"/>
      <c r="Z681" s="3"/>
      <c r="AA681" s="3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2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3"/>
      <c r="Z682" s="3"/>
      <c r="AA682" s="3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2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3"/>
      <c r="Z683" s="3"/>
      <c r="AA683" s="3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2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3"/>
      <c r="Z684" s="3"/>
      <c r="AA684" s="3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2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3"/>
      <c r="Z685" s="3"/>
      <c r="AA685" s="3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2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3"/>
      <c r="Z686" s="3"/>
      <c r="AA686" s="3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2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3"/>
      <c r="Z687" s="3"/>
      <c r="AA687" s="3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2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3"/>
      <c r="Z688" s="3"/>
      <c r="AA688" s="3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2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3"/>
      <c r="Z689" s="3"/>
      <c r="AA689" s="3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2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3"/>
      <c r="Z690" s="3"/>
      <c r="AA690" s="3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2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3"/>
      <c r="Z691" s="3"/>
      <c r="AA691" s="3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2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3"/>
      <c r="Z692" s="3"/>
      <c r="AA692" s="3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2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3"/>
      <c r="Z693" s="3"/>
      <c r="AA693" s="3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2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3"/>
      <c r="Z694" s="3"/>
      <c r="AA694" s="3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2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3"/>
      <c r="Z695" s="3"/>
      <c r="AA695" s="3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2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3"/>
      <c r="Z696" s="3"/>
      <c r="AA696" s="3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2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3"/>
      <c r="Z697" s="3"/>
      <c r="AA697" s="3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2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3"/>
      <c r="Z698" s="3"/>
      <c r="AA698" s="3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2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3"/>
      <c r="Z699" s="3"/>
      <c r="AA699" s="3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2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3"/>
      <c r="Z700" s="3"/>
      <c r="AA700" s="3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2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3"/>
      <c r="Z701" s="3"/>
      <c r="AA701" s="3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2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3"/>
      <c r="Z702" s="3"/>
      <c r="AA702" s="3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2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3"/>
      <c r="Z703" s="3"/>
      <c r="AA703" s="3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2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3"/>
      <c r="Z704" s="3"/>
      <c r="AA704" s="3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2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3"/>
      <c r="Z705" s="3"/>
      <c r="AA705" s="3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2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3"/>
      <c r="Z706" s="3"/>
      <c r="AA706" s="3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2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3"/>
      <c r="Z707" s="3"/>
      <c r="AA707" s="3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2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3"/>
      <c r="Z708" s="3"/>
      <c r="AA708" s="3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2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3"/>
      <c r="Z709" s="3"/>
      <c r="AA709" s="3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2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3"/>
      <c r="Z710" s="3"/>
      <c r="AA710" s="3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2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3"/>
      <c r="Z711" s="3"/>
      <c r="AA711" s="3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2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3"/>
      <c r="Z712" s="3"/>
      <c r="AA712" s="3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2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3"/>
      <c r="Z713" s="3"/>
      <c r="AA713" s="3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2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3"/>
      <c r="Z714" s="3"/>
      <c r="AA714" s="3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2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3"/>
      <c r="Z715" s="3"/>
      <c r="AA715" s="3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2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3"/>
      <c r="Z716" s="3"/>
      <c r="AA716" s="3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2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3"/>
      <c r="Z717" s="3"/>
      <c r="AA717" s="3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2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3"/>
      <c r="Z718" s="3"/>
      <c r="AA718" s="3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2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3"/>
      <c r="Z719" s="3"/>
      <c r="AA719" s="3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2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3"/>
      <c r="Z720" s="3"/>
      <c r="AA720" s="3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2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3"/>
      <c r="Z721" s="3"/>
      <c r="AA721" s="3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2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3"/>
      <c r="Z722" s="3"/>
      <c r="AA722" s="3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2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3"/>
      <c r="Z723" s="3"/>
      <c r="AA723" s="3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2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3"/>
      <c r="Z724" s="3"/>
      <c r="AA724" s="3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2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3"/>
      <c r="Z725" s="3"/>
      <c r="AA725" s="3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2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3"/>
      <c r="Z726" s="3"/>
      <c r="AA726" s="3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2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3"/>
      <c r="Z727" s="3"/>
      <c r="AA727" s="3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2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3"/>
      <c r="Z728" s="3"/>
      <c r="AA728" s="3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2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3"/>
      <c r="Z729" s="3"/>
      <c r="AA729" s="3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2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3"/>
      <c r="Z730" s="3"/>
      <c r="AA730" s="3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2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3"/>
      <c r="Z731" s="3"/>
      <c r="AA731" s="3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2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3"/>
      <c r="Z732" s="3"/>
      <c r="AA732" s="3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2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3"/>
      <c r="Z733" s="3"/>
      <c r="AA733" s="3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2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3"/>
      <c r="Z734" s="3"/>
      <c r="AA734" s="3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2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3"/>
      <c r="Z735" s="3"/>
      <c r="AA735" s="3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2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3"/>
      <c r="Z736" s="3"/>
      <c r="AA736" s="3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2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3"/>
      <c r="Z737" s="3"/>
      <c r="AA737" s="3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2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3"/>
      <c r="Z738" s="3"/>
      <c r="AA738" s="3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2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3"/>
      <c r="Z739" s="3"/>
      <c r="AA739" s="3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2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3"/>
      <c r="Z740" s="3"/>
      <c r="AA740" s="3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2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3"/>
      <c r="Z741" s="3"/>
      <c r="AA741" s="3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2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3"/>
      <c r="Z742" s="3"/>
      <c r="AA742" s="3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2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3"/>
      <c r="Z743" s="3"/>
      <c r="AA743" s="3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2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3"/>
      <c r="Z744" s="3"/>
      <c r="AA744" s="3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2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3"/>
      <c r="Z745" s="3"/>
      <c r="AA745" s="3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2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3"/>
      <c r="Z746" s="3"/>
      <c r="AA746" s="3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2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3"/>
      <c r="Z747" s="3"/>
      <c r="AA747" s="3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2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3"/>
      <c r="Z748" s="3"/>
      <c r="AA748" s="3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2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3"/>
      <c r="Z749" s="3"/>
      <c r="AA749" s="3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2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3"/>
      <c r="Z750" s="3"/>
      <c r="AA750" s="3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2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3"/>
      <c r="Z751" s="3"/>
      <c r="AA751" s="3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2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3"/>
      <c r="Z752" s="3"/>
      <c r="AA752" s="3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2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3"/>
      <c r="Z753" s="3"/>
      <c r="AA753" s="3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2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3"/>
      <c r="Z754" s="3"/>
      <c r="AA754" s="3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2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3"/>
      <c r="Z755" s="3"/>
      <c r="AA755" s="3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2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3"/>
      <c r="Z756" s="3"/>
      <c r="AA756" s="3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2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3"/>
      <c r="Z757" s="3"/>
      <c r="AA757" s="3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2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3"/>
      <c r="Z758" s="3"/>
      <c r="AA758" s="3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2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3"/>
      <c r="Z759" s="3"/>
      <c r="AA759" s="3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2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3"/>
      <c r="Z760" s="3"/>
      <c r="AA760" s="3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2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3"/>
      <c r="Z761" s="3"/>
      <c r="AA761" s="3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2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3"/>
      <c r="Z762" s="3"/>
      <c r="AA762" s="3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2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3"/>
      <c r="Z763" s="3"/>
      <c r="AA763" s="3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2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3"/>
      <c r="Z764" s="3"/>
      <c r="AA764" s="3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2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3"/>
      <c r="Z765" s="3"/>
      <c r="AA765" s="3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2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3"/>
      <c r="Z766" s="3"/>
      <c r="AA766" s="3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2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3"/>
      <c r="Z767" s="3"/>
      <c r="AA767" s="3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2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3"/>
      <c r="Z768" s="3"/>
      <c r="AA768" s="3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2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3"/>
      <c r="Z769" s="3"/>
      <c r="AA769" s="3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2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3"/>
      <c r="Z770" s="3"/>
      <c r="AA770" s="3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2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3"/>
      <c r="Z771" s="3"/>
      <c r="AA771" s="3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2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3"/>
      <c r="Z772" s="3"/>
      <c r="AA772" s="3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2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3"/>
      <c r="Z773" s="3"/>
      <c r="AA773" s="3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2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3"/>
      <c r="Z774" s="3"/>
      <c r="AA774" s="3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2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3"/>
      <c r="Z775" s="3"/>
      <c r="AA775" s="3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2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3"/>
      <c r="Z776" s="3"/>
      <c r="AA776" s="3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2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3"/>
      <c r="Z777" s="3"/>
      <c r="AA777" s="3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2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3"/>
      <c r="Z778" s="3"/>
      <c r="AA778" s="3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2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3"/>
      <c r="Z779" s="3"/>
      <c r="AA779" s="3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2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3"/>
      <c r="Z780" s="3"/>
      <c r="AA780" s="3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2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3"/>
      <c r="Z781" s="3"/>
      <c r="AA781" s="3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2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3"/>
      <c r="Z782" s="3"/>
      <c r="AA782" s="3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2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3"/>
      <c r="Z783" s="3"/>
      <c r="AA783" s="3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2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3"/>
      <c r="Z784" s="3"/>
      <c r="AA784" s="3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2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3"/>
      <c r="Z785" s="3"/>
      <c r="AA785" s="3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2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3"/>
      <c r="Z786" s="3"/>
      <c r="AA786" s="3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2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3"/>
      <c r="Z787" s="3"/>
      <c r="AA787" s="3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2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3"/>
      <c r="Z788" s="3"/>
      <c r="AA788" s="3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2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3"/>
      <c r="Z789" s="3"/>
      <c r="AA789" s="3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2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3"/>
      <c r="Z790" s="3"/>
      <c r="AA790" s="3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2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3"/>
      <c r="Z791" s="3"/>
      <c r="AA791" s="3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2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3"/>
      <c r="Z792" s="3"/>
      <c r="AA792" s="3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2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3"/>
      <c r="Z793" s="3"/>
      <c r="AA793" s="3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2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3"/>
      <c r="Z794" s="3"/>
      <c r="AA794" s="3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2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3"/>
      <c r="Z795" s="3"/>
      <c r="AA795" s="3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2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3"/>
      <c r="Z796" s="3"/>
      <c r="AA796" s="3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2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3"/>
      <c r="Z797" s="3"/>
      <c r="AA797" s="3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2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3"/>
      <c r="Z798" s="3"/>
      <c r="AA798" s="3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2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3"/>
      <c r="Z799" s="3"/>
      <c r="AA799" s="3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2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3"/>
      <c r="Z800" s="3"/>
      <c r="AA800" s="3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2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3"/>
      <c r="Z801" s="3"/>
      <c r="AA801" s="3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2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3"/>
      <c r="Z802" s="3"/>
      <c r="AA802" s="3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2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3"/>
      <c r="Z803" s="3"/>
      <c r="AA803" s="3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2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3"/>
      <c r="Z804" s="3"/>
      <c r="AA804" s="3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2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3"/>
      <c r="Z805" s="3"/>
      <c r="AA805" s="3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2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3"/>
      <c r="Z806" s="3"/>
      <c r="AA806" s="3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2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3"/>
      <c r="Z807" s="3"/>
      <c r="AA807" s="3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2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3"/>
      <c r="Z808" s="3"/>
      <c r="AA808" s="3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2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3"/>
      <c r="Z809" s="3"/>
      <c r="AA809" s="3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2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3"/>
      <c r="Z810" s="3"/>
      <c r="AA810" s="3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2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3"/>
      <c r="Z811" s="3"/>
      <c r="AA811" s="3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2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3"/>
      <c r="Z812" s="3"/>
      <c r="AA812" s="3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2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3"/>
      <c r="Z813" s="3"/>
      <c r="AA813" s="3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2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3"/>
      <c r="Z814" s="3"/>
      <c r="AA814" s="3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2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3"/>
      <c r="Z815" s="3"/>
      <c r="AA815" s="3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2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3"/>
      <c r="Z816" s="3"/>
      <c r="AA816" s="3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2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3"/>
      <c r="Z817" s="3"/>
      <c r="AA817" s="3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2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3"/>
      <c r="Z818" s="3"/>
      <c r="AA818" s="3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2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3"/>
      <c r="Z819" s="3"/>
      <c r="AA819" s="3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2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3"/>
      <c r="Z820" s="3"/>
      <c r="AA820" s="3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2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3"/>
      <c r="Z821" s="3"/>
      <c r="AA821" s="3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2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3"/>
      <c r="Z822" s="3"/>
      <c r="AA822" s="3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2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3"/>
      <c r="Z823" s="3"/>
      <c r="AA823" s="3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2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3"/>
      <c r="Z824" s="3"/>
      <c r="AA824" s="3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2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3"/>
      <c r="Z825" s="3"/>
      <c r="AA825" s="3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2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3"/>
      <c r="Z826" s="3"/>
      <c r="AA826" s="3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2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3"/>
      <c r="Z827" s="3"/>
      <c r="AA827" s="3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2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3"/>
      <c r="Z828" s="3"/>
      <c r="AA828" s="3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2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3"/>
      <c r="Z829" s="3"/>
      <c r="AA829" s="3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2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3"/>
      <c r="Z830" s="3"/>
      <c r="AA830" s="3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2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3"/>
      <c r="Z831" s="3"/>
      <c r="AA831" s="3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2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3"/>
      <c r="Z832" s="3"/>
      <c r="AA832" s="3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2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3"/>
      <c r="Z833" s="3"/>
      <c r="AA833" s="3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2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3"/>
      <c r="Z834" s="3"/>
      <c r="AA834" s="3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2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3"/>
      <c r="Z835" s="3"/>
      <c r="AA835" s="3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2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3"/>
      <c r="Z836" s="3"/>
      <c r="AA836" s="3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2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3"/>
      <c r="Z837" s="3"/>
      <c r="AA837" s="3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2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3"/>
      <c r="Z838" s="3"/>
      <c r="AA838" s="3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2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3"/>
      <c r="Z839" s="3"/>
      <c r="AA839" s="3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2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3"/>
      <c r="Z840" s="3"/>
      <c r="AA840" s="3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2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3"/>
      <c r="Z841" s="3"/>
      <c r="AA841" s="3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2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3"/>
      <c r="Z842" s="3"/>
      <c r="AA842" s="3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2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3"/>
      <c r="Z843" s="3"/>
      <c r="AA843" s="3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2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3"/>
      <c r="Z844" s="3"/>
      <c r="AA844" s="3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2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3"/>
      <c r="Z845" s="3"/>
      <c r="AA845" s="3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2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3"/>
      <c r="Z846" s="3"/>
      <c r="AA846" s="3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2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3"/>
      <c r="Z847" s="3"/>
      <c r="AA847" s="3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2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3"/>
      <c r="Z848" s="3"/>
      <c r="AA848" s="3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2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3"/>
      <c r="Z849" s="3"/>
      <c r="AA849" s="3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2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3"/>
      <c r="Z850" s="3"/>
      <c r="AA850" s="3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2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3"/>
      <c r="Z851" s="3"/>
      <c r="AA851" s="3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2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3"/>
      <c r="Z852" s="3"/>
      <c r="AA852" s="3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2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3"/>
      <c r="Z853" s="3"/>
      <c r="AA853" s="3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2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3"/>
      <c r="Z854" s="3"/>
      <c r="AA854" s="3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2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3"/>
      <c r="Z855" s="3"/>
      <c r="AA855" s="3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2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3"/>
      <c r="Z856" s="3"/>
      <c r="AA856" s="3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2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3"/>
      <c r="Z857" s="3"/>
      <c r="AA857" s="3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2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3"/>
      <c r="Z858" s="3"/>
      <c r="AA858" s="3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2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3"/>
      <c r="Z859" s="3"/>
      <c r="AA859" s="3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2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3"/>
      <c r="Z860" s="3"/>
      <c r="AA860" s="3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2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3"/>
      <c r="Z861" s="3"/>
      <c r="AA861" s="3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2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3"/>
      <c r="Z862" s="3"/>
      <c r="AA862" s="3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2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3"/>
      <c r="Z863" s="3"/>
      <c r="AA863" s="3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2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3"/>
      <c r="Z864" s="3"/>
      <c r="AA864" s="3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2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3"/>
      <c r="Z865" s="3"/>
      <c r="AA865" s="3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2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3"/>
      <c r="Z866" s="3"/>
      <c r="AA866" s="3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2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3"/>
      <c r="Z867" s="3"/>
      <c r="AA867" s="3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2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3"/>
      <c r="Z868" s="3"/>
      <c r="AA868" s="3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2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3"/>
      <c r="Z869" s="3"/>
      <c r="AA869" s="3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2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3"/>
      <c r="Z870" s="3"/>
      <c r="AA870" s="3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2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3"/>
      <c r="Z871" s="3"/>
      <c r="AA871" s="3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2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3"/>
      <c r="Z872" s="3"/>
      <c r="AA872" s="3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2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3"/>
      <c r="Z873" s="3"/>
      <c r="AA873" s="3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2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3"/>
      <c r="Z874" s="3"/>
      <c r="AA874" s="3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2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3"/>
      <c r="Z875" s="3"/>
      <c r="AA875" s="3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2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3"/>
      <c r="Z876" s="3"/>
      <c r="AA876" s="3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2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3"/>
      <c r="Z877" s="3"/>
      <c r="AA877" s="3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2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3"/>
      <c r="Z878" s="3"/>
      <c r="AA878" s="3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2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3"/>
      <c r="Z879" s="3"/>
      <c r="AA879" s="3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2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3"/>
      <c r="Z880" s="3"/>
      <c r="AA880" s="3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2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3"/>
      <c r="Z881" s="3"/>
      <c r="AA881" s="3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2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3"/>
      <c r="Z882" s="3"/>
      <c r="AA882" s="3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2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3"/>
      <c r="Z883" s="3"/>
      <c r="AA883" s="3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2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3"/>
      <c r="Z884" s="3"/>
      <c r="AA884" s="3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2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3"/>
      <c r="Z885" s="3"/>
      <c r="AA885" s="3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2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3"/>
      <c r="Z886" s="3"/>
      <c r="AA886" s="3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2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3"/>
      <c r="Z887" s="3"/>
      <c r="AA887" s="3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2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3"/>
      <c r="Z888" s="3"/>
      <c r="AA888" s="3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2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3"/>
      <c r="Z889" s="3"/>
      <c r="AA889" s="3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2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3"/>
      <c r="Z890" s="3"/>
      <c r="AA890" s="3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2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3"/>
      <c r="Z891" s="3"/>
      <c r="AA891" s="3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2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3"/>
      <c r="Z892" s="3"/>
      <c r="AA892" s="3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2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3"/>
      <c r="Z893" s="3"/>
      <c r="AA893" s="3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2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3"/>
      <c r="Z894" s="3"/>
      <c r="AA894" s="3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2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3"/>
      <c r="Z895" s="3"/>
      <c r="AA895" s="3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2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3"/>
      <c r="Z896" s="3"/>
      <c r="AA896" s="3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2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3"/>
      <c r="Z897" s="3"/>
      <c r="AA897" s="3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2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3"/>
      <c r="Z898" s="3"/>
      <c r="AA898" s="3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2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3"/>
      <c r="Z899" s="3"/>
      <c r="AA899" s="3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2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3"/>
      <c r="Z900" s="3"/>
      <c r="AA900" s="3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2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3"/>
      <c r="Z901" s="3"/>
      <c r="AA901" s="3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2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3"/>
      <c r="Z902" s="3"/>
      <c r="AA902" s="3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2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3"/>
      <c r="Z903" s="3"/>
      <c r="AA903" s="3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2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3"/>
      <c r="Z904" s="3"/>
      <c r="AA904" s="3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2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3"/>
      <c r="Z905" s="3"/>
      <c r="AA905" s="3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2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3"/>
      <c r="Z906" s="3"/>
      <c r="AA906" s="3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2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3"/>
      <c r="Z907" s="3"/>
      <c r="AA907" s="3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2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3"/>
      <c r="Z908" s="3"/>
      <c r="AA908" s="3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2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3"/>
      <c r="Z909" s="3"/>
      <c r="AA909" s="3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2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3"/>
      <c r="Z910" s="3"/>
      <c r="AA910" s="3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2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3"/>
      <c r="Z911" s="3"/>
      <c r="AA911" s="3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2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3"/>
      <c r="Z912" s="3"/>
      <c r="AA912" s="3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2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3"/>
      <c r="Z913" s="3"/>
      <c r="AA913" s="3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2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3"/>
      <c r="Z914" s="3"/>
      <c r="AA914" s="3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2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3"/>
      <c r="Z915" s="3"/>
      <c r="AA915" s="3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2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3"/>
      <c r="Z916" s="3"/>
      <c r="AA916" s="3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2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3"/>
      <c r="Z917" s="3"/>
      <c r="AA917" s="3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2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3"/>
      <c r="Z918" s="3"/>
      <c r="AA918" s="3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2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3"/>
      <c r="Z919" s="3"/>
      <c r="AA919" s="3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2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3"/>
      <c r="Z920" s="3"/>
      <c r="AA920" s="3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2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3"/>
      <c r="Z921" s="3"/>
      <c r="AA921" s="3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2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3"/>
      <c r="Z922" s="3"/>
      <c r="AA922" s="3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2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3"/>
      <c r="Z923" s="3"/>
      <c r="AA923" s="3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2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3"/>
      <c r="Z924" s="3"/>
      <c r="AA924" s="3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2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3"/>
      <c r="Z925" s="3"/>
      <c r="AA925" s="3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2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3"/>
      <c r="Z926" s="3"/>
      <c r="AA926" s="3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2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3"/>
      <c r="Z927" s="3"/>
      <c r="AA927" s="3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2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3"/>
      <c r="Z928" s="3"/>
      <c r="AA928" s="3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2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3"/>
      <c r="Z929" s="3"/>
      <c r="AA929" s="3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2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3"/>
      <c r="Z930" s="3"/>
      <c r="AA930" s="3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2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3"/>
      <c r="Z931" s="3"/>
      <c r="AA931" s="3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2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3"/>
      <c r="Z932" s="3"/>
      <c r="AA932" s="3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2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3"/>
      <c r="Z933" s="3"/>
      <c r="AA933" s="3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2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3"/>
      <c r="Z934" s="3"/>
      <c r="AA934" s="3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2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3"/>
      <c r="Z935" s="3"/>
      <c r="AA935" s="3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2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3"/>
      <c r="Z936" s="3"/>
      <c r="AA936" s="3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2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3"/>
      <c r="Z937" s="3"/>
      <c r="AA937" s="3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2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3"/>
      <c r="Z938" s="3"/>
      <c r="AA938" s="3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2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3"/>
      <c r="Z939" s="3"/>
      <c r="AA939" s="3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2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3"/>
      <c r="Z940" s="3"/>
      <c r="AA940" s="3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2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3"/>
      <c r="Z941" s="3"/>
      <c r="AA941" s="3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2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3"/>
      <c r="Z942" s="3"/>
      <c r="AA942" s="3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2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3"/>
      <c r="Z943" s="3"/>
      <c r="AA943" s="3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2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3"/>
      <c r="Z944" s="3"/>
      <c r="AA944" s="3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2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3"/>
      <c r="Z945" s="3"/>
      <c r="AA945" s="3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2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3"/>
      <c r="Z946" s="3"/>
      <c r="AA946" s="3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2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3"/>
      <c r="Z947" s="3"/>
      <c r="AA947" s="3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2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3"/>
      <c r="Z948" s="3"/>
      <c r="AA948" s="3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2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3"/>
      <c r="Z949" s="3"/>
      <c r="AA949" s="3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2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3"/>
      <c r="Z950" s="3"/>
      <c r="AA950" s="3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2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3"/>
      <c r="Z951" s="3"/>
      <c r="AA951" s="3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2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3"/>
      <c r="Z952" s="3"/>
      <c r="AA952" s="3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2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3"/>
      <c r="Z953" s="3"/>
      <c r="AA953" s="3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2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3"/>
      <c r="Z954" s="3"/>
      <c r="AA954" s="3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2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3"/>
      <c r="Z955" s="3"/>
      <c r="AA955" s="3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2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3"/>
      <c r="Z956" s="3"/>
      <c r="AA956" s="3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2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3"/>
      <c r="Z957" s="3"/>
      <c r="AA957" s="3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2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3"/>
      <c r="Z958" s="3"/>
      <c r="AA958" s="3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2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3"/>
      <c r="Z959" s="3"/>
      <c r="AA959" s="3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2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3"/>
      <c r="Z960" s="3"/>
      <c r="AA960" s="3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2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3"/>
      <c r="Z961" s="3"/>
      <c r="AA961" s="3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2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3"/>
      <c r="Z962" s="3"/>
      <c r="AA962" s="3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2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3"/>
      <c r="Z963" s="3"/>
      <c r="AA963" s="3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2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3"/>
      <c r="Z964" s="3"/>
      <c r="AA964" s="3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2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3"/>
      <c r="Z965" s="3"/>
      <c r="AA965" s="3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2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3"/>
      <c r="Z966" s="3"/>
      <c r="AA966" s="3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2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3"/>
      <c r="Z967" s="3"/>
      <c r="AA967" s="3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2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3"/>
      <c r="Z968" s="3"/>
      <c r="AA968" s="3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2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3"/>
      <c r="Z969" s="3"/>
      <c r="AA969" s="3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"/>
      <c r="N970" s="2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3"/>
      <c r="Z970" s="3"/>
      <c r="AA970" s="3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"/>
      <c r="N971" s="2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3"/>
      <c r="Z971" s="3"/>
      <c r="AA971" s="3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"/>
      <c r="N972" s="2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3"/>
      <c r="Z972" s="3"/>
      <c r="AA972" s="3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"/>
      <c r="N973" s="2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3"/>
      <c r="Z973" s="3"/>
      <c r="AA973" s="3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"/>
      <c r="N974" s="2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3"/>
      <c r="Z974" s="3"/>
      <c r="AA974" s="3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"/>
      <c r="N975" s="2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3"/>
      <c r="Z975" s="3"/>
      <c r="AA975" s="3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"/>
      <c r="N976" s="2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3"/>
      <c r="Z976" s="3"/>
      <c r="AA976" s="3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"/>
      <c r="N977" s="2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3"/>
      <c r="Z977" s="3"/>
      <c r="AA977" s="3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"/>
      <c r="N978" s="2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3"/>
      <c r="Z978" s="3"/>
      <c r="AA978" s="3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"/>
      <c r="N979" s="2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3"/>
      <c r="Z979" s="3"/>
      <c r="AA979" s="3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"/>
      <c r="N980" s="2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3"/>
      <c r="Z980" s="3"/>
      <c r="AA980" s="3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"/>
      <c r="N981" s="2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3"/>
      <c r="Z981" s="3"/>
      <c r="AA981" s="3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"/>
      <c r="N982" s="2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3"/>
      <c r="Z982" s="3"/>
      <c r="AA982" s="3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"/>
      <c r="N983" s="2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3"/>
      <c r="Z983" s="3"/>
      <c r="AA983" s="3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"/>
      <c r="N984" s="2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3"/>
      <c r="Z984" s="3"/>
      <c r="AA984" s="3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"/>
      <c r="N985" s="2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3"/>
      <c r="Z985" s="3"/>
      <c r="AA985" s="3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"/>
      <c r="N986" s="2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3"/>
      <c r="Z986" s="3"/>
      <c r="AA986" s="3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"/>
      <c r="N987" s="2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3"/>
      <c r="Z987" s="3"/>
      <c r="AA987" s="3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2"/>
      <c r="N988" s="2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3"/>
      <c r="Z988" s="3"/>
      <c r="AA988" s="3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"/>
      <c r="N989" s="2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3"/>
      <c r="Z989" s="3"/>
      <c r="AA989" s="3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"/>
      <c r="N990" s="2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3"/>
      <c r="Z990" s="3"/>
      <c r="AA990" s="3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2"/>
      <c r="N991" s="2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3"/>
      <c r="Z991" s="3"/>
      <c r="AA991" s="3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"/>
      <c r="N992" s="2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3"/>
      <c r="Z992" s="3"/>
      <c r="AA992" s="3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"/>
      <c r="N993" s="2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3"/>
      <c r="Z993" s="3"/>
      <c r="AA993" s="3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"/>
      <c r="N994" s="2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3"/>
      <c r="Z994" s="3"/>
      <c r="AA994" s="3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"/>
      <c r="N995" s="2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3"/>
      <c r="Z995" s="3"/>
      <c r="AA995" s="3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"/>
      <c r="N996" s="2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3"/>
      <c r="Z996" s="3"/>
      <c r="AA996" s="3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"/>
      <c r="N997" s="2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3"/>
      <c r="Z997" s="3"/>
      <c r="AA997" s="3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"/>
      <c r="N998" s="2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3"/>
      <c r="Z998" s="3"/>
      <c r="AA998" s="3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"/>
      <c r="N999" s="2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3"/>
      <c r="Z999" s="3"/>
      <c r="AA999" s="3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"/>
      <c r="N1000" s="2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3"/>
      <c r="Z1000" s="3"/>
      <c r="AA1000" s="3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2"/>
      <c r="N1001" s="2"/>
      <c r="O1001" s="3"/>
      <c r="P1001" s="3"/>
      <c r="Q1001" s="1"/>
      <c r="R1001" s="1"/>
      <c r="S1001" s="1"/>
      <c r="T1001" s="1"/>
      <c r="U1001" s="1"/>
      <c r="V1001" s="1"/>
      <c r="W1001" s="1"/>
      <c r="X1001" s="1"/>
      <c r="Y1001" s="3"/>
      <c r="Z1001" s="3"/>
      <c r="AA1001" s="3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2"/>
      <c r="N1002" s="2"/>
      <c r="O1002" s="3"/>
      <c r="P1002" s="3"/>
      <c r="Q1002" s="1"/>
      <c r="R1002" s="1"/>
      <c r="S1002" s="1"/>
      <c r="T1002" s="1"/>
      <c r="U1002" s="1"/>
      <c r="V1002" s="1"/>
      <c r="W1002" s="1"/>
      <c r="X1002" s="1"/>
      <c r="Y1002" s="3"/>
      <c r="Z1002" s="3"/>
      <c r="AA1002" s="3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2"/>
      <c r="N1003" s="2"/>
      <c r="O1003" s="3"/>
      <c r="P1003" s="3"/>
      <c r="Q1003" s="1"/>
      <c r="R1003" s="1"/>
      <c r="S1003" s="1"/>
      <c r="T1003" s="1"/>
      <c r="U1003" s="1"/>
      <c r="V1003" s="1"/>
      <c r="W1003" s="1"/>
      <c r="X1003" s="1"/>
      <c r="Y1003" s="3"/>
      <c r="Z1003" s="3"/>
      <c r="AA1003" s="3"/>
    </row>
  </sheetData>
  <mergeCells count="282">
    <mergeCell ref="F32:G33"/>
    <mergeCell ref="F34:G35"/>
    <mergeCell ref="F37:G37"/>
    <mergeCell ref="F38:G40"/>
    <mergeCell ref="F41:G42"/>
    <mergeCell ref="F43:G44"/>
    <mergeCell ref="F47:G47"/>
    <mergeCell ref="F48:G48"/>
    <mergeCell ref="F49:G49"/>
    <mergeCell ref="F51:G51"/>
    <mergeCell ref="F52:G52"/>
    <mergeCell ref="F53:G53"/>
    <mergeCell ref="F54:G54"/>
    <mergeCell ref="F55:G55"/>
    <mergeCell ref="F66:G66"/>
    <mergeCell ref="F67:G67"/>
    <mergeCell ref="F57:G57"/>
    <mergeCell ref="F59:G59"/>
    <mergeCell ref="F61:G61"/>
    <mergeCell ref="F62:G62"/>
    <mergeCell ref="F63:G63"/>
    <mergeCell ref="F64:G64"/>
    <mergeCell ref="D65:E65"/>
    <mergeCell ref="F69:G69"/>
    <mergeCell ref="F70:G70"/>
    <mergeCell ref="B65:C65"/>
    <mergeCell ref="B66:C66"/>
    <mergeCell ref="B67:C67"/>
    <mergeCell ref="B68:C68"/>
    <mergeCell ref="F68:G68"/>
    <mergeCell ref="B69:C69"/>
    <mergeCell ref="B70:C70"/>
    <mergeCell ref="D4:E4"/>
    <mergeCell ref="F4:G4"/>
    <mergeCell ref="B7:B9"/>
    <mergeCell ref="F7:G9"/>
    <mergeCell ref="B10:B11"/>
    <mergeCell ref="F10:G11"/>
    <mergeCell ref="F12:G13"/>
    <mergeCell ref="B12:B13"/>
    <mergeCell ref="B14:B15"/>
    <mergeCell ref="B16:B17"/>
    <mergeCell ref="B18:B20"/>
    <mergeCell ref="B21:B22"/>
    <mergeCell ref="B23:B24"/>
    <mergeCell ref="B25:B26"/>
    <mergeCell ref="F14:G15"/>
    <mergeCell ref="F16:G17"/>
    <mergeCell ref="F18:G20"/>
    <mergeCell ref="F21:G22"/>
    <mergeCell ref="F23:G24"/>
    <mergeCell ref="F25:G26"/>
    <mergeCell ref="F29:G30"/>
    <mergeCell ref="B27:B28"/>
    <mergeCell ref="B29:B30"/>
    <mergeCell ref="B32:B33"/>
    <mergeCell ref="B34:B35"/>
    <mergeCell ref="B38:B40"/>
    <mergeCell ref="B41:B42"/>
    <mergeCell ref="B43:B44"/>
    <mergeCell ref="B47:C47"/>
    <mergeCell ref="B48:C48"/>
    <mergeCell ref="B49:C49"/>
    <mergeCell ref="B51:C51"/>
    <mergeCell ref="B52:C52"/>
    <mergeCell ref="B53:C53"/>
    <mergeCell ref="B54:C54"/>
    <mergeCell ref="B55:C55"/>
    <mergeCell ref="B57:C57"/>
    <mergeCell ref="B59:C59"/>
    <mergeCell ref="B61:C61"/>
    <mergeCell ref="B62:C62"/>
    <mergeCell ref="B63:C63"/>
    <mergeCell ref="B64:C64"/>
    <mergeCell ref="B71:C71"/>
    <mergeCell ref="F71:G71"/>
    <mergeCell ref="B72:C72"/>
    <mergeCell ref="F72:G72"/>
    <mergeCell ref="B73:C73"/>
    <mergeCell ref="F73:G73"/>
    <mergeCell ref="D3:G3"/>
    <mergeCell ref="H3:K3"/>
    <mergeCell ref="U4:V5"/>
    <mergeCell ref="W4:X5"/>
    <mergeCell ref="B2:C5"/>
    <mergeCell ref="D2:K2"/>
    <mergeCell ref="L2:N3"/>
    <mergeCell ref="O2:P3"/>
    <mergeCell ref="Q2:R3"/>
    <mergeCell ref="S2:X3"/>
    <mergeCell ref="Y2:Y3"/>
    <mergeCell ref="Z2:Z3"/>
    <mergeCell ref="AA2:AA3"/>
    <mergeCell ref="H4:I4"/>
    <mergeCell ref="J4:K4"/>
    <mergeCell ref="N4:N5"/>
    <mergeCell ref="O4:O5"/>
    <mergeCell ref="P4:P5"/>
    <mergeCell ref="Q4:Q5"/>
    <mergeCell ref="R7:R9"/>
    <mergeCell ref="S7:U9"/>
    <mergeCell ref="V7:X9"/>
    <mergeCell ref="Y8:Y9"/>
    <mergeCell ref="R4:R5"/>
    <mergeCell ref="S4:T5"/>
    <mergeCell ref="B6:AA6"/>
    <mergeCell ref="S12:U13"/>
    <mergeCell ref="V12:X13"/>
    <mergeCell ref="L10:L11"/>
    <mergeCell ref="M10:M11"/>
    <mergeCell ref="R10:R11"/>
    <mergeCell ref="S10:U11"/>
    <mergeCell ref="V10:X11"/>
    <mergeCell ref="Y10:Y11"/>
    <mergeCell ref="R12:R13"/>
    <mergeCell ref="Y12:Y13"/>
    <mergeCell ref="S21:X22"/>
    <mergeCell ref="Y21:Y22"/>
    <mergeCell ref="R21:R22"/>
    <mergeCell ref="R23:R24"/>
    <mergeCell ref="S23:U24"/>
    <mergeCell ref="V23:X24"/>
    <mergeCell ref="R25:R26"/>
    <mergeCell ref="S25:U26"/>
    <mergeCell ref="V25:X26"/>
    <mergeCell ref="R41:R42"/>
    <mergeCell ref="R43:R44"/>
    <mergeCell ref="S34:X35"/>
    <mergeCell ref="S37:X37"/>
    <mergeCell ref="R38:R40"/>
    <mergeCell ref="S38:U40"/>
    <mergeCell ref="V38:X40"/>
    <mergeCell ref="Y39:Y40"/>
    <mergeCell ref="Y41:Y42"/>
    <mergeCell ref="S41:U42"/>
    <mergeCell ref="V41:X42"/>
    <mergeCell ref="S43:X44"/>
    <mergeCell ref="Y43:Y44"/>
    <mergeCell ref="B45:AA45"/>
    <mergeCell ref="B46:AA46"/>
    <mergeCell ref="S47:X47"/>
    <mergeCell ref="S48:X48"/>
    <mergeCell ref="S49:X49"/>
    <mergeCell ref="B50:AA50"/>
    <mergeCell ref="S51:X51"/>
    <mergeCell ref="S52:X52"/>
    <mergeCell ref="S53:X53"/>
    <mergeCell ref="S54:X54"/>
    <mergeCell ref="S55:X55"/>
    <mergeCell ref="B56:AA56"/>
    <mergeCell ref="S57:X57"/>
    <mergeCell ref="B58:AA58"/>
    <mergeCell ref="S59:X59"/>
    <mergeCell ref="B60:AA60"/>
    <mergeCell ref="S61:X61"/>
    <mergeCell ref="S68:X68"/>
    <mergeCell ref="S69:X69"/>
    <mergeCell ref="S70:X70"/>
    <mergeCell ref="S71:X71"/>
    <mergeCell ref="S72:X72"/>
    <mergeCell ref="S73:X73"/>
    <mergeCell ref="S62:X62"/>
    <mergeCell ref="S63:X63"/>
    <mergeCell ref="S64:X64"/>
    <mergeCell ref="H65:I65"/>
    <mergeCell ref="S65:X65"/>
    <mergeCell ref="S66:X66"/>
    <mergeCell ref="S67:X67"/>
    <mergeCell ref="L4:L5"/>
    <mergeCell ref="M4:M5"/>
    <mergeCell ref="J7:K9"/>
    <mergeCell ref="L7:L9"/>
    <mergeCell ref="M7:M9"/>
    <mergeCell ref="N7:N9"/>
    <mergeCell ref="N10:N11"/>
    <mergeCell ref="M14:M15"/>
    <mergeCell ref="N14:N15"/>
    <mergeCell ref="R14:R15"/>
    <mergeCell ref="S14:U15"/>
    <mergeCell ref="V14:X15"/>
    <mergeCell ref="Y14:Y15"/>
    <mergeCell ref="J16:K17"/>
    <mergeCell ref="L16:L17"/>
    <mergeCell ref="M16:M17"/>
    <mergeCell ref="N16:N17"/>
    <mergeCell ref="R16:R17"/>
    <mergeCell ref="S16:U17"/>
    <mergeCell ref="V16:X17"/>
    <mergeCell ref="Y16:Y17"/>
    <mergeCell ref="J10:K11"/>
    <mergeCell ref="J12:K13"/>
    <mergeCell ref="L12:L13"/>
    <mergeCell ref="M12:M13"/>
    <mergeCell ref="N12:N13"/>
    <mergeCell ref="J14:K15"/>
    <mergeCell ref="L14:L15"/>
    <mergeCell ref="L18:L20"/>
    <mergeCell ref="M18:M20"/>
    <mergeCell ref="N18:N20"/>
    <mergeCell ref="R18:R20"/>
    <mergeCell ref="S18:U20"/>
    <mergeCell ref="V18:X20"/>
    <mergeCell ref="Y19:Y20"/>
    <mergeCell ref="S27:U28"/>
    <mergeCell ref="V27:X28"/>
    <mergeCell ref="Y27:Y28"/>
    <mergeCell ref="R29:R30"/>
    <mergeCell ref="S29:U30"/>
    <mergeCell ref="V29:X30"/>
    <mergeCell ref="Y29:Y30"/>
    <mergeCell ref="B31:AA31"/>
    <mergeCell ref="R32:R33"/>
    <mergeCell ref="S32:U33"/>
    <mergeCell ref="V32:X33"/>
    <mergeCell ref="Y32:Y33"/>
    <mergeCell ref="R34:R35"/>
    <mergeCell ref="Y34:Y35"/>
    <mergeCell ref="B36:AA36"/>
    <mergeCell ref="J37:K37"/>
    <mergeCell ref="J38:K40"/>
    <mergeCell ref="L38:L40"/>
    <mergeCell ref="M38:M40"/>
    <mergeCell ref="N38:N40"/>
    <mergeCell ref="J41:K42"/>
    <mergeCell ref="L41:L42"/>
    <mergeCell ref="J43:K44"/>
    <mergeCell ref="L43:L44"/>
    <mergeCell ref="M43:M44"/>
    <mergeCell ref="N43:N44"/>
    <mergeCell ref="J47:K47"/>
    <mergeCell ref="J48:K48"/>
    <mergeCell ref="J49:K49"/>
    <mergeCell ref="J68:K68"/>
    <mergeCell ref="J69:K69"/>
    <mergeCell ref="J70:K70"/>
    <mergeCell ref="J71:K71"/>
    <mergeCell ref="J72:K72"/>
    <mergeCell ref="J73:K73"/>
    <mergeCell ref="J61:K61"/>
    <mergeCell ref="J62:K62"/>
    <mergeCell ref="J63:K63"/>
    <mergeCell ref="J64:K64"/>
    <mergeCell ref="J66:K66"/>
    <mergeCell ref="J67:K67"/>
    <mergeCell ref="L68:N68"/>
    <mergeCell ref="L23:L24"/>
    <mergeCell ref="M23:M24"/>
    <mergeCell ref="L27:L28"/>
    <mergeCell ref="M27:M28"/>
    <mergeCell ref="N27:N28"/>
    <mergeCell ref="J18:K20"/>
    <mergeCell ref="J21:K22"/>
    <mergeCell ref="L21:L22"/>
    <mergeCell ref="M21:M22"/>
    <mergeCell ref="N21:N22"/>
    <mergeCell ref="J23:K24"/>
    <mergeCell ref="N23:N24"/>
    <mergeCell ref="J25:K26"/>
    <mergeCell ref="L25:L26"/>
    <mergeCell ref="M25:M26"/>
    <mergeCell ref="N25:N26"/>
    <mergeCell ref="L29:L30"/>
    <mergeCell ref="M29:M30"/>
    <mergeCell ref="N29:N30"/>
    <mergeCell ref="M34:M35"/>
    <mergeCell ref="N34:N35"/>
    <mergeCell ref="J29:K30"/>
    <mergeCell ref="J32:K33"/>
    <mergeCell ref="L32:L33"/>
    <mergeCell ref="M32:M33"/>
    <mergeCell ref="N32:N33"/>
    <mergeCell ref="J34:K35"/>
    <mergeCell ref="L34:L35"/>
    <mergeCell ref="M41:M42"/>
    <mergeCell ref="N41:N42"/>
    <mergeCell ref="J51:K51"/>
    <mergeCell ref="J52:K52"/>
    <mergeCell ref="J53:K53"/>
    <mergeCell ref="J54:K54"/>
    <mergeCell ref="J55:K55"/>
    <mergeCell ref="J57:K57"/>
    <mergeCell ref="J59:K59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11" width="5.13"/>
    <col customWidth="1" min="12" max="18" width="6.38"/>
    <col customWidth="1" min="19" max="24" width="1.38"/>
    <col customWidth="1" min="25" max="27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3"/>
      <c r="P1" s="3"/>
      <c r="Q1" s="1"/>
      <c r="R1" s="1"/>
      <c r="S1" s="1"/>
      <c r="T1" s="1"/>
      <c r="U1" s="1"/>
      <c r="V1" s="1"/>
      <c r="W1" s="1"/>
      <c r="X1" s="1"/>
      <c r="Y1" s="3"/>
      <c r="Z1" s="3"/>
      <c r="AA1" s="3"/>
    </row>
    <row r="2">
      <c r="A2" s="1"/>
      <c r="B2" s="4" t="s">
        <v>2</v>
      </c>
      <c r="C2" s="5"/>
      <c r="D2" s="6" t="s">
        <v>3</v>
      </c>
      <c r="E2" s="7"/>
      <c r="F2" s="7"/>
      <c r="G2" s="7"/>
      <c r="H2" s="7"/>
      <c r="I2" s="7"/>
      <c r="J2" s="7"/>
      <c r="K2" s="8"/>
      <c r="L2" s="9" t="s">
        <v>4</v>
      </c>
      <c r="M2" s="10"/>
      <c r="N2" s="5"/>
      <c r="O2" s="11" t="s">
        <v>5</v>
      </c>
      <c r="P2" s="5"/>
      <c r="Q2" s="12" t="s">
        <v>6</v>
      </c>
      <c r="R2" s="5"/>
      <c r="S2" s="9" t="s">
        <v>7</v>
      </c>
      <c r="T2" s="10"/>
      <c r="U2" s="10"/>
      <c r="V2" s="10"/>
      <c r="W2" s="10"/>
      <c r="X2" s="5"/>
      <c r="Y2" s="13" t="s">
        <v>8</v>
      </c>
      <c r="Z2" s="13" t="s">
        <v>9</v>
      </c>
      <c r="AA2" s="14" t="s">
        <v>10</v>
      </c>
    </row>
    <row r="3">
      <c r="A3" s="1"/>
      <c r="B3" s="15"/>
      <c r="C3" s="16"/>
      <c r="D3" s="17" t="s">
        <v>11</v>
      </c>
      <c r="E3" s="18"/>
      <c r="F3" s="18"/>
      <c r="G3" s="19"/>
      <c r="H3" s="20" t="s">
        <v>13</v>
      </c>
      <c r="I3" s="18"/>
      <c r="J3" s="18"/>
      <c r="K3" s="19"/>
      <c r="L3" s="21"/>
      <c r="M3" s="22"/>
      <c r="N3" s="23"/>
      <c r="O3" s="21"/>
      <c r="P3" s="23"/>
      <c r="Q3" s="21"/>
      <c r="R3" s="23"/>
      <c r="S3" s="21"/>
      <c r="T3" s="22"/>
      <c r="U3" s="22"/>
      <c r="V3" s="22"/>
      <c r="W3" s="22"/>
      <c r="X3" s="23"/>
      <c r="Y3" s="24"/>
      <c r="Z3" s="24"/>
      <c r="AA3" s="25"/>
    </row>
    <row r="4">
      <c r="A4" s="1"/>
      <c r="B4" s="15"/>
      <c r="C4" s="16"/>
      <c r="D4" s="17" t="s">
        <v>14</v>
      </c>
      <c r="E4" s="19"/>
      <c r="F4" s="26" t="s">
        <v>15</v>
      </c>
      <c r="G4" s="19"/>
      <c r="H4" s="20" t="s">
        <v>14</v>
      </c>
      <c r="I4" s="19"/>
      <c r="J4" s="27" t="s">
        <v>15</v>
      </c>
      <c r="K4" s="19"/>
      <c r="L4" s="28" t="s">
        <v>16</v>
      </c>
      <c r="M4" s="29" t="s">
        <v>17</v>
      </c>
      <c r="N4" s="30" t="s">
        <v>18</v>
      </c>
      <c r="O4" s="31" t="s">
        <v>19</v>
      </c>
      <c r="P4" s="32" t="s">
        <v>20</v>
      </c>
      <c r="Q4" s="33" t="s">
        <v>21</v>
      </c>
      <c r="R4" s="33" t="s">
        <v>22</v>
      </c>
      <c r="S4" s="34" t="s">
        <v>23</v>
      </c>
      <c r="T4" s="35"/>
      <c r="U4" s="36" t="s">
        <v>24</v>
      </c>
      <c r="V4" s="35"/>
      <c r="W4" s="37" t="s">
        <v>25</v>
      </c>
      <c r="X4" s="35"/>
      <c r="Y4" s="38" t="s">
        <v>26</v>
      </c>
      <c r="Z4" s="38" t="s">
        <v>26</v>
      </c>
      <c r="AA4" s="39" t="s">
        <v>26</v>
      </c>
    </row>
    <row r="5">
      <c r="A5" s="1"/>
      <c r="B5" s="40"/>
      <c r="C5" s="23"/>
      <c r="D5" s="41" t="s">
        <v>27</v>
      </c>
      <c r="E5" s="42" t="s">
        <v>28</v>
      </c>
      <c r="F5" s="43" t="s">
        <v>27</v>
      </c>
      <c r="G5" s="44" t="s">
        <v>28</v>
      </c>
      <c r="H5" s="45" t="s">
        <v>27</v>
      </c>
      <c r="I5" s="46" t="s">
        <v>28</v>
      </c>
      <c r="J5" s="47" t="s">
        <v>27</v>
      </c>
      <c r="K5" s="48" t="s">
        <v>28</v>
      </c>
      <c r="L5" s="24"/>
      <c r="M5" s="24"/>
      <c r="N5" s="24"/>
      <c r="O5" s="24"/>
      <c r="P5" s="24"/>
      <c r="Q5" s="24"/>
      <c r="R5" s="24"/>
      <c r="S5" s="21"/>
      <c r="T5" s="23"/>
      <c r="U5" s="21"/>
      <c r="V5" s="23"/>
      <c r="W5" s="21"/>
      <c r="X5" s="23"/>
      <c r="Y5" s="49">
        <v>1.0</v>
      </c>
      <c r="Z5" s="49">
        <v>1.0</v>
      </c>
      <c r="AA5" s="50">
        <v>1.0</v>
      </c>
    </row>
    <row r="6">
      <c r="A6" s="1"/>
      <c r="B6" s="51" t="s">
        <v>33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3"/>
    </row>
    <row r="7">
      <c r="A7" s="1"/>
      <c r="B7" s="67" t="s">
        <v>38</v>
      </c>
      <c r="C7" s="69" t="s">
        <v>31</v>
      </c>
      <c r="D7" s="71">
        <v>3.0</v>
      </c>
      <c r="E7" s="73">
        <v>7.0</v>
      </c>
      <c r="F7" s="75">
        <v>4.0</v>
      </c>
      <c r="G7" s="75">
        <v>9.0</v>
      </c>
      <c r="H7" s="78">
        <v>3.0</v>
      </c>
      <c r="I7" s="81">
        <v>7.0</v>
      </c>
      <c r="J7" s="83">
        <v>4.0</v>
      </c>
      <c r="K7" s="85">
        <v>10.0</v>
      </c>
      <c r="L7" s="87">
        <v>735.0</v>
      </c>
      <c r="M7" s="97">
        <f>L7/60</f>
        <v>12.25</v>
      </c>
      <c r="N7" s="105">
        <f>60/L7</f>
        <v>0.08163265306</v>
      </c>
      <c r="O7" s="107">
        <f>60*3/L7</f>
        <v>0.2448979592</v>
      </c>
      <c r="P7" s="121">
        <f>IFS(OR(K7="-",ISBLANK(K7)),"-",K7&lt;1,"one-hit",K7&lt;=3,60/L7,OR(K7=4,K7=7,K7=9),"manual",K7&lt;7,2*60/L7,K7&lt;9,3*60/L7,K7&lt;=11,4*60/L7,K7&gt;11,"???")</f>
        <v>0.3265306122</v>
      </c>
      <c r="Q7" s="123" t="s">
        <v>41</v>
      </c>
      <c r="R7" s="126" t="s">
        <v>41</v>
      </c>
      <c r="S7" s="90">
        <v>20.0</v>
      </c>
      <c r="T7" s="91"/>
      <c r="U7" s="131">
        <v>30.0</v>
      </c>
      <c r="V7" s="91"/>
      <c r="W7" s="134">
        <v>50.0</v>
      </c>
      <c r="X7" s="91"/>
      <c r="Y7" s="136" t="s">
        <v>41</v>
      </c>
      <c r="Z7" s="136" t="s">
        <v>41</v>
      </c>
      <c r="AA7" s="138" t="s">
        <v>41</v>
      </c>
    </row>
    <row r="8">
      <c r="A8" s="1"/>
      <c r="B8" s="141"/>
      <c r="C8" s="144" t="s">
        <v>40</v>
      </c>
      <c r="D8" s="146">
        <v>3.0</v>
      </c>
      <c r="E8" s="148">
        <v>6.0</v>
      </c>
      <c r="F8" s="150">
        <v>4.0</v>
      </c>
      <c r="G8" s="150">
        <v>8.0</v>
      </c>
      <c r="H8" s="151">
        <v>3.0</v>
      </c>
      <c r="I8" s="152">
        <v>7.0</v>
      </c>
      <c r="J8" s="153">
        <v>4.0</v>
      </c>
      <c r="K8" s="154">
        <v>9.0</v>
      </c>
      <c r="L8" s="155"/>
      <c r="M8" s="155"/>
      <c r="N8" s="155"/>
      <c r="O8" s="175">
        <f>IFS(OR(G8="-",ISBLANK(G8)),"-",G8&lt;1,"one-hit",G8&lt;=3,60/L7,OR(G8=4,G8=7,G8=9),"manual",G8&lt;7,2*60/L7,G8&lt;9,3*60/L7,G8&lt;=11,4*60/L7,G8&gt;11,"???")</f>
        <v>0.2448979592</v>
      </c>
      <c r="P8" s="189" t="str">
        <f>IFS(OR(K8="-",ISBLANK(K8)),"-",K8&lt;1,"one-hit",K8&lt;=3,60/L7,OR(K8=4,K8=7,K8=9),"manual",K8&lt;7,2*60/L7,K8&lt;9,3*60/L7,K8&lt;=11,4*60/L7,K8&gt;11,"???")</f>
        <v>manual</v>
      </c>
      <c r="Q8" s="144" t="s">
        <v>41</v>
      </c>
      <c r="R8" s="197" t="s">
        <v>41</v>
      </c>
      <c r="S8" s="159"/>
      <c r="T8" s="160"/>
      <c r="U8" s="159"/>
      <c r="V8" s="160"/>
      <c r="W8" s="159"/>
      <c r="X8" s="160"/>
      <c r="Y8" s="203">
        <v>1.97</v>
      </c>
      <c r="Z8" s="203" t="s">
        <v>41</v>
      </c>
      <c r="AA8" s="205" t="s">
        <v>41</v>
      </c>
    </row>
    <row r="9">
      <c r="A9" s="1"/>
      <c r="B9" s="67" t="s">
        <v>47</v>
      </c>
      <c r="C9" s="168" t="s">
        <v>40</v>
      </c>
      <c r="D9" s="71">
        <v>3.0</v>
      </c>
      <c r="E9" s="73">
        <v>7.0</v>
      </c>
      <c r="F9" s="75">
        <v>3.0</v>
      </c>
      <c r="G9" s="75">
        <v>8.0</v>
      </c>
      <c r="H9" s="78">
        <v>3.0</v>
      </c>
      <c r="I9" s="81">
        <v>7.0</v>
      </c>
      <c r="J9" s="83">
        <v>4.0</v>
      </c>
      <c r="K9" s="85">
        <v>9.0</v>
      </c>
      <c r="L9" s="87">
        <v>877.0</v>
      </c>
      <c r="M9" s="97">
        <f>L9/60</f>
        <v>14.61666667</v>
      </c>
      <c r="N9" s="105">
        <f>60/L9</f>
        <v>0.06841505131</v>
      </c>
      <c r="O9" s="107">
        <f>IFS(OR(G9="-",ISBLANK(G9)),"-",G9&lt;1,"one-hit",G9&lt;=3,60/L9,OR(G9=4,G9=7,G9=9),"manual",G9&lt;7,2*60/L9,G9&lt;9,3*60/L9,G9&lt;=11,4*60/L9,G9&gt;11,"???")</f>
        <v>0.2052451539</v>
      </c>
      <c r="P9" s="121" t="str">
        <f>IFS(OR(K9="-",ISBLANK(K9)),"-",K9&lt;1,"one-hit",K9&lt;=3,60/L9,OR(K9=4,K9=7,K9=9),"manual",K9&lt;7,2*60/L9,K9&lt;9,3*60/L9,K9&lt;=11,4*60/L9,K9&gt;11,"???")</f>
        <v>manual</v>
      </c>
      <c r="Q9" s="123" t="s">
        <v>41</v>
      </c>
      <c r="R9" s="126" t="s">
        <v>41</v>
      </c>
      <c r="S9" s="90">
        <v>20.0</v>
      </c>
      <c r="T9" s="91"/>
      <c r="U9" s="92"/>
      <c r="V9" s="94">
        <v>30.0</v>
      </c>
      <c r="W9" s="91"/>
      <c r="X9" s="92"/>
      <c r="Y9" s="135">
        <v>2.27</v>
      </c>
      <c r="Z9" s="136" t="s">
        <v>41</v>
      </c>
      <c r="AA9" s="138" t="s">
        <v>41</v>
      </c>
    </row>
    <row r="10">
      <c r="A10" s="1"/>
      <c r="B10" s="141"/>
      <c r="C10" s="204" t="s">
        <v>42</v>
      </c>
      <c r="D10" s="146">
        <v>3.0</v>
      </c>
      <c r="E10" s="148">
        <v>6.0</v>
      </c>
      <c r="F10" s="150">
        <v>3.0</v>
      </c>
      <c r="G10" s="150">
        <v>7.0</v>
      </c>
      <c r="H10" s="151">
        <v>3.0</v>
      </c>
      <c r="I10" s="152">
        <v>7.0</v>
      </c>
      <c r="J10" s="153">
        <v>4.0</v>
      </c>
      <c r="K10" s="154">
        <v>8.0</v>
      </c>
      <c r="L10" s="155"/>
      <c r="M10" s="155"/>
      <c r="N10" s="155"/>
      <c r="O10" s="175">
        <f>60*3/L9</f>
        <v>0.2052451539</v>
      </c>
      <c r="P10" s="189">
        <f>IFS(OR(K10="-",ISBLANK(K10)),"-",K10&lt;1,"one-hit",K10&lt;=3,60/L9,OR(K10=4,K10=7,K10=9),"manual",K10&lt;7,2*60/L9,K10&lt;9,3*60/L9,K10&lt;=11,4*60/L9,K10&gt;11,"???")</f>
        <v>0.2052451539</v>
      </c>
      <c r="Q10" s="144" t="s">
        <v>41</v>
      </c>
      <c r="R10" s="197" t="s">
        <v>41</v>
      </c>
      <c r="S10" s="159"/>
      <c r="T10" s="160"/>
      <c r="U10" s="155"/>
      <c r="V10" s="160"/>
      <c r="W10" s="160"/>
      <c r="X10" s="155"/>
      <c r="Y10" s="24"/>
      <c r="Z10" s="203" t="s">
        <v>41</v>
      </c>
      <c r="AA10" s="205" t="s">
        <v>41</v>
      </c>
    </row>
    <row r="11">
      <c r="A11" s="1"/>
      <c r="B11" s="67" t="s">
        <v>59</v>
      </c>
      <c r="C11" s="168" t="s">
        <v>40</v>
      </c>
      <c r="D11" s="71">
        <v>3.0</v>
      </c>
      <c r="E11" s="73">
        <v>5.0</v>
      </c>
      <c r="F11" s="75">
        <v>3.0</v>
      </c>
      <c r="G11" s="75">
        <v>7.0</v>
      </c>
      <c r="H11" s="78">
        <v>3.0</v>
      </c>
      <c r="I11" s="81">
        <v>6.0</v>
      </c>
      <c r="J11" s="83">
        <v>3.0</v>
      </c>
      <c r="K11" s="85">
        <v>7.0</v>
      </c>
      <c r="L11" s="87">
        <v>844.0</v>
      </c>
      <c r="M11" s="97">
        <f>L11/60</f>
        <v>14.06666667</v>
      </c>
      <c r="N11" s="105">
        <f>60/L11</f>
        <v>0.07109004739</v>
      </c>
      <c r="O11" s="107">
        <f>60*3/L11</f>
        <v>0.2132701422</v>
      </c>
      <c r="P11" s="121" t="str">
        <f>IFS(OR(K11="-",ISBLANK(K11)),"-",K11&lt;1,"one-hit",K11&lt;=3,60/L11,OR(K11=4,K11=7,K11=9),"manual",K11&lt;7,2*60/L11,K11&lt;9,3*60/L11,K11&lt;=11,4*60/L11,K11&gt;11,"???")</f>
        <v>manual</v>
      </c>
      <c r="Q11" s="123" t="s">
        <v>41</v>
      </c>
      <c r="R11" s="126" t="s">
        <v>41</v>
      </c>
      <c r="S11" s="244">
        <v>20.0</v>
      </c>
      <c r="T11" s="16"/>
      <c r="U11" s="245">
        <v>30.0</v>
      </c>
      <c r="V11" s="16"/>
      <c r="W11" s="246">
        <v>50.0</v>
      </c>
      <c r="X11" s="16"/>
      <c r="Y11" s="202">
        <v>1.97</v>
      </c>
      <c r="Z11" s="136" t="s">
        <v>41</v>
      </c>
      <c r="AA11" s="138" t="s">
        <v>41</v>
      </c>
    </row>
    <row r="12">
      <c r="A12" s="1"/>
      <c r="B12" s="141"/>
      <c r="C12" s="204" t="s">
        <v>42</v>
      </c>
      <c r="D12" s="146">
        <v>2.0</v>
      </c>
      <c r="E12" s="148">
        <v>5.0</v>
      </c>
      <c r="F12" s="150">
        <v>3.0</v>
      </c>
      <c r="G12" s="150">
        <v>6.0</v>
      </c>
      <c r="H12" s="151">
        <v>3.0</v>
      </c>
      <c r="I12" s="152">
        <v>5.0</v>
      </c>
      <c r="J12" s="153">
        <v>3.0</v>
      </c>
      <c r="K12" s="154">
        <v>7.0</v>
      </c>
      <c r="L12" s="155"/>
      <c r="M12" s="155"/>
      <c r="N12" s="155"/>
      <c r="O12" s="175">
        <f>IFS(OR(G12="-",ISBLANK(G12)),"-",G12&lt;1,"one-hit",G12&lt;=3,60/L11,OR(G12=4,G12=7,G12=9),"manual",G12&lt;7,2*60/L11,G12&lt;9,3*60/L11,G12&lt;=11,4*60/L11,G12&gt;11,"???")</f>
        <v>0.1421800948</v>
      </c>
      <c r="P12" s="189" t="str">
        <f>IFS(OR(K12="-",ISBLANK(K12)),"-",K12&lt;1,"one-hit",K12&lt;=3,60/L11,OR(K12=4,K12=7,K12=9),"manual",K12&lt;7,2*60/L11,K12&lt;9,3*60/L11,K12&lt;=11,4*60/L11,K12&gt;11,"???")</f>
        <v>manual</v>
      </c>
      <c r="Q12" s="144" t="s">
        <v>41</v>
      </c>
      <c r="R12" s="197" t="s">
        <v>41</v>
      </c>
      <c r="S12" s="159"/>
      <c r="T12" s="155"/>
      <c r="U12" s="160"/>
      <c r="V12" s="155"/>
      <c r="W12" s="160"/>
      <c r="X12" s="155"/>
      <c r="Y12" s="24"/>
      <c r="Z12" s="203" t="s">
        <v>41</v>
      </c>
      <c r="AA12" s="205" t="s">
        <v>41</v>
      </c>
    </row>
    <row r="13">
      <c r="A13" s="1"/>
      <c r="B13" s="67" t="s">
        <v>69</v>
      </c>
      <c r="C13" s="168" t="s">
        <v>40</v>
      </c>
      <c r="D13" s="71">
        <v>3.0</v>
      </c>
      <c r="E13" s="73">
        <v>5.0</v>
      </c>
      <c r="F13" s="75">
        <v>3.0</v>
      </c>
      <c r="G13" s="75">
        <v>6.0</v>
      </c>
      <c r="H13" s="78">
        <v>3.0</v>
      </c>
      <c r="I13" s="81">
        <v>6.0</v>
      </c>
      <c r="J13" s="83">
        <v>3.0</v>
      </c>
      <c r="K13" s="85">
        <v>7.0</v>
      </c>
      <c r="L13" s="87">
        <v>682.0</v>
      </c>
      <c r="M13" s="97">
        <f>L13/60</f>
        <v>11.36666667</v>
      </c>
      <c r="N13" s="105">
        <f>60/L13</f>
        <v>0.08797653959</v>
      </c>
      <c r="O13" s="107">
        <f>IFS(OR(G13="-",ISBLANK(G13)),"-",G13&lt;1,"one-hit",G13&lt;=3,60/L13,OR(G13=4,G13=7,G13=9),"manual",G13&lt;7,2*60/L13,G13&lt;9,3*60/L13,G13&lt;=11,4*60/L13,G13&gt;11,"???")</f>
        <v>0.1759530792</v>
      </c>
      <c r="P13" s="121" t="str">
        <f>IFS(OR(K13="-",ISBLANK(K13)),"-",K13&lt;1,"one-hit",K13&lt;=3,60/L13,OR(K13=4,K13=7,K13=9),"manual",K13&lt;7,2*60/L13,K13&lt;9,3*60/L13,K13&lt;=11,4*60/L13,K13&gt;11,"???")</f>
        <v>manual</v>
      </c>
      <c r="Q13" s="123" t="s">
        <v>41</v>
      </c>
      <c r="R13" s="126" t="s">
        <v>41</v>
      </c>
      <c r="S13" s="90">
        <v>20.0</v>
      </c>
      <c r="T13" s="91"/>
      <c r="U13" s="92"/>
      <c r="V13" s="94">
        <v>30.0</v>
      </c>
      <c r="W13" s="91"/>
      <c r="X13" s="92"/>
      <c r="Y13" s="202">
        <v>1.97</v>
      </c>
      <c r="Z13" s="136" t="s">
        <v>41</v>
      </c>
      <c r="AA13" s="138" t="s">
        <v>41</v>
      </c>
    </row>
    <row r="14">
      <c r="A14" s="1"/>
      <c r="B14" s="141"/>
      <c r="C14" s="204" t="s">
        <v>42</v>
      </c>
      <c r="D14" s="146">
        <v>2.0</v>
      </c>
      <c r="E14" s="148">
        <v>5.0</v>
      </c>
      <c r="F14" s="150">
        <v>3.0</v>
      </c>
      <c r="G14" s="150">
        <v>6.0</v>
      </c>
      <c r="H14" s="151">
        <v>3.0</v>
      </c>
      <c r="I14" s="152">
        <v>5.0</v>
      </c>
      <c r="J14" s="153">
        <v>3.0</v>
      </c>
      <c r="K14" s="154">
        <v>7.0</v>
      </c>
      <c r="L14" s="155"/>
      <c r="M14" s="155"/>
      <c r="N14" s="155"/>
      <c r="O14" s="175">
        <f>IFS(OR(G14="-",ISBLANK(G14)),"-",G14&lt;1,"one-hit",G14&lt;=3,60/L13,OR(G14=4,G14=7,G14=9),"manual",G14&lt;7,2*60/L13,G14&lt;9,3*60/L13,G14&lt;=11,4*60/L13,G14&gt;11,"???")</f>
        <v>0.1759530792</v>
      </c>
      <c r="P14" s="189" t="str">
        <f>IFS(OR(K14="-",ISBLANK(K14)),"-",K14&lt;1,"one-hit",K14&lt;=3,60/L13,OR(K14=4,K14=7,K14=9),"manual",K14&lt;7,2*60/L13,K14&lt;9,3*60/L13,K14&lt;=11,4*60/L13,K14&gt;11,"???")</f>
        <v>manual</v>
      </c>
      <c r="Q14" s="144" t="s">
        <v>41</v>
      </c>
      <c r="R14" s="197" t="s">
        <v>41</v>
      </c>
      <c r="S14" s="159"/>
      <c r="T14" s="160"/>
      <c r="U14" s="155"/>
      <c r="V14" s="160"/>
      <c r="W14" s="160"/>
      <c r="X14" s="155"/>
      <c r="Y14" s="24"/>
      <c r="Z14" s="203" t="s">
        <v>41</v>
      </c>
      <c r="AA14" s="205" t="s">
        <v>41</v>
      </c>
    </row>
    <row r="15">
      <c r="A15" s="1"/>
      <c r="B15" s="67" t="s">
        <v>79</v>
      </c>
      <c r="C15" s="69" t="s">
        <v>31</v>
      </c>
      <c r="D15" s="169">
        <v>3.0</v>
      </c>
      <c r="E15" s="170">
        <v>7.0</v>
      </c>
      <c r="F15" s="75">
        <v>4.0</v>
      </c>
      <c r="G15" s="75">
        <v>8.0</v>
      </c>
      <c r="H15" s="78">
        <v>3.0</v>
      </c>
      <c r="I15" s="173">
        <v>7.0</v>
      </c>
      <c r="J15" s="85">
        <v>4.0</v>
      </c>
      <c r="K15" s="85">
        <v>10.0</v>
      </c>
      <c r="L15" s="179">
        <v>732.0</v>
      </c>
      <c r="M15" s="289">
        <f>L15/60</f>
        <v>12.2</v>
      </c>
      <c r="N15" s="290">
        <f>60/L15</f>
        <v>0.08196721311</v>
      </c>
      <c r="O15" s="295">
        <f>IFS(OR(G15="-",ISBLANK(G15)),"-",G15&lt;1,"one-hit",G15&lt;=3,60/L15,OR(G15=4,G15=7,G15=9),"manual",G15&lt;7,2*60/L15,G15&lt;9,3*60/L15,G15&lt;=11,4*60/L15,G15&gt;11,"???")</f>
        <v>0.2459016393</v>
      </c>
      <c r="P15" s="308">
        <f>IFS(OR(K15="-",ISBLANK(K15)),"-",K15&lt;1,"one-hit",K15&lt;=3,60/L15,OR(K15=4,K15=7,K15=9),"manual",K15&lt;7,2*60/L15,K15&lt;9,3*60/L15,K15&lt;=11,4*60/L15,K15&gt;11,"???")</f>
        <v>0.3278688525</v>
      </c>
      <c r="Q15" s="168" t="s">
        <v>41</v>
      </c>
      <c r="R15" s="194" t="s">
        <v>41</v>
      </c>
      <c r="S15" s="90">
        <v>20.0</v>
      </c>
      <c r="T15" s="92"/>
      <c r="U15" s="131">
        <v>30.0</v>
      </c>
      <c r="V15" s="92"/>
      <c r="W15" s="134">
        <v>50.0</v>
      </c>
      <c r="X15" s="92"/>
      <c r="Y15" s="136" t="s">
        <v>41</v>
      </c>
      <c r="Z15" s="136" t="s">
        <v>41</v>
      </c>
      <c r="AA15" s="138" t="s">
        <v>41</v>
      </c>
    </row>
    <row r="16">
      <c r="A16" s="1"/>
      <c r="B16" s="99"/>
      <c r="C16" s="100" t="s">
        <v>40</v>
      </c>
      <c r="D16" s="101">
        <v>3.0</v>
      </c>
      <c r="E16" s="102">
        <v>6.0</v>
      </c>
      <c r="F16" s="311">
        <v>3.0</v>
      </c>
      <c r="G16" s="311">
        <v>7.0</v>
      </c>
      <c r="H16" s="110">
        <v>3.0</v>
      </c>
      <c r="I16" s="113">
        <v>7.0</v>
      </c>
      <c r="J16" s="314">
        <v>4.0</v>
      </c>
      <c r="K16" s="314">
        <v>8.0</v>
      </c>
      <c r="L16" s="116"/>
      <c r="M16" s="116"/>
      <c r="N16" s="116"/>
      <c r="O16" s="319">
        <f>60*3/L15</f>
        <v>0.2459016393</v>
      </c>
      <c r="P16" s="332">
        <f>IFS(OR(K16="-",ISBLANK(K16)),"-",K16&lt;1,"one-hit",K16&lt;=3,60/L15,OR(K16=4,K16=7,K16=9),"manual",K16&lt;7,2*60/L15,K16&lt;9,3*60/L15,K16&lt;=11,4*60/L15,K16&gt;11,"???")</f>
        <v>0.2459016393</v>
      </c>
      <c r="Q16" s="100" t="s">
        <v>41</v>
      </c>
      <c r="R16" s="120" t="s">
        <v>41</v>
      </c>
      <c r="S16" s="103"/>
      <c r="T16" s="16"/>
      <c r="U16" s="103"/>
      <c r="V16" s="16"/>
      <c r="W16" s="103"/>
      <c r="X16" s="16"/>
      <c r="Y16" s="135">
        <v>2.27</v>
      </c>
      <c r="Z16" s="280" t="s">
        <v>41</v>
      </c>
      <c r="AA16" s="281" t="s">
        <v>41</v>
      </c>
    </row>
    <row r="17">
      <c r="A17" s="1"/>
      <c r="B17" s="141"/>
      <c r="C17" s="204" t="s">
        <v>42</v>
      </c>
      <c r="D17" s="206">
        <v>3.0</v>
      </c>
      <c r="E17" s="207">
        <v>6.0</v>
      </c>
      <c r="F17" s="150">
        <v>3.0</v>
      </c>
      <c r="G17" s="150">
        <v>7.0</v>
      </c>
      <c r="H17" s="151">
        <v>3.0</v>
      </c>
      <c r="I17" s="208">
        <v>6.0</v>
      </c>
      <c r="J17" s="154">
        <v>3.0</v>
      </c>
      <c r="K17" s="154">
        <v>7.0</v>
      </c>
      <c r="L17" s="163"/>
      <c r="M17" s="163"/>
      <c r="N17" s="163"/>
      <c r="O17" s="343">
        <f>60*3/L15</f>
        <v>0.2459016393</v>
      </c>
      <c r="P17" s="360" t="str">
        <f>IFS(OR(K17="-",ISBLANK(K17)),"-",K17&lt;1,"one-hit",K17&lt;=3,60/L15,OR(K17=4,K17=7,K17=9),"manual",K17&lt;7,2*60/L15,K17&lt;9,3*60/L15,K17&lt;=11,4*60/L15,K17&gt;11,"???")</f>
        <v>manual</v>
      </c>
      <c r="Q17" s="227" t="s">
        <v>41</v>
      </c>
      <c r="R17" s="211" t="s">
        <v>41</v>
      </c>
      <c r="S17" s="159"/>
      <c r="T17" s="155"/>
      <c r="U17" s="159"/>
      <c r="V17" s="155"/>
      <c r="W17" s="159"/>
      <c r="X17" s="155"/>
      <c r="Y17" s="24"/>
      <c r="Z17" s="203" t="s">
        <v>41</v>
      </c>
      <c r="AA17" s="205" t="s">
        <v>41</v>
      </c>
    </row>
    <row r="18">
      <c r="A18" s="1"/>
      <c r="B18" s="67" t="s">
        <v>102</v>
      </c>
      <c r="C18" s="69" t="s">
        <v>31</v>
      </c>
      <c r="D18" s="169">
        <v>3.0</v>
      </c>
      <c r="E18" s="170">
        <v>6.0</v>
      </c>
      <c r="F18" s="75">
        <v>3.0</v>
      </c>
      <c r="G18" s="75">
        <v>7.0</v>
      </c>
      <c r="H18" s="78">
        <v>3.0</v>
      </c>
      <c r="I18" s="173">
        <v>6.0</v>
      </c>
      <c r="J18" s="85">
        <v>4.0</v>
      </c>
      <c r="K18" s="85">
        <v>8.0</v>
      </c>
      <c r="L18" s="179">
        <v>732.0</v>
      </c>
      <c r="M18" s="289">
        <f>L18/60</f>
        <v>12.2</v>
      </c>
      <c r="N18" s="290">
        <f>60/L18</f>
        <v>0.08196721311</v>
      </c>
      <c r="O18" s="107">
        <f>60*3/L18</f>
        <v>0.2459016393</v>
      </c>
      <c r="P18" s="308">
        <f>IFS(OR(K18="-",ISBLANK(K18)),"-",K18&lt;1,"one-hit",K18&lt;=3,60/L18,OR(K18=4,K18=7,K18=9),"manual",K18&lt;7,2*60/L18,K18&lt;9,3*60/L18,K18&lt;=11,4*60/L18,K18&gt;11,"???")</f>
        <v>0.2459016393</v>
      </c>
      <c r="Q18" s="168" t="s">
        <v>41</v>
      </c>
      <c r="R18" s="194" t="s">
        <v>41</v>
      </c>
      <c r="S18" s="90">
        <v>20.0</v>
      </c>
      <c r="T18" s="92"/>
      <c r="U18" s="131">
        <v>30.0</v>
      </c>
      <c r="V18" s="92"/>
      <c r="W18" s="134">
        <v>50.0</v>
      </c>
      <c r="X18" s="92"/>
      <c r="Y18" s="136" t="s">
        <v>41</v>
      </c>
      <c r="Z18" s="136" t="s">
        <v>41</v>
      </c>
      <c r="AA18" s="138" t="s">
        <v>41</v>
      </c>
    </row>
    <row r="19">
      <c r="A19" s="1"/>
      <c r="B19" s="99"/>
      <c r="C19" s="100" t="s">
        <v>40</v>
      </c>
      <c r="D19" s="101">
        <v>3.0</v>
      </c>
      <c r="E19" s="102">
        <v>5.0</v>
      </c>
      <c r="F19" s="311">
        <v>3.0</v>
      </c>
      <c r="G19" s="311">
        <v>6.0</v>
      </c>
      <c r="H19" s="110">
        <v>3.0</v>
      </c>
      <c r="I19" s="113">
        <v>6.0</v>
      </c>
      <c r="J19" s="314">
        <v>3.0</v>
      </c>
      <c r="K19" s="314">
        <v>7.0</v>
      </c>
      <c r="L19" s="116"/>
      <c r="M19" s="116"/>
      <c r="N19" s="116"/>
      <c r="O19" s="319">
        <f>IFS(OR(G19="-",ISBLANK(G19)),"-",G19&lt;1,"one-hit",G19&lt;=3,60/L18,OR(G19=4,G19=7,G19=9),"manual",G19&lt;7,2*60/L18,G19&lt;9,3*60/L18,G19&lt;=11,4*60/L18,G19&gt;11,"???")</f>
        <v>0.1639344262</v>
      </c>
      <c r="P19" s="332" t="str">
        <f>IFS(OR(K19="-",ISBLANK(K19)),"-",K19&lt;1,"one-hit",K19&lt;=3,60/L18,OR(K19=4,K19=7,K19=9),"manual",K19&lt;7,2*60/L18,K19&lt;9,3*60/L18,K19&lt;=11,4*60/L18,K19&gt;11,"???")</f>
        <v>manual</v>
      </c>
      <c r="Q19" s="100" t="s">
        <v>41</v>
      </c>
      <c r="R19" s="120" t="s">
        <v>41</v>
      </c>
      <c r="S19" s="103"/>
      <c r="T19" s="16"/>
      <c r="U19" s="103"/>
      <c r="V19" s="16"/>
      <c r="W19" s="103"/>
      <c r="X19" s="16"/>
      <c r="Y19" s="135">
        <v>1.97</v>
      </c>
      <c r="Z19" s="280" t="s">
        <v>41</v>
      </c>
      <c r="AA19" s="281" t="s">
        <v>41</v>
      </c>
    </row>
    <row r="20">
      <c r="A20" s="1"/>
      <c r="B20" s="141"/>
      <c r="C20" s="204" t="s">
        <v>42</v>
      </c>
      <c r="D20" s="206">
        <v>2.0</v>
      </c>
      <c r="E20" s="207">
        <v>5.0</v>
      </c>
      <c r="F20" s="150">
        <v>3.0</v>
      </c>
      <c r="G20" s="150">
        <v>6.0</v>
      </c>
      <c r="H20" s="151">
        <v>3.0</v>
      </c>
      <c r="I20" s="208">
        <v>5.0</v>
      </c>
      <c r="J20" s="154">
        <v>3.0</v>
      </c>
      <c r="K20" s="154">
        <v>7.0</v>
      </c>
      <c r="L20" s="163"/>
      <c r="M20" s="163"/>
      <c r="N20" s="163"/>
      <c r="O20" s="343">
        <f>IFS(OR(G20="-",ISBLANK(G20)),"-",G20&lt;1,"one-hit",G20&lt;=3,60/L18,OR(G20=4,G20=7,G20=9),"manual",G20&lt;7,2*60/L18,G20&lt;9,3*60/L18,G20&lt;=11,4*60/L18,G20&gt;11,"???")</f>
        <v>0.1639344262</v>
      </c>
      <c r="P20" s="360" t="str">
        <f>IFS(OR(K20="-",ISBLANK(K20)),"-",K20&lt;1,"one-hit",K20&lt;=3,60/L18,OR(K20=4,K20=7,K20=9),"manual",K20&lt;7,2*60/L18,K20&lt;9,3*60/L18,K20&lt;=11,4*60/L18,K20&gt;11,"???")</f>
        <v>manual</v>
      </c>
      <c r="Q20" s="227" t="s">
        <v>41</v>
      </c>
      <c r="R20" s="211" t="s">
        <v>41</v>
      </c>
      <c r="S20" s="159"/>
      <c r="T20" s="155"/>
      <c r="U20" s="159"/>
      <c r="V20" s="155"/>
      <c r="W20" s="159"/>
      <c r="X20" s="155"/>
      <c r="Y20" s="24"/>
      <c r="Z20" s="203" t="s">
        <v>41</v>
      </c>
      <c r="AA20" s="205" t="s">
        <v>41</v>
      </c>
    </row>
    <row r="21">
      <c r="A21" s="1"/>
      <c r="B21" s="67" t="s">
        <v>128</v>
      </c>
      <c r="C21" s="69" t="s">
        <v>31</v>
      </c>
      <c r="D21" s="71">
        <v>3.0</v>
      </c>
      <c r="E21" s="73">
        <v>7.0</v>
      </c>
      <c r="F21" s="75">
        <v>4.0</v>
      </c>
      <c r="G21" s="75">
        <v>9.0</v>
      </c>
      <c r="H21" s="78">
        <v>3.0</v>
      </c>
      <c r="I21" s="81">
        <v>7.0</v>
      </c>
      <c r="J21" s="83">
        <v>4.0</v>
      </c>
      <c r="K21" s="85">
        <v>10.0</v>
      </c>
      <c r="L21" s="87">
        <v>970.0</v>
      </c>
      <c r="M21" s="97">
        <f>L21/60</f>
        <v>16.16666667</v>
      </c>
      <c r="N21" s="105">
        <f>60/L21</f>
        <v>0.0618556701</v>
      </c>
      <c r="O21" s="107">
        <f>60*3/L21</f>
        <v>0.1855670103</v>
      </c>
      <c r="P21" s="121">
        <f>IFS(OR(K21="-",ISBLANK(K21)),"-",K21&lt;1,"one-hit",K21&lt;=3,60/L21,OR(K21=4,K21=7,K21=9),"manual",K21&lt;7,2*60/L21,K21&lt;9,3*60/L21,K21&lt;=11,4*60/L21,K21&gt;11,"???")</f>
        <v>0.2474226804</v>
      </c>
      <c r="Q21" s="123" t="s">
        <v>41</v>
      </c>
      <c r="R21" s="126" t="s">
        <v>41</v>
      </c>
      <c r="S21" s="90">
        <v>20.0</v>
      </c>
      <c r="T21" s="91"/>
      <c r="U21" s="131">
        <v>30.0</v>
      </c>
      <c r="V21" s="91"/>
      <c r="W21" s="134">
        <v>50.0</v>
      </c>
      <c r="X21" s="91"/>
      <c r="Y21" s="136" t="s">
        <v>41</v>
      </c>
      <c r="Z21" s="136" t="s">
        <v>41</v>
      </c>
      <c r="AA21" s="138" t="s">
        <v>41</v>
      </c>
    </row>
    <row r="22">
      <c r="A22" s="1"/>
      <c r="B22" s="141"/>
      <c r="C22" s="144" t="s">
        <v>40</v>
      </c>
      <c r="D22" s="146">
        <v>3.0</v>
      </c>
      <c r="E22" s="148">
        <v>6.0</v>
      </c>
      <c r="F22" s="150">
        <v>4.0</v>
      </c>
      <c r="G22" s="150">
        <v>8.0</v>
      </c>
      <c r="H22" s="151">
        <v>3.0</v>
      </c>
      <c r="I22" s="152">
        <v>7.0</v>
      </c>
      <c r="J22" s="153">
        <v>4.0</v>
      </c>
      <c r="K22" s="154">
        <v>9.0</v>
      </c>
      <c r="L22" s="155"/>
      <c r="M22" s="155"/>
      <c r="N22" s="155"/>
      <c r="O22" s="175">
        <f>IFS(OR(G22="-",ISBLANK(G22)),"-",G22&lt;1,"one-hit",G22&lt;=3,60/L21,OR(G22=4,G22=7,G22=9),"manual",G22&lt;7,2*60/L21,G22&lt;9,3*60/L21,G22&lt;=11,4*60/L21,G22&gt;11,"???")</f>
        <v>0.1855670103</v>
      </c>
      <c r="P22" s="189" t="str">
        <f>IFS(OR(K22="-",ISBLANK(K22)),"-",K22&lt;1,"one-hit",K22&lt;=3,60/L21,OR(K22=4,K22=7,K22=9),"manual",K22&lt;7,2*60/L21,K22&lt;9,3*60/L21,K22&lt;=11,4*60/L21,K22&gt;11,"???")</f>
        <v>manual</v>
      </c>
      <c r="Q22" s="144" t="s">
        <v>41</v>
      </c>
      <c r="R22" s="197" t="s">
        <v>41</v>
      </c>
      <c r="S22" s="159"/>
      <c r="T22" s="160"/>
      <c r="U22" s="159"/>
      <c r="V22" s="160"/>
      <c r="W22" s="159"/>
      <c r="X22" s="160"/>
      <c r="Y22" s="203">
        <v>1.97</v>
      </c>
      <c r="Z22" s="203" t="s">
        <v>41</v>
      </c>
      <c r="AA22" s="205" t="s">
        <v>41</v>
      </c>
    </row>
    <row r="23">
      <c r="A23" s="1"/>
      <c r="B23" s="67" t="s">
        <v>138</v>
      </c>
      <c r="C23" s="69" t="s">
        <v>31</v>
      </c>
      <c r="D23" s="71">
        <v>3.0</v>
      </c>
      <c r="E23" s="73">
        <v>6.0</v>
      </c>
      <c r="F23" s="75">
        <v>3.0</v>
      </c>
      <c r="G23" s="75">
        <v>7.0</v>
      </c>
      <c r="H23" s="78">
        <v>3.0</v>
      </c>
      <c r="I23" s="81">
        <v>6.0</v>
      </c>
      <c r="J23" s="83">
        <v>3.0</v>
      </c>
      <c r="K23" s="85">
        <v>7.0</v>
      </c>
      <c r="L23" s="87">
        <v>695.0</v>
      </c>
      <c r="M23" s="97">
        <f>L23/60</f>
        <v>11.58333333</v>
      </c>
      <c r="N23" s="105">
        <f>60/L23</f>
        <v>0.08633093525</v>
      </c>
      <c r="O23" s="107">
        <f>60*3/L23</f>
        <v>0.2589928058</v>
      </c>
      <c r="P23" s="121" t="str">
        <f>IFS(OR(K23="-",ISBLANK(K23)),"-",K23&lt;1,"one-hit",K23&lt;=3,60/L23,OR(K23=4,K23=7,K23=9),"manual",K23&lt;7,2*60/L23,K23&lt;9,3*60/L23,K23&lt;=11,4*60/L23,K23&gt;11,"???")</f>
        <v>manual</v>
      </c>
      <c r="Q23" s="123" t="s">
        <v>41</v>
      </c>
      <c r="R23" s="126" t="s">
        <v>41</v>
      </c>
      <c r="S23" s="90">
        <v>20.0</v>
      </c>
      <c r="T23" s="91"/>
      <c r="U23" s="131">
        <v>30.0</v>
      </c>
      <c r="V23" s="91"/>
      <c r="W23" s="134">
        <v>50.0</v>
      </c>
      <c r="X23" s="91"/>
      <c r="Y23" s="136" t="s">
        <v>41</v>
      </c>
      <c r="Z23" s="136" t="s">
        <v>41</v>
      </c>
      <c r="AA23" s="138" t="s">
        <v>41</v>
      </c>
    </row>
    <row r="24">
      <c r="A24" s="1"/>
      <c r="B24" s="141"/>
      <c r="C24" s="144" t="s">
        <v>40</v>
      </c>
      <c r="D24" s="146">
        <v>2.0</v>
      </c>
      <c r="E24" s="148">
        <v>5.0</v>
      </c>
      <c r="F24" s="150">
        <v>3.0</v>
      </c>
      <c r="G24" s="150">
        <v>6.0</v>
      </c>
      <c r="H24" s="151">
        <v>3.0</v>
      </c>
      <c r="I24" s="152">
        <v>6.0</v>
      </c>
      <c r="J24" s="153">
        <v>3.0</v>
      </c>
      <c r="K24" s="154">
        <v>7.0</v>
      </c>
      <c r="L24" s="155"/>
      <c r="M24" s="155"/>
      <c r="N24" s="155"/>
      <c r="O24" s="175">
        <f>IFS(OR(G24="-",ISBLANK(G24)),"-",G24&lt;1,"one-hit",G24&lt;=3,60/L23,OR(G24=4,G24=7,G24=9),"manual",G24&lt;7,2*60/L23,G24&lt;9,3*60/L23,G24&lt;=11,4*60/L23,G24&gt;11,"???")</f>
        <v>0.1726618705</v>
      </c>
      <c r="P24" s="189" t="str">
        <f>IFS(OR(K24="-",ISBLANK(K24)),"-",K24&lt;1,"one-hit",K24&lt;=3,60/L23,OR(K24=4,K24=7,K24=9),"manual",K24&lt;7,2*60/L23,K24&lt;9,3*60/L23,K24&lt;=11,4*60/L23,K24&gt;11,"???")</f>
        <v>manual</v>
      </c>
      <c r="Q24" s="144" t="s">
        <v>41</v>
      </c>
      <c r="R24" s="197" t="s">
        <v>41</v>
      </c>
      <c r="S24" s="159"/>
      <c r="T24" s="160"/>
      <c r="U24" s="159"/>
      <c r="V24" s="160"/>
      <c r="W24" s="159"/>
      <c r="X24" s="160"/>
      <c r="Y24" s="203">
        <v>2.27</v>
      </c>
      <c r="Z24" s="203" t="s">
        <v>41</v>
      </c>
      <c r="AA24" s="205" t="s">
        <v>41</v>
      </c>
    </row>
    <row r="25">
      <c r="A25" s="1"/>
      <c r="B25" s="67" t="s">
        <v>140</v>
      </c>
      <c r="C25" s="168" t="s">
        <v>40</v>
      </c>
      <c r="D25" s="409" t="s">
        <v>32</v>
      </c>
      <c r="E25" s="92"/>
      <c r="F25" s="75">
        <v>3.0</v>
      </c>
      <c r="G25" s="75">
        <v>6.0</v>
      </c>
      <c r="H25" s="410" t="s">
        <v>32</v>
      </c>
      <c r="I25" s="92"/>
      <c r="J25" s="83">
        <v>3.0</v>
      </c>
      <c r="K25" s="85">
        <v>7.0</v>
      </c>
      <c r="L25" s="87">
        <v>620.0</v>
      </c>
      <c r="M25" s="97">
        <f>L25/60</f>
        <v>10.33333333</v>
      </c>
      <c r="N25" s="105">
        <f>60/L25</f>
        <v>0.09677419355</v>
      </c>
      <c r="O25" s="107">
        <f>IFS(OR(G25="-",ISBLANK(G25)),"-",G25&lt;1,"one-hit",G25&lt;=3,60/L25,OR(G25=4,G25=7,G25=9),"manual",G25&lt;7,2*60/L25,G25&lt;9,3*60/L25,G25&lt;=11,4*60/L25,G25&gt;11,"???")</f>
        <v>0.1935483871</v>
      </c>
      <c r="P25" s="121" t="str">
        <f>IFS(OR(K25="-",ISBLANK(K25)),"-",K25&lt;1,"one-hit",K25&lt;=3,60/L25,OR(K25=4,K25=7,K25=9),"manual",K25&lt;7,2*60/L25,K25&lt;9,3*60/L25,K25&lt;=11,4*60/L25,K25&gt;11,"???")</f>
        <v>manual</v>
      </c>
      <c r="Q25" s="123" t="s">
        <v>41</v>
      </c>
      <c r="R25" s="126" t="s">
        <v>41</v>
      </c>
      <c r="S25" s="90">
        <v>20.0</v>
      </c>
      <c r="T25" s="91"/>
      <c r="U25" s="131">
        <v>30.0</v>
      </c>
      <c r="V25" s="91"/>
      <c r="W25" s="134">
        <v>50.0</v>
      </c>
      <c r="X25" s="91"/>
      <c r="Y25" s="135">
        <v>2.18</v>
      </c>
      <c r="Z25" s="136" t="s">
        <v>41</v>
      </c>
      <c r="AA25" s="138" t="s">
        <v>41</v>
      </c>
    </row>
    <row r="26">
      <c r="A26" s="1"/>
      <c r="B26" s="141"/>
      <c r="C26" s="204" t="s">
        <v>42</v>
      </c>
      <c r="D26" s="22"/>
      <c r="E26" s="23"/>
      <c r="F26" s="150">
        <v>3.0</v>
      </c>
      <c r="G26" s="150">
        <v>5.0</v>
      </c>
      <c r="H26" s="21"/>
      <c r="I26" s="23"/>
      <c r="J26" s="153">
        <v>3.0</v>
      </c>
      <c r="K26" s="154">
        <v>6.0</v>
      </c>
      <c r="L26" s="155"/>
      <c r="M26" s="155"/>
      <c r="N26" s="155"/>
      <c r="O26" s="175">
        <f>IFS(OR(G26="-",ISBLANK(G26)),"-",G26&lt;1,"one-hit",G26&lt;=3,60/L25,OR(G26=4,G26=7,G26=9),"manual",G26&lt;7,2*60/L25,G26&lt;9,3*60/L25,G26&lt;=11,4*60/L25,G26&gt;11,"???")</f>
        <v>0.1935483871</v>
      </c>
      <c r="P26" s="189">
        <f>IFS(OR(K26="-",ISBLANK(K26)),"-",K26&lt;1,"one-hit",K26&lt;=3,60/L25,OR(K26=4,K26=7,K26=9),"manual",K26&lt;7,2*60/L25,K26&lt;9,3*60/L25,K26&lt;=11,4*60/L25,K26&gt;11,"???")</f>
        <v>0.1935483871</v>
      </c>
      <c r="Q26" s="144" t="s">
        <v>41</v>
      </c>
      <c r="R26" s="197" t="s">
        <v>41</v>
      </c>
      <c r="S26" s="159"/>
      <c r="T26" s="160"/>
      <c r="U26" s="159"/>
      <c r="V26" s="160"/>
      <c r="W26" s="159"/>
      <c r="X26" s="160"/>
      <c r="Y26" s="24"/>
      <c r="Z26" s="203" t="s">
        <v>41</v>
      </c>
      <c r="AA26" s="205" t="s">
        <v>41</v>
      </c>
    </row>
    <row r="27">
      <c r="A27" s="1"/>
      <c r="B27" s="67" t="s">
        <v>148</v>
      </c>
      <c r="C27" s="69" t="s">
        <v>31</v>
      </c>
      <c r="D27" s="169">
        <v>3.0</v>
      </c>
      <c r="E27" s="170">
        <v>5.0</v>
      </c>
      <c r="F27" s="75">
        <v>3.0</v>
      </c>
      <c r="G27" s="75">
        <v>7.0</v>
      </c>
      <c r="H27" s="78">
        <v>3.0</v>
      </c>
      <c r="I27" s="173">
        <v>6.0</v>
      </c>
      <c r="J27" s="85">
        <v>3.0</v>
      </c>
      <c r="K27" s="85">
        <v>7.0</v>
      </c>
      <c r="L27" s="179">
        <v>588.0</v>
      </c>
      <c r="M27" s="289">
        <f>L27/60</f>
        <v>9.8</v>
      </c>
      <c r="N27" s="290">
        <f>60/L27</f>
        <v>0.1020408163</v>
      </c>
      <c r="O27" s="107">
        <f>60*3/L27</f>
        <v>0.306122449</v>
      </c>
      <c r="P27" s="308" t="str">
        <f>IFS(OR(K27="-",ISBLANK(K27)),"-",K27&lt;1,"one-hit",K27&lt;=3,60/L27,OR(K27=4,K27=7,K27=9),"manual",K27&lt;7,2*60/L27,K27&lt;9,3*60/L27,K27&lt;=11,4*60/L27,K27&gt;11,"???")</f>
        <v>manual</v>
      </c>
      <c r="Q27" s="168" t="s">
        <v>41</v>
      </c>
      <c r="R27" s="194" t="s">
        <v>41</v>
      </c>
      <c r="S27" s="90">
        <v>20.0</v>
      </c>
      <c r="T27" s="92"/>
      <c r="U27" s="131">
        <v>30.0</v>
      </c>
      <c r="V27" s="92"/>
      <c r="W27" s="134">
        <v>50.0</v>
      </c>
      <c r="X27" s="92"/>
      <c r="Y27" s="136" t="s">
        <v>41</v>
      </c>
      <c r="Z27" s="136" t="s">
        <v>41</v>
      </c>
      <c r="AA27" s="138" t="s">
        <v>41</v>
      </c>
    </row>
    <row r="28">
      <c r="A28" s="1"/>
      <c r="B28" s="99"/>
      <c r="C28" s="100" t="s">
        <v>40</v>
      </c>
      <c r="D28" s="101">
        <v>2.0</v>
      </c>
      <c r="E28" s="102">
        <v>5.0</v>
      </c>
      <c r="F28" s="311">
        <v>3.0</v>
      </c>
      <c r="G28" s="311">
        <v>6.0</v>
      </c>
      <c r="H28" s="110">
        <v>3.0</v>
      </c>
      <c r="I28" s="113">
        <v>5.0</v>
      </c>
      <c r="J28" s="314">
        <v>3.0</v>
      </c>
      <c r="K28" s="314">
        <v>7.0</v>
      </c>
      <c r="L28" s="116"/>
      <c r="M28" s="116"/>
      <c r="N28" s="116"/>
      <c r="O28" s="319">
        <f>IFS(OR(G28="-",ISBLANK(G28)),"-",G28&lt;1,"one-hit",G28&lt;=3,60/L27,OR(G28=4,G28=7,G28=9),"manual",G28&lt;7,2*60/L27,G28&lt;9,3*60/L27,G28&lt;=11,4*60/L27,G28&gt;11,"???")</f>
        <v>0.2040816327</v>
      </c>
      <c r="P28" s="332" t="str">
        <f>IFS(OR(K28="-",ISBLANK(K28)),"-",K28&lt;1,"one-hit",K28&lt;=3,60/L27,OR(K28=4,K28=7,K28=9),"manual",K28&lt;7,2*60/L27,K28&lt;9,3*60/L27,K28&lt;=11,4*60/L27,K28&gt;11,"???")</f>
        <v>manual</v>
      </c>
      <c r="Q28" s="100" t="s">
        <v>41</v>
      </c>
      <c r="R28" s="120" t="s">
        <v>41</v>
      </c>
      <c r="S28" s="103"/>
      <c r="T28" s="16"/>
      <c r="U28" s="103"/>
      <c r="V28" s="16"/>
      <c r="W28" s="103"/>
      <c r="X28" s="16"/>
      <c r="Y28" s="135">
        <v>2.27</v>
      </c>
      <c r="Z28" s="280" t="s">
        <v>41</v>
      </c>
      <c r="AA28" s="281" t="s">
        <v>41</v>
      </c>
    </row>
    <row r="29">
      <c r="A29" s="1"/>
      <c r="B29" s="141"/>
      <c r="C29" s="204" t="s">
        <v>42</v>
      </c>
      <c r="D29" s="206">
        <v>2.0</v>
      </c>
      <c r="E29" s="207">
        <v>5.0</v>
      </c>
      <c r="F29" s="150">
        <v>3.0</v>
      </c>
      <c r="G29" s="150">
        <v>6.0</v>
      </c>
      <c r="H29" s="151">
        <v>2.0</v>
      </c>
      <c r="I29" s="208">
        <v>5.0</v>
      </c>
      <c r="J29" s="154">
        <v>3.0</v>
      </c>
      <c r="K29" s="154">
        <v>6.0</v>
      </c>
      <c r="L29" s="163"/>
      <c r="M29" s="163"/>
      <c r="N29" s="163"/>
      <c r="O29" s="343">
        <f>IFS(OR(G29="-",ISBLANK(G29)),"-",G29&lt;1,"one-hit",G29&lt;=3,60/L27,OR(G29=4,G29=7,G29=9),"manual",G29&lt;7,2*60/L27,G29&lt;9,3*60/L27,G29&lt;=11,4*60/L27,G29&gt;11,"???")</f>
        <v>0.2040816327</v>
      </c>
      <c r="P29" s="360">
        <f>IFS(OR(K29="-",ISBLANK(K29)),"-",K29&lt;1,"one-hit",K29&lt;=3,60/L27,OR(K29=4,K29=7,K29=9),"manual",K29&lt;7,2*60/L27,K29&lt;9,3*60/L27,K29&lt;=11,4*60/L27,K29&gt;11,"???")</f>
        <v>0.2040816327</v>
      </c>
      <c r="Q29" s="227" t="s">
        <v>41</v>
      </c>
      <c r="R29" s="211" t="s">
        <v>41</v>
      </c>
      <c r="S29" s="159"/>
      <c r="T29" s="155"/>
      <c r="U29" s="159"/>
      <c r="V29" s="155"/>
      <c r="W29" s="159"/>
      <c r="X29" s="155"/>
      <c r="Y29" s="24"/>
      <c r="Z29" s="203" t="s">
        <v>41</v>
      </c>
      <c r="AA29" s="205" t="s">
        <v>41</v>
      </c>
    </row>
    <row r="30">
      <c r="A30" s="1"/>
      <c r="B30" s="67" t="s">
        <v>164</v>
      </c>
      <c r="C30" s="168" t="s">
        <v>40</v>
      </c>
      <c r="D30" s="71">
        <v>3.0</v>
      </c>
      <c r="E30" s="73">
        <v>6.0</v>
      </c>
      <c r="F30" s="75">
        <v>3.0</v>
      </c>
      <c r="G30" s="75">
        <v>7.0</v>
      </c>
      <c r="H30" s="78">
        <v>3.0</v>
      </c>
      <c r="I30" s="81">
        <v>6.0</v>
      </c>
      <c r="J30" s="83">
        <v>3.0</v>
      </c>
      <c r="K30" s="85">
        <v>7.0</v>
      </c>
      <c r="L30" s="87">
        <v>882.0</v>
      </c>
      <c r="M30" s="97">
        <f>L30/60</f>
        <v>14.7</v>
      </c>
      <c r="N30" s="105">
        <f>60/L30</f>
        <v>0.06802721088</v>
      </c>
      <c r="O30" s="107">
        <f>60*3/L30</f>
        <v>0.2040816327</v>
      </c>
      <c r="P30" s="121" t="str">
        <f>IFS(OR(K30="-",ISBLANK(K30)),"-",K30&lt;1,"one-hit",K30&lt;=3,60/L30,OR(K30=4,K30=7,K30=9),"manual",K30&lt;7,2*60/L30,K30&lt;9,3*60/L30,K30&lt;=11,4*60/L30,K30&gt;11,"???")</f>
        <v>manual</v>
      </c>
      <c r="Q30" s="123" t="s">
        <v>41</v>
      </c>
      <c r="R30" s="126" t="s">
        <v>41</v>
      </c>
      <c r="S30" s="90">
        <v>20.0</v>
      </c>
      <c r="T30" s="91"/>
      <c r="U30" s="131">
        <v>30.0</v>
      </c>
      <c r="V30" s="91"/>
      <c r="W30" s="134">
        <v>50.0</v>
      </c>
      <c r="X30" s="91"/>
      <c r="Y30" s="202">
        <v>1.97</v>
      </c>
      <c r="Z30" s="136" t="s">
        <v>41</v>
      </c>
      <c r="AA30" s="138" t="s">
        <v>41</v>
      </c>
    </row>
    <row r="31">
      <c r="A31" s="1"/>
      <c r="B31" s="141"/>
      <c r="C31" s="204" t="s">
        <v>42</v>
      </c>
      <c r="D31" s="146">
        <v>3.0</v>
      </c>
      <c r="E31" s="148">
        <v>5.0</v>
      </c>
      <c r="F31" s="150">
        <v>3.0</v>
      </c>
      <c r="G31" s="150">
        <v>6.0</v>
      </c>
      <c r="H31" s="151">
        <v>3.0</v>
      </c>
      <c r="I31" s="152">
        <v>6.0</v>
      </c>
      <c r="J31" s="153">
        <v>3.0</v>
      </c>
      <c r="K31" s="154">
        <v>7.0</v>
      </c>
      <c r="L31" s="155"/>
      <c r="M31" s="155"/>
      <c r="N31" s="155"/>
      <c r="O31" s="175">
        <f>IFS(OR(G31="-",ISBLANK(G31)),"-",G31&lt;1,"one-hit",G31&lt;=3,60/L30,OR(G31=4,G31=7,G31=9),"manual",G31&lt;7,2*60/L30,G31&lt;9,3*60/L30,G31&lt;=11,4*60/L30,G31&gt;11,"???")</f>
        <v>0.1360544218</v>
      </c>
      <c r="P31" s="189" t="str">
        <f>IFS(OR(K31="-",ISBLANK(K31)),"-",K31&lt;1,"one-hit",K31&lt;=3,60/L30,OR(K31=4,K31=7,K31=9),"manual",K31&lt;7,2*60/L30,K31&lt;9,3*60/L30,K31&lt;=11,4*60/L30,K31&gt;11,"???")</f>
        <v>manual</v>
      </c>
      <c r="Q31" s="144" t="s">
        <v>41</v>
      </c>
      <c r="R31" s="197" t="s">
        <v>41</v>
      </c>
      <c r="S31" s="159"/>
      <c r="T31" s="160"/>
      <c r="U31" s="159"/>
      <c r="V31" s="160"/>
      <c r="W31" s="159"/>
      <c r="X31" s="160"/>
      <c r="Y31" s="24"/>
      <c r="Z31" s="203" t="s">
        <v>41</v>
      </c>
      <c r="AA31" s="205" t="s">
        <v>41</v>
      </c>
    </row>
    <row r="32">
      <c r="A32" s="1"/>
      <c r="B32" s="67" t="s">
        <v>165</v>
      </c>
      <c r="C32" s="69" t="s">
        <v>31</v>
      </c>
      <c r="D32" s="169">
        <v>2.0</v>
      </c>
      <c r="E32" s="170">
        <v>5.0</v>
      </c>
      <c r="F32" s="75">
        <v>3.0</v>
      </c>
      <c r="G32" s="75">
        <v>6.0</v>
      </c>
      <c r="H32" s="78">
        <v>2.0</v>
      </c>
      <c r="I32" s="173">
        <v>5.0</v>
      </c>
      <c r="J32" s="85">
        <v>3.0</v>
      </c>
      <c r="K32" s="85">
        <v>6.0</v>
      </c>
      <c r="L32" s="179">
        <v>610.0</v>
      </c>
      <c r="M32" s="289">
        <f>L32/60</f>
        <v>10.16666667</v>
      </c>
      <c r="N32" s="290">
        <f>60/L32</f>
        <v>0.09836065574</v>
      </c>
      <c r="O32" s="295">
        <f>IFS(OR(G32="-",ISBLANK(G32)),"-",G32&lt;1,"one-hit",G32&lt;=3,60/L32,OR(G32=4,G32=7,G32=9),"manual",G32&lt;7,2*60/L32,G32&lt;9,3*60/L32,G32&lt;=11,4*60/L32,G32&gt;11,"???")</f>
        <v>0.1967213115</v>
      </c>
      <c r="P32" s="308">
        <f>IFS(OR(K32="-",ISBLANK(K32)),"-",K32&lt;1,"one-hit",K32&lt;=3,60/L32,OR(K32=4,K32=7,K32=9),"manual",K32&lt;7,2*60/L32,K32&lt;9,3*60/L32,K32&lt;=11,4*60/L32,K32&gt;11,"???")</f>
        <v>0.1967213115</v>
      </c>
      <c r="Q32" s="168" t="s">
        <v>41</v>
      </c>
      <c r="R32" s="194" t="s">
        <v>41</v>
      </c>
      <c r="S32" s="90">
        <v>20.0</v>
      </c>
      <c r="T32" s="91"/>
      <c r="U32" s="92"/>
      <c r="V32" s="94">
        <v>30.0</v>
      </c>
      <c r="W32" s="91"/>
      <c r="X32" s="92"/>
      <c r="Y32" s="136" t="s">
        <v>41</v>
      </c>
      <c r="Z32" s="136" t="s">
        <v>41</v>
      </c>
      <c r="AA32" s="138" t="s">
        <v>41</v>
      </c>
    </row>
    <row r="33">
      <c r="A33" s="1"/>
      <c r="B33" s="99"/>
      <c r="C33" s="100" t="s">
        <v>40</v>
      </c>
      <c r="D33" s="101">
        <v>2.0</v>
      </c>
      <c r="E33" s="102">
        <v>4.0</v>
      </c>
      <c r="F33" s="311">
        <v>3.0</v>
      </c>
      <c r="G33" s="311">
        <v>5.0</v>
      </c>
      <c r="H33" s="110">
        <v>2.0</v>
      </c>
      <c r="I33" s="113">
        <v>5.0</v>
      </c>
      <c r="J33" s="314">
        <v>3.0</v>
      </c>
      <c r="K33" s="314">
        <v>6.0</v>
      </c>
      <c r="L33" s="116"/>
      <c r="M33" s="116"/>
      <c r="N33" s="116"/>
      <c r="O33" s="319">
        <f>IFS(OR(G33="-",ISBLANK(G33)),"-",G33&lt;1,"one-hit",G33&lt;=3,60/L32,OR(G33=4,G33=7,G33=9),"manual",G33&lt;7,2*60/L32,G33&lt;9,3*60/L32,G33&lt;=11,4*60/L32,G33&gt;11,"???")</f>
        <v>0.1967213115</v>
      </c>
      <c r="P33" s="332">
        <f>IFS(OR(K33="-",ISBLANK(K33)),"-",K33&lt;1,"one-hit",K33&lt;=3,60/L32,OR(K33=4,K33=7,K33=9),"manual",K33&lt;7,2*60/L32,K33&lt;9,3*60/L32,K33&lt;=11,4*60/L32,K33&gt;11,"???")</f>
        <v>0.1967213115</v>
      </c>
      <c r="Q33" s="100" t="s">
        <v>41</v>
      </c>
      <c r="R33" s="120" t="s">
        <v>41</v>
      </c>
      <c r="S33" s="103"/>
      <c r="U33" s="16"/>
      <c r="X33" s="16"/>
      <c r="Y33" s="135">
        <v>2.95</v>
      </c>
      <c r="Z33" s="280" t="s">
        <v>41</v>
      </c>
      <c r="AA33" s="281" t="s">
        <v>41</v>
      </c>
    </row>
    <row r="34">
      <c r="A34" s="1"/>
      <c r="B34" s="141"/>
      <c r="C34" s="204" t="s">
        <v>42</v>
      </c>
      <c r="D34" s="206">
        <v>2.0</v>
      </c>
      <c r="E34" s="207">
        <v>4.0</v>
      </c>
      <c r="F34" s="150">
        <v>3.0</v>
      </c>
      <c r="G34" s="150">
        <v>5.0</v>
      </c>
      <c r="H34" s="151">
        <v>2.0</v>
      </c>
      <c r="I34" s="208">
        <v>4.0</v>
      </c>
      <c r="J34" s="154">
        <v>3.0</v>
      </c>
      <c r="K34" s="154">
        <v>5.0</v>
      </c>
      <c r="L34" s="163"/>
      <c r="M34" s="163"/>
      <c r="N34" s="163"/>
      <c r="O34" s="343">
        <f>IFS(OR(G34="-",ISBLANK(G34)),"-",G34&lt;1,"one-hit",G34&lt;=3,60/L32,OR(G34=4,G34=7,G34=9),"manual",G34&lt;7,2*60/L32,G34&lt;9,3*60/L32,G34&lt;=11,4*60/L32,G34&gt;11,"???")</f>
        <v>0.1967213115</v>
      </c>
      <c r="P34" s="360">
        <f>IFS(OR(K34="-",ISBLANK(K34)),"-",K34&lt;1,"one-hit",K34&lt;=3,60/L32,OR(K34=4,K34=7,K34=9),"manual",K34&lt;7,2*60/L32,K34&lt;9,3*60/L32,K34&lt;=11,4*60/L32,K34&gt;11,"???")</f>
        <v>0.1967213115</v>
      </c>
      <c r="Q34" s="227" t="s">
        <v>41</v>
      </c>
      <c r="R34" s="211" t="s">
        <v>41</v>
      </c>
      <c r="S34" s="159"/>
      <c r="T34" s="160"/>
      <c r="U34" s="155"/>
      <c r="V34" s="160"/>
      <c r="W34" s="160"/>
      <c r="X34" s="155"/>
      <c r="Y34" s="24"/>
      <c r="Z34" s="203" t="s">
        <v>41</v>
      </c>
      <c r="AA34" s="205" t="s">
        <v>41</v>
      </c>
    </row>
    <row r="35">
      <c r="A35" s="1"/>
      <c r="B35" s="67" t="s">
        <v>166</v>
      </c>
      <c r="C35" s="69" t="s">
        <v>31</v>
      </c>
      <c r="D35" s="169">
        <v>3.0</v>
      </c>
      <c r="E35" s="170">
        <v>7.0</v>
      </c>
      <c r="F35" s="75">
        <v>4.0</v>
      </c>
      <c r="G35" s="75">
        <v>8.0</v>
      </c>
      <c r="H35" s="78">
        <v>3.0</v>
      </c>
      <c r="I35" s="173">
        <v>7.0</v>
      </c>
      <c r="J35" s="85">
        <v>4.0</v>
      </c>
      <c r="K35" s="85">
        <v>9.0</v>
      </c>
      <c r="L35" s="179">
        <v>780.0</v>
      </c>
      <c r="M35" s="289">
        <f>L35/60</f>
        <v>13</v>
      </c>
      <c r="N35" s="290">
        <f>60/L35</f>
        <v>0.07692307692</v>
      </c>
      <c r="O35" s="295">
        <f>IFS(OR(G35="-",ISBLANK(G35)),"-",G35&lt;1,"one-hit",G35&lt;=3,60/L35,OR(G35=4,G35=7,G35=9),"manual",G35&lt;7,2*60/L35,G35&lt;9,3*60/L35,G35&lt;=11,4*60/L35,G35&gt;11,"???")</f>
        <v>0.2307692308</v>
      </c>
      <c r="P35" s="308" t="str">
        <f>IFS(OR(K35="-",ISBLANK(K35)),"-",K35&lt;1,"one-hit",K35&lt;=3,60/L35,OR(K35=4,K35=7,K35=9),"manual",K35&lt;7,2*60/L35,K35&lt;9,3*60/L35,K35&lt;=11,4*60/L35,K35&gt;11,"???")</f>
        <v>manual</v>
      </c>
      <c r="Q35" s="168" t="s">
        <v>41</v>
      </c>
      <c r="R35" s="194" t="s">
        <v>41</v>
      </c>
      <c r="S35" s="90">
        <v>20.0</v>
      </c>
      <c r="T35" s="92"/>
      <c r="U35" s="131">
        <v>30.0</v>
      </c>
      <c r="V35" s="92"/>
      <c r="W35" s="134">
        <v>50.0</v>
      </c>
      <c r="X35" s="92"/>
      <c r="Y35" s="136" t="s">
        <v>41</v>
      </c>
      <c r="Z35" s="136" t="s">
        <v>41</v>
      </c>
      <c r="AA35" s="138" t="s">
        <v>41</v>
      </c>
    </row>
    <row r="36">
      <c r="A36" s="1"/>
      <c r="B36" s="99"/>
      <c r="C36" s="100" t="s">
        <v>40</v>
      </c>
      <c r="D36" s="101">
        <v>3.0</v>
      </c>
      <c r="E36" s="102">
        <v>6.0</v>
      </c>
      <c r="F36" s="311">
        <v>3.0</v>
      </c>
      <c r="G36" s="311">
        <v>7.0</v>
      </c>
      <c r="H36" s="110">
        <v>3.0</v>
      </c>
      <c r="I36" s="113">
        <v>6.0</v>
      </c>
      <c r="J36" s="314">
        <v>4.0</v>
      </c>
      <c r="K36" s="314">
        <v>8.0</v>
      </c>
      <c r="L36" s="116"/>
      <c r="M36" s="116"/>
      <c r="N36" s="116"/>
      <c r="O36" s="319">
        <f>60*3/L35</f>
        <v>0.2307692308</v>
      </c>
      <c r="P36" s="332">
        <f>IFS(OR(K36="-",ISBLANK(K36)),"-",K36&lt;1,"one-hit",K36&lt;=3,60/L35,OR(K36=4,K36=7,K36=9),"manual",K36&lt;7,2*60/L35,K36&lt;9,3*60/L35,K36&lt;=11,4*60/L35,K36&gt;11,"???")</f>
        <v>0.2307692308</v>
      </c>
      <c r="Q36" s="100" t="s">
        <v>41</v>
      </c>
      <c r="R36" s="120" t="s">
        <v>41</v>
      </c>
      <c r="S36" s="103"/>
      <c r="T36" s="16"/>
      <c r="U36" s="103"/>
      <c r="V36" s="16"/>
      <c r="W36" s="103"/>
      <c r="X36" s="16"/>
      <c r="Y36" s="135">
        <v>1.97</v>
      </c>
      <c r="Z36" s="280" t="s">
        <v>41</v>
      </c>
      <c r="AA36" s="281" t="s">
        <v>41</v>
      </c>
    </row>
    <row r="37">
      <c r="A37" s="1"/>
      <c r="B37" s="141"/>
      <c r="C37" s="204" t="s">
        <v>42</v>
      </c>
      <c r="D37" s="206">
        <v>3.0</v>
      </c>
      <c r="E37" s="207">
        <v>5.0</v>
      </c>
      <c r="F37" s="150">
        <v>3.0</v>
      </c>
      <c r="G37" s="150">
        <v>7.0</v>
      </c>
      <c r="H37" s="151">
        <v>3.0</v>
      </c>
      <c r="I37" s="208">
        <v>6.0</v>
      </c>
      <c r="J37" s="154">
        <v>3.0</v>
      </c>
      <c r="K37" s="154">
        <v>7.0</v>
      </c>
      <c r="L37" s="163"/>
      <c r="M37" s="163"/>
      <c r="N37" s="163"/>
      <c r="O37" s="343">
        <f>60*2/L35</f>
        <v>0.1538461538</v>
      </c>
      <c r="P37" s="360" t="str">
        <f>IFS(OR(K37="-",ISBLANK(K37)),"-",K37&lt;1,"one-hit",K37&lt;=3,60/L35,OR(K37=4,K37=7,K37=9),"manual",K37&lt;7,2*60/L35,K37&lt;9,3*60/L35,K37&lt;=11,4*60/L35,K37&gt;11,"???")</f>
        <v>manual</v>
      </c>
      <c r="Q37" s="227" t="s">
        <v>41</v>
      </c>
      <c r="R37" s="211" t="s">
        <v>41</v>
      </c>
      <c r="S37" s="159"/>
      <c r="T37" s="155"/>
      <c r="U37" s="159"/>
      <c r="V37" s="155"/>
      <c r="W37" s="159"/>
      <c r="X37" s="155"/>
      <c r="Y37" s="24"/>
      <c r="Z37" s="203" t="s">
        <v>41</v>
      </c>
      <c r="AA37" s="205" t="s">
        <v>41</v>
      </c>
    </row>
    <row r="38">
      <c r="A38" s="1"/>
      <c r="B38" s="67" t="s">
        <v>167</v>
      </c>
      <c r="C38" s="168" t="s">
        <v>40</v>
      </c>
      <c r="D38" s="71">
        <v>3.0</v>
      </c>
      <c r="E38" s="73">
        <v>6.0</v>
      </c>
      <c r="F38" s="75">
        <v>3.0</v>
      </c>
      <c r="G38" s="75">
        <v>7.0</v>
      </c>
      <c r="H38" s="78">
        <v>3.0</v>
      </c>
      <c r="I38" s="81">
        <v>6.0</v>
      </c>
      <c r="J38" s="83">
        <v>4.0</v>
      </c>
      <c r="K38" s="85">
        <v>8.0</v>
      </c>
      <c r="L38" s="87">
        <v>832.0</v>
      </c>
      <c r="M38" s="97">
        <f>L38/60</f>
        <v>13.86666667</v>
      </c>
      <c r="N38" s="105">
        <f>60/L38</f>
        <v>0.07211538462</v>
      </c>
      <c r="O38" s="107">
        <f>60*3/L38</f>
        <v>0.2163461538</v>
      </c>
      <c r="P38" s="121">
        <f>IFS(OR(K38="-",ISBLANK(K38)),"-",K38&lt;1,"one-hit",K38&lt;=3,60/L38,OR(K38=4,K38=7,K38=9),"manual",K38&lt;7,2*60/L38,K38&lt;9,3*60/L38,K38&lt;=11,4*60/L38,K38&gt;11,"???")</f>
        <v>0.2163461538</v>
      </c>
      <c r="Q38" s="123" t="s">
        <v>41</v>
      </c>
      <c r="R38" s="126" t="s">
        <v>41</v>
      </c>
      <c r="S38" s="90">
        <v>20.0</v>
      </c>
      <c r="T38" s="91"/>
      <c r="U38" s="131">
        <v>30.0</v>
      </c>
      <c r="V38" s="91"/>
      <c r="W38" s="134">
        <v>50.0</v>
      </c>
      <c r="X38" s="91"/>
      <c r="Y38" s="202">
        <v>1.97</v>
      </c>
      <c r="Z38" s="136" t="s">
        <v>41</v>
      </c>
      <c r="AA38" s="138" t="s">
        <v>41</v>
      </c>
    </row>
    <row r="39">
      <c r="A39" s="1"/>
      <c r="B39" s="141"/>
      <c r="C39" s="204" t="s">
        <v>42</v>
      </c>
      <c r="D39" s="146">
        <v>3.0</v>
      </c>
      <c r="E39" s="148">
        <v>5.0</v>
      </c>
      <c r="F39" s="150">
        <v>3.0</v>
      </c>
      <c r="G39" s="150">
        <v>7.0</v>
      </c>
      <c r="H39" s="151">
        <v>3.0</v>
      </c>
      <c r="I39" s="152">
        <v>6.0</v>
      </c>
      <c r="J39" s="153">
        <v>3.0</v>
      </c>
      <c r="K39" s="154">
        <v>7.0</v>
      </c>
      <c r="L39" s="155"/>
      <c r="M39" s="155"/>
      <c r="N39" s="155"/>
      <c r="O39" s="175">
        <f>60*2/L38</f>
        <v>0.1442307692</v>
      </c>
      <c r="P39" s="189" t="str">
        <f>IFS(OR(K39="-",ISBLANK(K39)),"-",K39&lt;1,"one-hit",K39&lt;=3,60/L38,OR(K39=4,K39=7,K39=9),"manual",K39&lt;7,2*60/L38,K39&lt;9,3*60/L38,K39&lt;=11,4*60/L38,K39&gt;11,"???")</f>
        <v>manual</v>
      </c>
      <c r="Q39" s="144" t="s">
        <v>41</v>
      </c>
      <c r="R39" s="197" t="s">
        <v>41</v>
      </c>
      <c r="S39" s="159"/>
      <c r="T39" s="160"/>
      <c r="U39" s="159"/>
      <c r="V39" s="160"/>
      <c r="W39" s="159"/>
      <c r="X39" s="160"/>
      <c r="Y39" s="24"/>
      <c r="Z39" s="203" t="s">
        <v>41</v>
      </c>
      <c r="AA39" s="205" t="s">
        <v>41</v>
      </c>
    </row>
    <row r="40">
      <c r="A40" s="1"/>
      <c r="B40" s="67" t="s">
        <v>168</v>
      </c>
      <c r="C40" s="168" t="s">
        <v>40</v>
      </c>
      <c r="D40" s="71">
        <v>3.0</v>
      </c>
      <c r="E40" s="73">
        <v>6.0</v>
      </c>
      <c r="F40" s="75">
        <v>3.0</v>
      </c>
      <c r="G40" s="75">
        <v>7.0</v>
      </c>
      <c r="H40" s="78">
        <v>3.0</v>
      </c>
      <c r="I40" s="81">
        <v>6.0</v>
      </c>
      <c r="J40" s="83">
        <v>3.0</v>
      </c>
      <c r="K40" s="85">
        <v>7.0</v>
      </c>
      <c r="L40" s="87">
        <v>735.0</v>
      </c>
      <c r="M40" s="97">
        <f>L40/60</f>
        <v>12.25</v>
      </c>
      <c r="N40" s="105">
        <f>60/L40</f>
        <v>0.08163265306</v>
      </c>
      <c r="O40" s="107">
        <f>60*3/L40</f>
        <v>0.2448979592</v>
      </c>
      <c r="P40" s="121" t="str">
        <f>IFS(OR(K40="-",ISBLANK(K40)),"-",K40&lt;1,"one-hit",K40&lt;=3,60/L40,OR(K40=4,K40=7,K40=9),"manual",K40&lt;7,2*60/L40,K40&lt;9,3*60/L40,K40&lt;=11,4*60/L40,K40&gt;11,"???")</f>
        <v>manual</v>
      </c>
      <c r="Q40" s="123" t="s">
        <v>41</v>
      </c>
      <c r="R40" s="126" t="s">
        <v>41</v>
      </c>
      <c r="S40" s="90">
        <v>20.0</v>
      </c>
      <c r="T40" s="91"/>
      <c r="U40" s="131">
        <v>30.0</v>
      </c>
      <c r="V40" s="91"/>
      <c r="W40" s="134">
        <v>50.0</v>
      </c>
      <c r="X40" s="91"/>
      <c r="Y40" s="202">
        <v>1.98</v>
      </c>
      <c r="Z40" s="136" t="s">
        <v>41</v>
      </c>
      <c r="AA40" s="138" t="s">
        <v>41</v>
      </c>
    </row>
    <row r="41">
      <c r="A41" s="1"/>
      <c r="B41" s="141"/>
      <c r="C41" s="204" t="s">
        <v>42</v>
      </c>
      <c r="D41" s="146">
        <v>3.0</v>
      </c>
      <c r="E41" s="148">
        <v>5.0</v>
      </c>
      <c r="F41" s="150">
        <v>3.0</v>
      </c>
      <c r="G41" s="150">
        <v>6.0</v>
      </c>
      <c r="H41" s="151">
        <v>3.0</v>
      </c>
      <c r="I41" s="152">
        <v>6.0</v>
      </c>
      <c r="J41" s="153">
        <v>3.0</v>
      </c>
      <c r="K41" s="154">
        <v>7.0</v>
      </c>
      <c r="L41" s="155"/>
      <c r="M41" s="155"/>
      <c r="N41" s="155"/>
      <c r="O41" s="175">
        <f>IFS(OR(G41="-",ISBLANK(G41)),"-",G41&lt;1,"one-hit",G41&lt;=3,60/L40,OR(G41=4,G41=7,G41=9),"manual",G41&lt;7,2*60/L40,G41&lt;9,3*60/L40,G41&lt;=11,4*60/L40,G41&gt;11,"???")</f>
        <v>0.1632653061</v>
      </c>
      <c r="P41" s="189" t="str">
        <f>IFS(OR(K41="-",ISBLANK(K41)),"-",K41&lt;1,"one-hit",K41&lt;=3,60/L40,OR(K41=4,K41=7,K41=9),"manual",K41&lt;7,2*60/L40,K41&lt;9,3*60/L40,K41&lt;=11,4*60/L40,K41&gt;11,"???")</f>
        <v>manual</v>
      </c>
      <c r="Q41" s="144" t="s">
        <v>41</v>
      </c>
      <c r="R41" s="197" t="s">
        <v>41</v>
      </c>
      <c r="S41" s="159"/>
      <c r="T41" s="160"/>
      <c r="U41" s="159"/>
      <c r="V41" s="160"/>
      <c r="W41" s="159"/>
      <c r="X41" s="160"/>
      <c r="Y41" s="24"/>
      <c r="Z41" s="203" t="s">
        <v>41</v>
      </c>
      <c r="AA41" s="205" t="s">
        <v>41</v>
      </c>
    </row>
    <row r="42">
      <c r="A42" s="1"/>
      <c r="B42" s="248" t="s">
        <v>67</v>
      </c>
      <c r="C42" s="249"/>
      <c r="D42" s="249"/>
      <c r="E42" s="249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49"/>
      <c r="Z42" s="249"/>
      <c r="AA42" s="250"/>
    </row>
    <row r="43">
      <c r="A43" s="1"/>
      <c r="B43" s="67" t="s">
        <v>169</v>
      </c>
      <c r="C43" s="168" t="s">
        <v>40</v>
      </c>
      <c r="D43" s="71">
        <v>3.0</v>
      </c>
      <c r="E43" s="73">
        <v>5.0</v>
      </c>
      <c r="F43" s="75">
        <v>3.0</v>
      </c>
      <c r="G43" s="75">
        <v>7.0</v>
      </c>
      <c r="H43" s="78">
        <v>3.0</v>
      </c>
      <c r="I43" s="81">
        <v>6.0</v>
      </c>
      <c r="J43" s="83">
        <v>3.0</v>
      </c>
      <c r="K43" s="85">
        <v>7.0</v>
      </c>
      <c r="L43" s="87">
        <v>691.0</v>
      </c>
      <c r="M43" s="97">
        <f>L43/60</f>
        <v>11.51666667</v>
      </c>
      <c r="N43" s="105">
        <f>60/L43</f>
        <v>0.08683068017</v>
      </c>
      <c r="O43" s="107">
        <f>60*3/L43</f>
        <v>0.2604920405</v>
      </c>
      <c r="P43" s="121" t="str">
        <f>IFS(OR(K43="-",ISBLANK(K43)),"-",K43&lt;1,"one-hit",K43&lt;=3,60/L43,OR(K43=4,K43=7,K43=9),"manual",K43&lt;7,2*60/L43,K43&lt;9,3*60/L43,K43&lt;=11,4*60/L43,K43&gt;11,"???")</f>
        <v>manual</v>
      </c>
      <c r="Q43" s="123" t="s">
        <v>41</v>
      </c>
      <c r="R43" s="126" t="s">
        <v>41</v>
      </c>
      <c r="S43" s="90">
        <v>20.0</v>
      </c>
      <c r="T43" s="91"/>
      <c r="U43" s="92"/>
      <c r="V43" s="94">
        <v>30.0</v>
      </c>
      <c r="W43" s="91"/>
      <c r="X43" s="92"/>
      <c r="Y43" s="202">
        <v>1.97</v>
      </c>
      <c r="Z43" s="136" t="s">
        <v>41</v>
      </c>
      <c r="AA43" s="138" t="s">
        <v>41</v>
      </c>
    </row>
    <row r="44">
      <c r="A44" s="1"/>
      <c r="B44" s="141"/>
      <c r="C44" s="204" t="s">
        <v>42</v>
      </c>
      <c r="D44" s="146">
        <v>2.0</v>
      </c>
      <c r="E44" s="148">
        <v>5.0</v>
      </c>
      <c r="F44" s="150">
        <v>3.0</v>
      </c>
      <c r="G44" s="150">
        <v>6.0</v>
      </c>
      <c r="H44" s="151">
        <v>3.0</v>
      </c>
      <c r="I44" s="152">
        <v>5.0</v>
      </c>
      <c r="J44" s="153">
        <v>3.0</v>
      </c>
      <c r="K44" s="154">
        <v>7.0</v>
      </c>
      <c r="L44" s="155"/>
      <c r="M44" s="155"/>
      <c r="N44" s="155"/>
      <c r="O44" s="175">
        <f>IFS(OR(G44="-",ISBLANK(G44)),"-",G44&lt;1,"one-hit",G44&lt;=3,60/L43,OR(G44=4,G44=7,G44=9),"manual",G44&lt;7,2*60/L43,G44&lt;9,3*60/L43,G44&lt;=11,4*60/L43,G44&gt;11,"???")</f>
        <v>0.1736613603</v>
      </c>
      <c r="P44" s="189" t="str">
        <f>IFS(OR(K44="-",ISBLANK(K44)),"-",K44&lt;1,"one-hit",K44&lt;=3,60/L43,OR(K44=4,K44=7,K44=9),"manual",K44&lt;7,2*60/L43,K44&lt;9,3*60/L43,K44&lt;=11,4*60/L43,K44&gt;11,"???")</f>
        <v>manual</v>
      </c>
      <c r="Q44" s="144" t="s">
        <v>41</v>
      </c>
      <c r="R44" s="197" t="s">
        <v>41</v>
      </c>
      <c r="S44" s="159"/>
      <c r="T44" s="160"/>
      <c r="U44" s="155"/>
      <c r="V44" s="160"/>
      <c r="W44" s="160"/>
      <c r="X44" s="155"/>
      <c r="Y44" s="24"/>
      <c r="Z44" s="203" t="s">
        <v>41</v>
      </c>
      <c r="AA44" s="205" t="s">
        <v>41</v>
      </c>
    </row>
    <row r="45">
      <c r="A45" s="1"/>
      <c r="B45" s="67" t="s">
        <v>170</v>
      </c>
      <c r="C45" s="168" t="s">
        <v>40</v>
      </c>
      <c r="D45" s="71">
        <v>3.0</v>
      </c>
      <c r="E45" s="73">
        <v>6.0</v>
      </c>
      <c r="F45" s="75">
        <v>3.0</v>
      </c>
      <c r="G45" s="75">
        <v>7.0</v>
      </c>
      <c r="H45" s="78">
        <v>3.0</v>
      </c>
      <c r="I45" s="81">
        <v>6.0</v>
      </c>
      <c r="J45" s="83">
        <v>4.0</v>
      </c>
      <c r="K45" s="85">
        <v>8.0</v>
      </c>
      <c r="L45" s="87">
        <v>828.0</v>
      </c>
      <c r="M45" s="97">
        <f>L45/60</f>
        <v>13.8</v>
      </c>
      <c r="N45" s="105">
        <f>60/L45</f>
        <v>0.07246376812</v>
      </c>
      <c r="O45" s="107">
        <f>60*3/L45</f>
        <v>0.2173913043</v>
      </c>
      <c r="P45" s="121">
        <f>IFS(OR(K45="-",ISBLANK(K45)),"-",K45&lt;1,"one-hit",K45&lt;=3,60/L45,OR(K45=4,K45=7,K45=9),"manual",K45&lt;7,2*60/L45,K45&lt;9,3*60/L45,K45&lt;=11,4*60/L45,K45&gt;11,"???")</f>
        <v>0.2173913043</v>
      </c>
      <c r="Q45" s="123" t="s">
        <v>41</v>
      </c>
      <c r="R45" s="126" t="s">
        <v>41</v>
      </c>
      <c r="S45" s="90">
        <v>20.0</v>
      </c>
      <c r="T45" s="91"/>
      <c r="U45" s="131">
        <v>30.0</v>
      </c>
      <c r="V45" s="91"/>
      <c r="W45" s="134">
        <v>50.0</v>
      </c>
      <c r="X45" s="91"/>
      <c r="Y45" s="202">
        <v>1.97</v>
      </c>
      <c r="Z45" s="136" t="s">
        <v>41</v>
      </c>
      <c r="AA45" s="138" t="s">
        <v>41</v>
      </c>
    </row>
    <row r="46">
      <c r="A46" s="1"/>
      <c r="B46" s="141"/>
      <c r="C46" s="204" t="s">
        <v>42</v>
      </c>
      <c r="D46" s="146">
        <v>3.0</v>
      </c>
      <c r="E46" s="148">
        <v>5.0</v>
      </c>
      <c r="F46" s="150">
        <v>3.0</v>
      </c>
      <c r="G46" s="150">
        <v>7.0</v>
      </c>
      <c r="H46" s="151">
        <v>3.0</v>
      </c>
      <c r="I46" s="152">
        <v>6.0</v>
      </c>
      <c r="J46" s="153">
        <v>3.0</v>
      </c>
      <c r="K46" s="154">
        <v>7.0</v>
      </c>
      <c r="L46" s="155"/>
      <c r="M46" s="155"/>
      <c r="N46" s="155"/>
      <c r="O46" s="175">
        <f>60*2/L45</f>
        <v>0.1449275362</v>
      </c>
      <c r="P46" s="189" t="str">
        <f>IFS(OR(K46="-",ISBLANK(K46)),"-",K46&lt;1,"one-hit",K46&lt;=3,60/L45,OR(K46=4,K46=7,K46=9),"manual",K46&lt;7,2*60/L45,K46&lt;9,3*60/L45,K46&lt;=11,4*60/L45,K46&gt;11,"???")</f>
        <v>manual</v>
      </c>
      <c r="Q46" s="144" t="s">
        <v>41</v>
      </c>
      <c r="R46" s="197" t="s">
        <v>41</v>
      </c>
      <c r="S46" s="159"/>
      <c r="T46" s="160"/>
      <c r="U46" s="159"/>
      <c r="V46" s="160"/>
      <c r="W46" s="159"/>
      <c r="X46" s="160"/>
      <c r="Y46" s="24"/>
      <c r="Z46" s="203" t="s">
        <v>41</v>
      </c>
      <c r="AA46" s="205" t="s">
        <v>41</v>
      </c>
    </row>
    <row r="47">
      <c r="A47" s="1"/>
      <c r="B47" s="248" t="s">
        <v>73</v>
      </c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  <c r="AA47" s="250"/>
    </row>
    <row r="48">
      <c r="A48" s="1"/>
      <c r="B48" s="253" t="s">
        <v>171</v>
      </c>
      <c r="C48" s="254" t="s">
        <v>40</v>
      </c>
      <c r="D48" s="422">
        <v>3.0</v>
      </c>
      <c r="E48" s="423">
        <v>6.0</v>
      </c>
      <c r="F48" s="424">
        <v>3.0</v>
      </c>
      <c r="G48" s="424">
        <v>7.0</v>
      </c>
      <c r="H48" s="258">
        <v>3.0</v>
      </c>
      <c r="I48" s="425">
        <v>6.0</v>
      </c>
      <c r="J48" s="426">
        <v>3.0</v>
      </c>
      <c r="K48" s="427">
        <v>7.0</v>
      </c>
      <c r="L48" s="428">
        <v>686.0</v>
      </c>
      <c r="M48" s="429">
        <f>L48/60</f>
        <v>11.43333333</v>
      </c>
      <c r="N48" s="430">
        <f>60/L48</f>
        <v>0.08746355685</v>
      </c>
      <c r="O48" s="431">
        <f>60*3/L48</f>
        <v>0.2623906706</v>
      </c>
      <c r="P48" s="432" t="str">
        <f t="shared" ref="P48:P50" si="1">IFS(OR(K48="-",ISBLANK(K48)),"-",K48&lt;1,"one-hit",K48&lt;=3,60/L48,OR(K48=4,K48=7,K48=9),"manual",K48&lt;7,2*60/L48,K48&lt;9,3*60/L48,K48&lt;=11,4*60/L48,K48&gt;11,"???")</f>
        <v>manual</v>
      </c>
      <c r="Q48" s="433" t="s">
        <v>41</v>
      </c>
      <c r="R48" s="434" t="s">
        <v>41</v>
      </c>
      <c r="S48" s="267">
        <v>20.0</v>
      </c>
      <c r="T48" s="249"/>
      <c r="U48" s="369">
        <v>30.0</v>
      </c>
      <c r="V48" s="249"/>
      <c r="W48" s="435">
        <v>50.0</v>
      </c>
      <c r="X48" s="249"/>
      <c r="Y48" s="268">
        <v>1.97</v>
      </c>
      <c r="Z48" s="270" t="s">
        <v>41</v>
      </c>
      <c r="AA48" s="272" t="s">
        <v>41</v>
      </c>
    </row>
    <row r="49">
      <c r="A49" s="1"/>
      <c r="B49" s="253" t="s">
        <v>172</v>
      </c>
      <c r="C49" s="254" t="s">
        <v>40</v>
      </c>
      <c r="D49" s="422" t="s">
        <v>41</v>
      </c>
      <c r="E49" s="423" t="s">
        <v>41</v>
      </c>
      <c r="F49" s="424" t="s">
        <v>41</v>
      </c>
      <c r="G49" s="424" t="s">
        <v>41</v>
      </c>
      <c r="H49" s="258">
        <v>3.0</v>
      </c>
      <c r="I49" s="425">
        <v>6.0</v>
      </c>
      <c r="J49" s="426">
        <v>3.0</v>
      </c>
      <c r="K49" s="427">
        <v>7.0</v>
      </c>
      <c r="L49" s="428" t="s">
        <v>41</v>
      </c>
      <c r="M49" s="340" t="s">
        <v>41</v>
      </c>
      <c r="N49" s="341" t="s">
        <v>41</v>
      </c>
      <c r="O49" s="431" t="str">
        <f>IFS(OR(G49="-",ISBLANK(G49)),"-",G49&lt;1,"one-hit",G49&lt;=3,60/L49,OR(G49=4,G49=7,G49=9),"manual",G49&lt;7,2*60/L49,G49&lt;9,3*60/L49,G49&lt;=11,4*60/L49,G49&gt;11,"???")</f>
        <v>-</v>
      </c>
      <c r="P49" s="436" t="str">
        <f t="shared" si="1"/>
        <v>manual</v>
      </c>
      <c r="Q49" s="433" t="s">
        <v>41</v>
      </c>
      <c r="R49" s="434" t="s">
        <v>41</v>
      </c>
      <c r="S49" s="267">
        <v>30.0</v>
      </c>
      <c r="T49" s="249"/>
      <c r="U49" s="249"/>
      <c r="V49" s="249"/>
      <c r="W49" s="249"/>
      <c r="X49" s="249"/>
      <c r="Y49" s="268" t="s">
        <v>41</v>
      </c>
      <c r="Z49" s="270" t="s">
        <v>41</v>
      </c>
      <c r="AA49" s="272" t="s">
        <v>41</v>
      </c>
    </row>
    <row r="50">
      <c r="A50" s="1"/>
      <c r="B50" s="67" t="s">
        <v>173</v>
      </c>
      <c r="C50" s="69" t="s">
        <v>31</v>
      </c>
      <c r="D50" s="169">
        <v>3.0</v>
      </c>
      <c r="E50" s="170">
        <v>6.0</v>
      </c>
      <c r="F50" s="75">
        <v>3.0</v>
      </c>
      <c r="G50" s="75">
        <v>7.0</v>
      </c>
      <c r="H50" s="78">
        <v>3.0</v>
      </c>
      <c r="I50" s="173">
        <v>6.0</v>
      </c>
      <c r="J50" s="85">
        <v>4.0</v>
      </c>
      <c r="K50" s="85">
        <v>8.0</v>
      </c>
      <c r="L50" s="179">
        <v>840.0</v>
      </c>
      <c r="M50" s="289">
        <f>L50/60</f>
        <v>14</v>
      </c>
      <c r="N50" s="290">
        <f>60/L50</f>
        <v>0.07142857143</v>
      </c>
      <c r="O50" s="107">
        <f>60*3/L50</f>
        <v>0.2142857143</v>
      </c>
      <c r="P50" s="308">
        <f t="shared" si="1"/>
        <v>0.2142857143</v>
      </c>
      <c r="Q50" s="168" t="s">
        <v>41</v>
      </c>
      <c r="R50" s="194" t="s">
        <v>41</v>
      </c>
      <c r="S50" s="90">
        <v>20.0</v>
      </c>
      <c r="T50" s="92"/>
      <c r="U50" s="131">
        <v>30.0</v>
      </c>
      <c r="V50" s="92"/>
      <c r="W50" s="134">
        <v>50.0</v>
      </c>
      <c r="X50" s="92"/>
      <c r="Y50" s="136" t="s">
        <v>41</v>
      </c>
      <c r="Z50" s="136" t="s">
        <v>41</v>
      </c>
      <c r="AA50" s="138" t="s">
        <v>41</v>
      </c>
    </row>
    <row r="51">
      <c r="A51" s="1"/>
      <c r="B51" s="99"/>
      <c r="C51" s="100" t="s">
        <v>40</v>
      </c>
      <c r="D51" s="101">
        <v>3.0</v>
      </c>
      <c r="E51" s="102">
        <v>5.0</v>
      </c>
      <c r="F51" s="311">
        <v>3.0</v>
      </c>
      <c r="G51" s="311">
        <v>6.0</v>
      </c>
      <c r="H51" s="110">
        <v>3.0</v>
      </c>
      <c r="I51" s="113">
        <v>6.0</v>
      </c>
      <c r="J51" s="314">
        <v>3.0</v>
      </c>
      <c r="K51" s="314">
        <v>7.0</v>
      </c>
      <c r="L51" s="116"/>
      <c r="M51" s="116"/>
      <c r="N51" s="116"/>
      <c r="O51" s="319">
        <f>IFS(OR(G51="-",ISBLANK(G51)),"-",G51&lt;1,"one-hit",G51&lt;=3,60/L50,OR(G51=4,G51=7,G51=9),"manual",G51&lt;7,2*60/L50,G51&lt;9,3*60/L50,G51&lt;=11,4*60/L50,G51&gt;11,"???")</f>
        <v>0.1428571429</v>
      </c>
      <c r="P51" s="332" t="str">
        <f>IFS(OR(K51="-",ISBLANK(K51)),"-",K51&lt;1,"one-hit",K51&lt;=3,60/L50,OR(K51=4,K51=7,K51=9),"manual",K51&lt;7,2*60/L50,K51&lt;9,3*60/L50,K51&lt;=11,4*60/L50,K51&gt;11,"???")</f>
        <v>manual</v>
      </c>
      <c r="Q51" s="100" t="s">
        <v>41</v>
      </c>
      <c r="R51" s="120" t="s">
        <v>41</v>
      </c>
      <c r="S51" s="103"/>
      <c r="T51" s="16"/>
      <c r="U51" s="103"/>
      <c r="V51" s="16"/>
      <c r="W51" s="103"/>
      <c r="X51" s="16"/>
      <c r="Y51" s="135">
        <v>1.97</v>
      </c>
      <c r="Z51" s="280" t="s">
        <v>41</v>
      </c>
      <c r="AA51" s="281" t="s">
        <v>41</v>
      </c>
    </row>
    <row r="52">
      <c r="A52" s="1"/>
      <c r="B52" s="141"/>
      <c r="C52" s="204" t="s">
        <v>42</v>
      </c>
      <c r="D52" s="206">
        <v>2.0</v>
      </c>
      <c r="E52" s="207">
        <v>5.0</v>
      </c>
      <c r="F52" s="150">
        <v>3.0</v>
      </c>
      <c r="G52" s="150">
        <v>6.0</v>
      </c>
      <c r="H52" s="151">
        <v>3.0</v>
      </c>
      <c r="I52" s="208">
        <v>6.0</v>
      </c>
      <c r="J52" s="154">
        <v>3.0</v>
      </c>
      <c r="K52" s="154">
        <v>7.0</v>
      </c>
      <c r="L52" s="163"/>
      <c r="M52" s="163"/>
      <c r="N52" s="163"/>
      <c r="O52" s="343">
        <f>IFS(OR(G52="-",ISBLANK(G52)),"-",G52&lt;1,"one-hit",G52&lt;=3,60/L50,OR(G52=4,G52=7,G52=9),"manual",G52&lt;7,2*60/L50,G52&lt;9,3*60/L50,G52&lt;=11,4*60/L50,G52&gt;11,"???")</f>
        <v>0.1428571429</v>
      </c>
      <c r="P52" s="360" t="str">
        <f>IFS(OR(K52="-",ISBLANK(K52)),"-",K52&lt;1,"one-hit",K52&lt;=3,60/L50,OR(K52=4,K52=7,K52=9),"manual",K52&lt;7,2*60/L50,K52&lt;9,3*60/L50,K52&lt;=11,4*60/L50,K52&gt;11,"???")</f>
        <v>manual</v>
      </c>
      <c r="Q52" s="227" t="s">
        <v>41</v>
      </c>
      <c r="R52" s="211" t="s">
        <v>41</v>
      </c>
      <c r="S52" s="159"/>
      <c r="T52" s="155"/>
      <c r="U52" s="159"/>
      <c r="V52" s="155"/>
      <c r="W52" s="159"/>
      <c r="X52" s="155"/>
      <c r="Y52" s="24"/>
      <c r="Z52" s="203" t="s">
        <v>41</v>
      </c>
      <c r="AA52" s="205" t="s">
        <v>41</v>
      </c>
    </row>
    <row r="53">
      <c r="A53" s="1"/>
      <c r="B53" s="67" t="s">
        <v>174</v>
      </c>
      <c r="C53" s="437" t="s">
        <v>40</v>
      </c>
      <c r="D53" s="438" t="s">
        <v>41</v>
      </c>
      <c r="E53" s="439" t="s">
        <v>41</v>
      </c>
      <c r="F53" s="440" t="s">
        <v>41</v>
      </c>
      <c r="G53" s="440" t="s">
        <v>41</v>
      </c>
      <c r="H53" s="441">
        <v>4.0</v>
      </c>
      <c r="I53" s="442">
        <v>9.0</v>
      </c>
      <c r="J53" s="443">
        <v>5.0</v>
      </c>
      <c r="K53" s="444">
        <v>10.0</v>
      </c>
      <c r="L53" s="87">
        <v>828.0</v>
      </c>
      <c r="M53" s="97">
        <f>L53/60</f>
        <v>13.8</v>
      </c>
      <c r="N53" s="105">
        <f>60/L53</f>
        <v>0.07246376812</v>
      </c>
      <c r="O53" s="445" t="str">
        <f t="shared" ref="O53:O55" si="2">IFS(OR(G53="-",ISBLANK(G53)),"-",G53&lt;1,"one-hit",G53&lt;=3,60/L53,OR(G53=4,G53=7,G53=9),"manual",G53&lt;7,2*60/L53,G53&lt;9,3*60/L53,G53&lt;=11,4*60/L53,G53&gt;11,"???")</f>
        <v>-</v>
      </c>
      <c r="P53" s="446">
        <f t="shared" ref="P53:P55" si="3">IFS(OR(K53="-",ISBLANK(K53)),"-",K53&lt;1,"one-hit",K53&lt;=3,60/L53,OR(K53=4,K53=7,K53=9),"manual",K53&lt;7,2*60/L53,K53&lt;9,3*60/L53,K53&lt;=11,4*60/L53,K53&gt;11,"???")</f>
        <v>0.2898550725</v>
      </c>
      <c r="Q53" s="237" t="s">
        <v>41</v>
      </c>
      <c r="R53" s="447" t="s">
        <v>41</v>
      </c>
      <c r="S53" s="90">
        <v>20.0</v>
      </c>
      <c r="T53" s="91"/>
      <c r="U53" s="131">
        <v>30.0</v>
      </c>
      <c r="V53" s="91"/>
      <c r="W53" s="134">
        <v>50.0</v>
      </c>
      <c r="X53" s="91"/>
      <c r="Y53" s="202">
        <v>1.97</v>
      </c>
      <c r="Z53" s="392" t="s">
        <v>41</v>
      </c>
      <c r="AA53" s="448" t="s">
        <v>41</v>
      </c>
    </row>
    <row r="54">
      <c r="A54" s="1"/>
      <c r="B54" s="253" t="s">
        <v>175</v>
      </c>
      <c r="C54" s="254" t="s">
        <v>40</v>
      </c>
      <c r="D54" s="422">
        <v>3.0</v>
      </c>
      <c r="E54" s="423">
        <v>6.0</v>
      </c>
      <c r="F54" s="424">
        <v>3.0</v>
      </c>
      <c r="G54" s="424">
        <v>7.0</v>
      </c>
      <c r="H54" s="258">
        <v>3.0</v>
      </c>
      <c r="I54" s="425">
        <v>6.0</v>
      </c>
      <c r="J54" s="426">
        <v>3.0</v>
      </c>
      <c r="K54" s="427">
        <v>8.0</v>
      </c>
      <c r="L54" s="428" t="s">
        <v>41</v>
      </c>
      <c r="M54" s="340" t="s">
        <v>41</v>
      </c>
      <c r="N54" s="341" t="s">
        <v>41</v>
      </c>
      <c r="O54" s="431" t="str">
        <f t="shared" si="2"/>
        <v>manual</v>
      </c>
      <c r="P54" s="436" t="str">
        <f t="shared" si="3"/>
        <v>#VALUE!</v>
      </c>
      <c r="Q54" s="433" t="s">
        <v>41</v>
      </c>
      <c r="R54" s="434" t="s">
        <v>41</v>
      </c>
      <c r="S54" s="267">
        <v>30.0</v>
      </c>
      <c r="T54" s="249"/>
      <c r="U54" s="249"/>
      <c r="V54" s="249"/>
      <c r="W54" s="249"/>
      <c r="X54" s="249"/>
      <c r="Y54" s="268" t="s">
        <v>41</v>
      </c>
      <c r="Z54" s="270" t="s">
        <v>41</v>
      </c>
      <c r="AA54" s="272" t="s">
        <v>41</v>
      </c>
    </row>
    <row r="55">
      <c r="A55" s="1"/>
      <c r="B55" s="253" t="s">
        <v>176</v>
      </c>
      <c r="C55" s="254" t="s">
        <v>40</v>
      </c>
      <c r="D55" s="422">
        <v>2.0</v>
      </c>
      <c r="E55" s="423">
        <v>5.0</v>
      </c>
      <c r="F55" s="424">
        <v>3.0</v>
      </c>
      <c r="G55" s="424">
        <v>6.0</v>
      </c>
      <c r="H55" s="258">
        <v>3.0</v>
      </c>
      <c r="I55" s="425">
        <v>5.0</v>
      </c>
      <c r="J55" s="426">
        <v>3.0</v>
      </c>
      <c r="K55" s="427">
        <v>6.0</v>
      </c>
      <c r="L55" s="428">
        <v>680.0</v>
      </c>
      <c r="M55" s="97">
        <f>L55/60</f>
        <v>11.33333333</v>
      </c>
      <c r="N55" s="105">
        <f>60/L55</f>
        <v>0.08823529412</v>
      </c>
      <c r="O55" s="431">
        <f t="shared" si="2"/>
        <v>0.1764705882</v>
      </c>
      <c r="P55" s="436">
        <f t="shared" si="3"/>
        <v>0.1764705882</v>
      </c>
      <c r="Q55" s="433" t="s">
        <v>41</v>
      </c>
      <c r="R55" s="434" t="s">
        <v>41</v>
      </c>
      <c r="S55" s="267">
        <v>20.0</v>
      </c>
      <c r="T55" s="249"/>
      <c r="U55" s="249"/>
      <c r="V55" s="369">
        <v>30.0</v>
      </c>
      <c r="W55" s="249"/>
      <c r="X55" s="249"/>
      <c r="Y55" s="268">
        <v>1.97</v>
      </c>
      <c r="Z55" s="270" t="s">
        <v>41</v>
      </c>
      <c r="AA55" s="272" t="s">
        <v>41</v>
      </c>
    </row>
    <row r="56">
      <c r="A56" s="1"/>
      <c r="B56" s="51" t="s">
        <v>177</v>
      </c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3"/>
    </row>
    <row r="57">
      <c r="A57" s="1"/>
      <c r="B57" s="296" t="s">
        <v>89</v>
      </c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300"/>
    </row>
    <row r="58">
      <c r="A58" s="1"/>
      <c r="B58" s="302" t="s">
        <v>178</v>
      </c>
      <c r="C58" s="303"/>
      <c r="D58" s="255" t="s">
        <v>41</v>
      </c>
      <c r="E58" s="256" t="s">
        <v>41</v>
      </c>
      <c r="F58" s="424" t="s">
        <v>41</v>
      </c>
      <c r="G58" s="424" t="s">
        <v>41</v>
      </c>
      <c r="H58" s="258">
        <v>2.0</v>
      </c>
      <c r="I58" s="259">
        <v>4.0</v>
      </c>
      <c r="J58" s="427">
        <v>3.0</v>
      </c>
      <c r="K58" s="427">
        <v>5.0</v>
      </c>
      <c r="L58" s="261">
        <v>588.0</v>
      </c>
      <c r="M58" s="377">
        <f t="shared" ref="M58:M59" si="4">L58/60</f>
        <v>9.8</v>
      </c>
      <c r="N58" s="378">
        <f t="shared" ref="N58:N59" si="5">60/L58</f>
        <v>0.1020408163</v>
      </c>
      <c r="O58" s="379" t="str">
        <f t="shared" ref="O58:O62" si="6">IFS(OR(G58="-",ISBLANK(G58)),"-",G58&lt;1,"one-hit",G58&lt;=3,60/L58,OR(G58=4,G58=7,G58=9),"manual",G58&lt;7,2*60/L58,G58&lt;9,3*60/L58,G58&lt;=11,4*60/L58,G58&gt;11,"???")</f>
        <v>-</v>
      </c>
      <c r="P58" s="449">
        <f t="shared" ref="P58:P62" si="7">IFS(OR(K58="-",ISBLANK(K58)),"-",K58&lt;1,"one-hit",K58&lt;=3,60/L58,OR(K58=4,K58=7,K58=9),"manual",K58&lt;7,2*60/L58,K58&lt;9,3*60/L58,K58&lt;=11,4*60/L58,K58&gt;11,"???")</f>
        <v>0.2040816327</v>
      </c>
      <c r="Q58" s="254" t="s">
        <v>41</v>
      </c>
      <c r="R58" s="266" t="s">
        <v>41</v>
      </c>
      <c r="S58" s="435">
        <v>50.0</v>
      </c>
      <c r="T58" s="249"/>
      <c r="U58" s="249"/>
      <c r="V58" s="249"/>
      <c r="W58" s="249"/>
      <c r="X58" s="303"/>
      <c r="Y58" s="268" t="s">
        <v>41</v>
      </c>
      <c r="Z58" s="270" t="s">
        <v>41</v>
      </c>
      <c r="AA58" s="307" t="s">
        <v>41</v>
      </c>
    </row>
    <row r="59">
      <c r="A59" s="1"/>
      <c r="B59" s="302" t="s">
        <v>179</v>
      </c>
      <c r="C59" s="303"/>
      <c r="D59" s="255" t="s">
        <v>41</v>
      </c>
      <c r="E59" s="256" t="s">
        <v>41</v>
      </c>
      <c r="F59" s="424" t="s">
        <v>41</v>
      </c>
      <c r="G59" s="424" t="s">
        <v>41</v>
      </c>
      <c r="H59" s="258">
        <v>2.0</v>
      </c>
      <c r="I59" s="259">
        <v>4.0</v>
      </c>
      <c r="J59" s="427">
        <v>2.0</v>
      </c>
      <c r="K59" s="427">
        <v>5.0</v>
      </c>
      <c r="L59" s="261">
        <v>588.0</v>
      </c>
      <c r="M59" s="377">
        <f t="shared" si="4"/>
        <v>9.8</v>
      </c>
      <c r="N59" s="378">
        <f t="shared" si="5"/>
        <v>0.1020408163</v>
      </c>
      <c r="O59" s="379" t="str">
        <f t="shared" si="6"/>
        <v>-</v>
      </c>
      <c r="P59" s="449">
        <f t="shared" si="7"/>
        <v>0.2040816327</v>
      </c>
      <c r="Q59" s="254" t="s">
        <v>41</v>
      </c>
      <c r="R59" s="266" t="s">
        <v>41</v>
      </c>
      <c r="S59" s="267">
        <v>20.0</v>
      </c>
      <c r="T59" s="249"/>
      <c r="U59" s="249"/>
      <c r="V59" s="249"/>
      <c r="W59" s="249"/>
      <c r="X59" s="303"/>
      <c r="Y59" s="268" t="s">
        <v>41</v>
      </c>
      <c r="Z59" s="270" t="s">
        <v>41</v>
      </c>
      <c r="AA59" s="307" t="s">
        <v>41</v>
      </c>
    </row>
    <row r="60">
      <c r="A60" s="1"/>
      <c r="B60" s="450" t="s">
        <v>180</v>
      </c>
      <c r="C60" s="303"/>
      <c r="D60" s="451" t="s">
        <v>32</v>
      </c>
      <c r="E60" s="303"/>
      <c r="F60" s="424" t="s">
        <v>41</v>
      </c>
      <c r="G60" s="424" t="s">
        <v>41</v>
      </c>
      <c r="H60" s="452" t="s">
        <v>32</v>
      </c>
      <c r="I60" s="303"/>
      <c r="J60" s="427">
        <v>3.0</v>
      </c>
      <c r="K60" s="427">
        <v>7.0</v>
      </c>
      <c r="L60" s="261" t="s">
        <v>41</v>
      </c>
      <c r="M60" s="453" t="s">
        <v>41</v>
      </c>
      <c r="N60" s="454" t="s">
        <v>41</v>
      </c>
      <c r="O60" s="379" t="str">
        <f t="shared" si="6"/>
        <v>-</v>
      </c>
      <c r="P60" s="449" t="str">
        <f t="shared" si="7"/>
        <v>manual</v>
      </c>
      <c r="Q60" s="254" t="s">
        <v>41</v>
      </c>
      <c r="R60" s="266" t="s">
        <v>41</v>
      </c>
      <c r="S60" s="435">
        <v>50.0</v>
      </c>
      <c r="T60" s="249"/>
      <c r="U60" s="249"/>
      <c r="V60" s="249"/>
      <c r="W60" s="249"/>
      <c r="X60" s="303"/>
      <c r="Y60" s="268" t="s">
        <v>41</v>
      </c>
      <c r="Z60" s="270" t="s">
        <v>41</v>
      </c>
      <c r="AA60" s="307" t="s">
        <v>41</v>
      </c>
    </row>
    <row r="61">
      <c r="A61" s="1"/>
      <c r="B61" s="400" t="s">
        <v>181</v>
      </c>
      <c r="C61" s="303"/>
      <c r="D61" s="255" t="s">
        <v>41</v>
      </c>
      <c r="E61" s="256" t="s">
        <v>41</v>
      </c>
      <c r="F61" s="455" t="s">
        <v>32</v>
      </c>
      <c r="G61" s="303"/>
      <c r="H61" s="456">
        <v>2.0</v>
      </c>
      <c r="I61" s="457">
        <v>5.0</v>
      </c>
      <c r="J61" s="458" t="s">
        <v>32</v>
      </c>
      <c r="K61" s="303"/>
      <c r="L61" s="261" t="s">
        <v>41</v>
      </c>
      <c r="M61" s="453" t="s">
        <v>41</v>
      </c>
      <c r="N61" s="454" t="s">
        <v>41</v>
      </c>
      <c r="O61" s="379" t="str">
        <f t="shared" si="6"/>
        <v>-</v>
      </c>
      <c r="P61" s="449" t="str">
        <f t="shared" si="7"/>
        <v>-</v>
      </c>
      <c r="Q61" s="254" t="s">
        <v>41</v>
      </c>
      <c r="R61" s="266" t="s">
        <v>41</v>
      </c>
      <c r="S61" s="369">
        <v>30.0</v>
      </c>
      <c r="T61" s="249"/>
      <c r="U61" s="249"/>
      <c r="V61" s="249"/>
      <c r="W61" s="249"/>
      <c r="X61" s="303"/>
      <c r="Y61" s="268" t="s">
        <v>41</v>
      </c>
      <c r="Z61" s="270" t="s">
        <v>41</v>
      </c>
      <c r="AA61" s="307" t="s">
        <v>41</v>
      </c>
    </row>
    <row r="62">
      <c r="A62" s="1"/>
      <c r="B62" s="302" t="s">
        <v>182</v>
      </c>
      <c r="C62" s="303"/>
      <c r="D62" s="451" t="s">
        <v>32</v>
      </c>
      <c r="E62" s="303"/>
      <c r="F62" s="424" t="s">
        <v>41</v>
      </c>
      <c r="G62" s="424" t="s">
        <v>41</v>
      </c>
      <c r="H62" s="452" t="s">
        <v>32</v>
      </c>
      <c r="I62" s="303"/>
      <c r="J62" s="427">
        <v>3.0</v>
      </c>
      <c r="K62" s="427">
        <v>6.0</v>
      </c>
      <c r="L62" s="261" t="s">
        <v>41</v>
      </c>
      <c r="M62" s="453" t="s">
        <v>41</v>
      </c>
      <c r="N62" s="454" t="s">
        <v>41</v>
      </c>
      <c r="O62" s="379" t="str">
        <f t="shared" si="6"/>
        <v>-</v>
      </c>
      <c r="P62" s="449" t="str">
        <f t="shared" si="7"/>
        <v>#VALUE!</v>
      </c>
      <c r="Q62" s="254" t="s">
        <v>41</v>
      </c>
      <c r="R62" s="266" t="s">
        <v>41</v>
      </c>
      <c r="S62" s="369">
        <v>30.0</v>
      </c>
      <c r="T62" s="249"/>
      <c r="U62" s="249"/>
      <c r="V62" s="249"/>
      <c r="W62" s="249"/>
      <c r="X62" s="303"/>
      <c r="Y62" s="268" t="s">
        <v>41</v>
      </c>
      <c r="Z62" s="270" t="s">
        <v>41</v>
      </c>
      <c r="AA62" s="307" t="s">
        <v>41</v>
      </c>
    </row>
    <row r="63">
      <c r="A63" s="1"/>
      <c r="B63" s="296" t="s">
        <v>67</v>
      </c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300"/>
    </row>
    <row r="64">
      <c r="A64" s="1"/>
      <c r="B64" s="459" t="s">
        <v>183</v>
      </c>
      <c r="C64" s="303"/>
      <c r="D64" s="362"/>
      <c r="E64" s="363"/>
      <c r="F64" s="384"/>
      <c r="G64" s="385"/>
      <c r="H64" s="364">
        <v>2.0</v>
      </c>
      <c r="I64" s="365">
        <v>5.0</v>
      </c>
      <c r="J64" s="387">
        <v>3.0</v>
      </c>
      <c r="K64" s="388">
        <v>6.0</v>
      </c>
      <c r="L64" s="261" t="s">
        <v>41</v>
      </c>
      <c r="M64" s="453" t="s">
        <v>41</v>
      </c>
      <c r="N64" s="454" t="s">
        <v>41</v>
      </c>
      <c r="O64" s="379" t="str">
        <f t="shared" ref="O64:O67" si="8">IFS(OR(G64="-",ISBLANK(G64)),"-",G64&lt;1,"one-hit",G64&lt;=3,60/L64,OR(G64=4,G64=7,G64=9),"manual",G64&lt;7,2*60/L64,G64&lt;9,3*60/L64,G64&lt;=11,4*60/L64,G64&gt;11,"???")</f>
        <v>-</v>
      </c>
      <c r="P64" s="449"/>
      <c r="Q64" s="254" t="s">
        <v>41</v>
      </c>
      <c r="R64" s="266" t="s">
        <v>41</v>
      </c>
      <c r="S64" s="435">
        <v>50.0</v>
      </c>
      <c r="T64" s="249"/>
      <c r="U64" s="249"/>
      <c r="V64" s="249"/>
      <c r="W64" s="249"/>
      <c r="X64" s="303"/>
      <c r="Y64" s="268" t="s">
        <v>41</v>
      </c>
      <c r="Z64" s="270" t="s">
        <v>41</v>
      </c>
      <c r="AA64" s="307" t="s">
        <v>41</v>
      </c>
    </row>
    <row r="65">
      <c r="A65" s="1"/>
      <c r="B65" s="459" t="s">
        <v>184</v>
      </c>
      <c r="C65" s="303"/>
      <c r="D65" s="362"/>
      <c r="E65" s="363"/>
      <c r="F65" s="384"/>
      <c r="G65" s="385"/>
      <c r="H65" s="364">
        <v>3.0</v>
      </c>
      <c r="I65" s="365">
        <v>6.0</v>
      </c>
      <c r="J65" s="387">
        <v>3.0</v>
      </c>
      <c r="K65" s="388">
        <v>7.0</v>
      </c>
      <c r="L65" s="261" t="s">
        <v>41</v>
      </c>
      <c r="M65" s="453" t="s">
        <v>41</v>
      </c>
      <c r="N65" s="454" t="s">
        <v>41</v>
      </c>
      <c r="O65" s="379" t="str">
        <f t="shared" si="8"/>
        <v>-</v>
      </c>
      <c r="P65" s="449"/>
      <c r="Q65" s="254" t="s">
        <v>41</v>
      </c>
      <c r="R65" s="266" t="s">
        <v>41</v>
      </c>
      <c r="S65" s="369">
        <v>30.0</v>
      </c>
      <c r="T65" s="249"/>
      <c r="U65" s="249"/>
      <c r="V65" s="249"/>
      <c r="W65" s="249"/>
      <c r="X65" s="303"/>
      <c r="Y65" s="268" t="s">
        <v>41</v>
      </c>
      <c r="Z65" s="270" t="s">
        <v>41</v>
      </c>
      <c r="AA65" s="307" t="s">
        <v>41</v>
      </c>
    </row>
    <row r="66">
      <c r="A66" s="1"/>
      <c r="B66" s="361" t="s">
        <v>185</v>
      </c>
      <c r="C66" s="303"/>
      <c r="D66" s="362"/>
      <c r="E66" s="363"/>
      <c r="F66" s="460" t="s">
        <v>32</v>
      </c>
      <c r="G66" s="303"/>
      <c r="H66" s="364">
        <v>3.0</v>
      </c>
      <c r="I66" s="365">
        <v>5.0</v>
      </c>
      <c r="J66" s="461" t="s">
        <v>32</v>
      </c>
      <c r="K66" s="303"/>
      <c r="L66" s="261" t="s">
        <v>41</v>
      </c>
      <c r="M66" s="453" t="s">
        <v>41</v>
      </c>
      <c r="N66" s="454" t="s">
        <v>41</v>
      </c>
      <c r="O66" s="379" t="str">
        <f t="shared" si="8"/>
        <v>-</v>
      </c>
      <c r="P66" s="449"/>
      <c r="Q66" s="254" t="s">
        <v>41</v>
      </c>
      <c r="R66" s="266" t="s">
        <v>41</v>
      </c>
      <c r="S66" s="369">
        <v>30.0</v>
      </c>
      <c r="T66" s="249"/>
      <c r="U66" s="249"/>
      <c r="V66" s="249"/>
      <c r="W66" s="249"/>
      <c r="X66" s="303"/>
      <c r="Y66" s="268" t="s">
        <v>41</v>
      </c>
      <c r="Z66" s="270" t="s">
        <v>41</v>
      </c>
      <c r="AA66" s="307" t="s">
        <v>41</v>
      </c>
    </row>
    <row r="67">
      <c r="A67" s="1"/>
      <c r="B67" s="417" t="s">
        <v>186</v>
      </c>
      <c r="C67" s="303"/>
      <c r="D67" s="362"/>
      <c r="E67" s="363"/>
      <c r="F67" s="384"/>
      <c r="G67" s="385"/>
      <c r="H67" s="364">
        <v>3.0</v>
      </c>
      <c r="I67" s="365">
        <v>6.0</v>
      </c>
      <c r="J67" s="387">
        <v>3.0</v>
      </c>
      <c r="K67" s="388">
        <v>7.0</v>
      </c>
      <c r="L67" s="261" t="s">
        <v>41</v>
      </c>
      <c r="M67" s="453" t="s">
        <v>41</v>
      </c>
      <c r="N67" s="454" t="s">
        <v>41</v>
      </c>
      <c r="O67" s="379" t="str">
        <f t="shared" si="8"/>
        <v>-</v>
      </c>
      <c r="P67" s="449"/>
      <c r="Q67" s="254" t="s">
        <v>41</v>
      </c>
      <c r="R67" s="266" t="s">
        <v>41</v>
      </c>
      <c r="S67" s="369">
        <v>30.0</v>
      </c>
      <c r="T67" s="249"/>
      <c r="U67" s="249"/>
      <c r="V67" s="249"/>
      <c r="W67" s="249"/>
      <c r="X67" s="303"/>
      <c r="Y67" s="268" t="s">
        <v>41</v>
      </c>
      <c r="Z67" s="270" t="s">
        <v>41</v>
      </c>
      <c r="AA67" s="307" t="s">
        <v>41</v>
      </c>
    </row>
    <row r="68">
      <c r="A68" s="1"/>
      <c r="B68" s="302" t="s">
        <v>110</v>
      </c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249"/>
      <c r="W68" s="249"/>
      <c r="X68" s="249"/>
      <c r="Y68" s="249"/>
      <c r="Z68" s="249"/>
      <c r="AA68" s="249"/>
    </row>
    <row r="69">
      <c r="A69" s="1"/>
      <c r="B69" s="462" t="s">
        <v>187</v>
      </c>
      <c r="C69" s="155"/>
      <c r="D69" s="178">
        <v>2.0</v>
      </c>
      <c r="E69" s="396">
        <v>5.0</v>
      </c>
      <c r="F69" s="463">
        <v>3.0</v>
      </c>
      <c r="G69" s="463">
        <v>6.0</v>
      </c>
      <c r="H69" s="397">
        <v>3.0</v>
      </c>
      <c r="I69" s="398">
        <v>5.0</v>
      </c>
      <c r="J69" s="464">
        <v>3.0</v>
      </c>
      <c r="K69" s="464">
        <v>6.0</v>
      </c>
      <c r="L69" s="350">
        <v>828.0</v>
      </c>
      <c r="M69" s="465">
        <f>L69/60</f>
        <v>13.8</v>
      </c>
      <c r="N69" s="466">
        <f>60/L69</f>
        <v>0.07246376812</v>
      </c>
      <c r="O69" s="467">
        <f>IFS(OR(G69="-",ISBLANK(G69)),"-",G69&lt;1,"one-hit",G69&lt;=3,60/L69,OR(G69=4,G69=7,G69=9),"manual",G69&lt;7,2*60/L69,G69&lt;9,3*60/L69,G69&lt;=11,4*60/L69,G69&gt;11,"???")</f>
        <v>0.1449275362</v>
      </c>
      <c r="P69" s="468">
        <f>IFS(OR(K69="-",ISBLANK(K69)),"-",K69&lt;1,"one-hit",K69&lt;=3,60/L69,OR(K69=4,K69=7,K69=9),"manual",K69&lt;7,2*60/L69,K69&lt;9,3*60/L69,K69&lt;=11,4*60/L69,K69&gt;11,"???")</f>
        <v>0.1449275362</v>
      </c>
      <c r="Q69" s="469" t="s">
        <v>41</v>
      </c>
      <c r="R69" s="355" t="s">
        <v>41</v>
      </c>
      <c r="S69" s="470">
        <v>30.0</v>
      </c>
      <c r="T69" s="160"/>
      <c r="U69" s="160"/>
      <c r="V69" s="160"/>
      <c r="W69" s="160"/>
      <c r="X69" s="155"/>
      <c r="Y69" s="357">
        <v>1.97</v>
      </c>
      <c r="Z69" s="358" t="s">
        <v>41</v>
      </c>
      <c r="AA69" s="359" t="s">
        <v>41</v>
      </c>
    </row>
    <row r="70">
      <c r="A70" s="1"/>
      <c r="B70" s="302" t="s">
        <v>149</v>
      </c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249"/>
      <c r="W70" s="249"/>
      <c r="X70" s="249"/>
      <c r="Y70" s="249"/>
      <c r="Z70" s="249"/>
      <c r="AA70" s="338"/>
    </row>
    <row r="71">
      <c r="A71" s="1"/>
      <c r="B71" s="391" t="s">
        <v>188</v>
      </c>
      <c r="C71" s="303"/>
      <c r="D71" s="418"/>
      <c r="E71" s="419"/>
      <c r="F71" s="420"/>
      <c r="G71" s="421"/>
      <c r="H71" s="471" t="s">
        <v>41</v>
      </c>
      <c r="I71" s="472" t="s">
        <v>41</v>
      </c>
      <c r="J71" s="473" t="s">
        <v>41</v>
      </c>
      <c r="K71" s="474" t="s">
        <v>41</v>
      </c>
      <c r="L71" s="261"/>
      <c r="M71" s="453"/>
      <c r="N71" s="454"/>
      <c r="O71" s="379"/>
      <c r="P71" s="449"/>
      <c r="Q71" s="254"/>
      <c r="R71" s="266"/>
      <c r="S71" s="369">
        <v>30.0</v>
      </c>
      <c r="T71" s="249"/>
      <c r="U71" s="249"/>
      <c r="V71" s="249"/>
      <c r="W71" s="249"/>
      <c r="X71" s="303"/>
      <c r="Y71" s="268"/>
      <c r="Z71" s="270"/>
      <c r="AA71" s="307"/>
    </row>
    <row r="72">
      <c r="A72" s="1"/>
      <c r="B72" s="475" t="s">
        <v>189</v>
      </c>
      <c r="C72" s="303"/>
      <c r="D72" s="418"/>
      <c r="E72" s="419"/>
      <c r="F72" s="420"/>
      <c r="G72" s="421"/>
      <c r="H72" s="471">
        <v>3.0</v>
      </c>
      <c r="I72" s="472">
        <v>6.0</v>
      </c>
      <c r="J72" s="473">
        <v>3.0</v>
      </c>
      <c r="K72" s="474">
        <v>7.0</v>
      </c>
      <c r="L72" s="261"/>
      <c r="M72" s="453"/>
      <c r="N72" s="454"/>
      <c r="O72" s="379"/>
      <c r="P72" s="449"/>
      <c r="Q72" s="254"/>
      <c r="R72" s="266"/>
      <c r="S72" s="369">
        <v>30.0</v>
      </c>
      <c r="T72" s="249"/>
      <c r="U72" s="249"/>
      <c r="V72" s="249"/>
      <c r="W72" s="249"/>
      <c r="X72" s="303"/>
      <c r="Y72" s="268"/>
      <c r="Z72" s="270"/>
      <c r="AA72" s="307"/>
    </row>
    <row r="73">
      <c r="A73" s="1"/>
      <c r="B73" s="391" t="s">
        <v>190</v>
      </c>
      <c r="C73" s="303"/>
      <c r="D73" s="418"/>
      <c r="E73" s="419"/>
      <c r="F73" s="420"/>
      <c r="G73" s="421"/>
      <c r="H73" s="471">
        <v>4.0</v>
      </c>
      <c r="I73" s="472">
        <v>9.0</v>
      </c>
      <c r="J73" s="473">
        <v>5.0</v>
      </c>
      <c r="K73" s="474">
        <v>10.0</v>
      </c>
      <c r="L73" s="261"/>
      <c r="M73" s="453"/>
      <c r="N73" s="454"/>
      <c r="O73" s="379"/>
      <c r="P73" s="449"/>
      <c r="Q73" s="254"/>
      <c r="R73" s="266"/>
      <c r="S73" s="267">
        <v>20.0</v>
      </c>
      <c r="T73" s="249"/>
      <c r="U73" s="249"/>
      <c r="V73" s="249"/>
      <c r="W73" s="249"/>
      <c r="X73" s="303"/>
      <c r="Y73" s="268"/>
      <c r="Z73" s="270"/>
      <c r="AA73" s="307"/>
    </row>
    <row r="74">
      <c r="A74" s="1"/>
      <c r="B74" s="476" t="s">
        <v>191</v>
      </c>
      <c r="C74" s="303"/>
      <c r="D74" s="418"/>
      <c r="E74" s="419"/>
      <c r="F74" s="420"/>
      <c r="G74" s="421"/>
      <c r="H74" s="471">
        <v>3.0</v>
      </c>
      <c r="I74" s="472">
        <v>6.0</v>
      </c>
      <c r="J74" s="473">
        <v>3.0</v>
      </c>
      <c r="K74" s="474">
        <v>7.0</v>
      </c>
      <c r="L74" s="261"/>
      <c r="M74" s="453"/>
      <c r="N74" s="454"/>
      <c r="O74" s="379"/>
      <c r="P74" s="449"/>
      <c r="Q74" s="254"/>
      <c r="R74" s="266"/>
      <c r="S74" s="369">
        <v>30.0</v>
      </c>
      <c r="T74" s="249"/>
      <c r="U74" s="249"/>
      <c r="V74" s="249"/>
      <c r="W74" s="249"/>
      <c r="X74" s="303"/>
      <c r="Y74" s="268"/>
      <c r="Z74" s="270"/>
      <c r="AA74" s="307"/>
    </row>
    <row r="75">
      <c r="A75" s="1"/>
      <c r="B75" s="391" t="s">
        <v>73</v>
      </c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249"/>
      <c r="X75" s="249"/>
      <c r="Y75" s="249"/>
      <c r="Z75" s="249"/>
      <c r="AA75" s="338"/>
    </row>
    <row r="76">
      <c r="A76" s="1"/>
      <c r="B76" s="367" t="s">
        <v>192</v>
      </c>
      <c r="C76" s="303"/>
      <c r="D76" s="362"/>
      <c r="E76" s="363"/>
      <c r="F76" s="384"/>
      <c r="G76" s="385"/>
      <c r="H76" s="364">
        <v>3.0</v>
      </c>
      <c r="I76" s="365">
        <v>6.0</v>
      </c>
      <c r="J76" s="387">
        <v>4.0</v>
      </c>
      <c r="K76" s="388">
        <v>8.0</v>
      </c>
      <c r="L76" s="261" t="s">
        <v>41</v>
      </c>
      <c r="M76" s="453" t="s">
        <v>41</v>
      </c>
      <c r="N76" s="454" t="s">
        <v>41</v>
      </c>
      <c r="O76" s="379" t="str">
        <f t="shared" ref="O76:O87" si="9">IFS(OR(G76="-",ISBLANK(G76)),"-",G76&lt;1,"one-hit",G76&lt;=3,60/L76,OR(G76=4,G76=7,G76=9),"manual",G76&lt;7,2*60/L76,G76&lt;9,3*60/L76,G76&lt;=11,4*60/L76,G76&gt;11,"???")</f>
        <v>-</v>
      </c>
      <c r="P76" s="449"/>
      <c r="Q76" s="254" t="s">
        <v>41</v>
      </c>
      <c r="R76" s="266" t="s">
        <v>41</v>
      </c>
      <c r="S76" s="369">
        <v>30.0</v>
      </c>
      <c r="T76" s="249"/>
      <c r="U76" s="249"/>
      <c r="V76" s="249"/>
      <c r="W76" s="249"/>
      <c r="X76" s="303"/>
      <c r="Y76" s="268" t="s">
        <v>41</v>
      </c>
      <c r="Z76" s="270" t="s">
        <v>41</v>
      </c>
      <c r="AA76" s="307" t="s">
        <v>41</v>
      </c>
    </row>
    <row r="77">
      <c r="A77" s="1"/>
      <c r="B77" s="404" t="s">
        <v>193</v>
      </c>
      <c r="C77" s="303"/>
      <c r="D77" s="362"/>
      <c r="E77" s="363"/>
      <c r="F77" s="384"/>
      <c r="G77" s="385"/>
      <c r="H77" s="364">
        <v>3.0</v>
      </c>
      <c r="I77" s="365">
        <v>6.0</v>
      </c>
      <c r="J77" s="387">
        <v>3.0</v>
      </c>
      <c r="K77" s="388">
        <v>7.0</v>
      </c>
      <c r="L77" s="261" t="s">
        <v>41</v>
      </c>
      <c r="M77" s="453" t="s">
        <v>41</v>
      </c>
      <c r="N77" s="454" t="s">
        <v>41</v>
      </c>
      <c r="O77" s="379" t="str">
        <f t="shared" si="9"/>
        <v>-</v>
      </c>
      <c r="P77" s="449"/>
      <c r="Q77" s="254" t="s">
        <v>41</v>
      </c>
      <c r="R77" s="266" t="s">
        <v>41</v>
      </c>
      <c r="S77" s="435">
        <v>50.0</v>
      </c>
      <c r="T77" s="249"/>
      <c r="U77" s="249"/>
      <c r="V77" s="249"/>
      <c r="W77" s="249"/>
      <c r="X77" s="303"/>
      <c r="Y77" s="268" t="s">
        <v>41</v>
      </c>
      <c r="Z77" s="270" t="s">
        <v>41</v>
      </c>
      <c r="AA77" s="307" t="s">
        <v>41</v>
      </c>
    </row>
    <row r="78">
      <c r="A78" s="1"/>
      <c r="B78" s="367" t="s">
        <v>194</v>
      </c>
      <c r="C78" s="303"/>
      <c r="D78" s="362"/>
      <c r="E78" s="363"/>
      <c r="F78" s="384"/>
      <c r="G78" s="385"/>
      <c r="H78" s="364">
        <v>3.0</v>
      </c>
      <c r="I78" s="365">
        <v>6.0</v>
      </c>
      <c r="J78" s="387">
        <v>3.0</v>
      </c>
      <c r="K78" s="388">
        <v>7.0</v>
      </c>
      <c r="L78" s="261" t="s">
        <v>41</v>
      </c>
      <c r="M78" s="453" t="s">
        <v>41</v>
      </c>
      <c r="N78" s="454" t="s">
        <v>41</v>
      </c>
      <c r="O78" s="379" t="str">
        <f t="shared" si="9"/>
        <v>-</v>
      </c>
      <c r="P78" s="449"/>
      <c r="Q78" s="254" t="s">
        <v>41</v>
      </c>
      <c r="R78" s="266" t="s">
        <v>41</v>
      </c>
      <c r="S78" s="369">
        <v>30.0</v>
      </c>
      <c r="T78" s="249"/>
      <c r="U78" s="249"/>
      <c r="V78" s="249"/>
      <c r="W78" s="249"/>
      <c r="X78" s="303"/>
      <c r="Y78" s="268" t="s">
        <v>41</v>
      </c>
      <c r="Z78" s="270" t="s">
        <v>41</v>
      </c>
      <c r="AA78" s="307" t="s">
        <v>41</v>
      </c>
    </row>
    <row r="79">
      <c r="A79" s="1"/>
      <c r="B79" s="367" t="s">
        <v>195</v>
      </c>
      <c r="C79" s="303"/>
      <c r="D79" s="362"/>
      <c r="E79" s="363"/>
      <c r="F79" s="384"/>
      <c r="G79" s="385"/>
      <c r="H79" s="364">
        <v>3.0</v>
      </c>
      <c r="I79" s="365">
        <v>7.0</v>
      </c>
      <c r="J79" s="387">
        <v>4.0</v>
      </c>
      <c r="K79" s="388">
        <v>9.0</v>
      </c>
      <c r="L79" s="261" t="s">
        <v>41</v>
      </c>
      <c r="M79" s="453" t="s">
        <v>41</v>
      </c>
      <c r="N79" s="454" t="s">
        <v>41</v>
      </c>
      <c r="O79" s="379" t="str">
        <f t="shared" si="9"/>
        <v>-</v>
      </c>
      <c r="P79" s="449"/>
      <c r="Q79" s="254" t="s">
        <v>41</v>
      </c>
      <c r="R79" s="266" t="s">
        <v>41</v>
      </c>
      <c r="S79" s="267">
        <v>20.0</v>
      </c>
      <c r="T79" s="249"/>
      <c r="U79" s="249"/>
      <c r="V79" s="249"/>
      <c r="W79" s="249"/>
      <c r="X79" s="303"/>
      <c r="Y79" s="268" t="s">
        <v>41</v>
      </c>
      <c r="Z79" s="270" t="s">
        <v>41</v>
      </c>
      <c r="AA79" s="307" t="s">
        <v>41</v>
      </c>
    </row>
    <row r="80">
      <c r="A80" s="1"/>
      <c r="B80" s="367" t="s">
        <v>196</v>
      </c>
      <c r="C80" s="303"/>
      <c r="D80" s="477" t="s">
        <v>32</v>
      </c>
      <c r="E80" s="303"/>
      <c r="F80" s="385"/>
      <c r="G80" s="385"/>
      <c r="H80" s="402" t="s">
        <v>32</v>
      </c>
      <c r="I80" s="303"/>
      <c r="J80" s="388">
        <v>3.0</v>
      </c>
      <c r="K80" s="388">
        <v>7.0</v>
      </c>
      <c r="L80" s="261" t="s">
        <v>41</v>
      </c>
      <c r="M80" s="453" t="s">
        <v>41</v>
      </c>
      <c r="N80" s="454" t="s">
        <v>41</v>
      </c>
      <c r="O80" s="379" t="str">
        <f t="shared" si="9"/>
        <v>-</v>
      </c>
      <c r="P80" s="449"/>
      <c r="Q80" s="254" t="s">
        <v>41</v>
      </c>
      <c r="R80" s="266" t="s">
        <v>41</v>
      </c>
      <c r="S80" s="369">
        <v>30.0</v>
      </c>
      <c r="T80" s="249"/>
      <c r="U80" s="249"/>
      <c r="V80" s="249"/>
      <c r="W80" s="249"/>
      <c r="X80" s="303"/>
      <c r="Y80" s="268" t="s">
        <v>41</v>
      </c>
      <c r="Z80" s="270" t="s">
        <v>41</v>
      </c>
      <c r="AA80" s="307" t="s">
        <v>41</v>
      </c>
    </row>
    <row r="81">
      <c r="A81" s="1"/>
      <c r="B81" s="367" t="s">
        <v>197</v>
      </c>
      <c r="C81" s="303"/>
      <c r="D81" s="362"/>
      <c r="E81" s="363"/>
      <c r="F81" s="384"/>
      <c r="G81" s="385"/>
      <c r="H81" s="364">
        <v>3.0</v>
      </c>
      <c r="I81" s="365">
        <v>6.0</v>
      </c>
      <c r="J81" s="387">
        <v>3.0</v>
      </c>
      <c r="K81" s="388">
        <v>7.0</v>
      </c>
      <c r="L81" s="261" t="s">
        <v>41</v>
      </c>
      <c r="M81" s="453" t="s">
        <v>41</v>
      </c>
      <c r="N81" s="454" t="s">
        <v>41</v>
      </c>
      <c r="O81" s="379" t="str">
        <f t="shared" si="9"/>
        <v>-</v>
      </c>
      <c r="P81" s="449"/>
      <c r="Q81" s="254" t="s">
        <v>41</v>
      </c>
      <c r="R81" s="266" t="s">
        <v>41</v>
      </c>
      <c r="S81" s="369">
        <v>30.0</v>
      </c>
      <c r="T81" s="249"/>
      <c r="U81" s="249"/>
      <c r="V81" s="249"/>
      <c r="W81" s="249"/>
      <c r="X81" s="303"/>
      <c r="Y81" s="268" t="s">
        <v>41</v>
      </c>
      <c r="Z81" s="270" t="s">
        <v>41</v>
      </c>
      <c r="AA81" s="307" t="s">
        <v>41</v>
      </c>
    </row>
    <row r="82">
      <c r="A82" s="1"/>
      <c r="B82" s="367" t="s">
        <v>198</v>
      </c>
      <c r="C82" s="303"/>
      <c r="D82" s="477" t="s">
        <v>32</v>
      </c>
      <c r="E82" s="303"/>
      <c r="F82" s="385"/>
      <c r="G82" s="385"/>
      <c r="H82" s="402" t="s">
        <v>32</v>
      </c>
      <c r="I82" s="303"/>
      <c r="J82" s="388">
        <v>3.0</v>
      </c>
      <c r="K82" s="388">
        <v>7.0</v>
      </c>
      <c r="L82" s="261" t="s">
        <v>41</v>
      </c>
      <c r="M82" s="453" t="s">
        <v>41</v>
      </c>
      <c r="N82" s="454" t="s">
        <v>41</v>
      </c>
      <c r="O82" s="379" t="str">
        <f t="shared" si="9"/>
        <v>-</v>
      </c>
      <c r="P82" s="449"/>
      <c r="Q82" s="254" t="s">
        <v>41</v>
      </c>
      <c r="R82" s="266" t="s">
        <v>41</v>
      </c>
      <c r="S82" s="435">
        <v>50.0</v>
      </c>
      <c r="T82" s="249"/>
      <c r="U82" s="249"/>
      <c r="V82" s="249"/>
      <c r="W82" s="249"/>
      <c r="X82" s="303"/>
      <c r="Y82" s="268" t="s">
        <v>41</v>
      </c>
      <c r="Z82" s="270" t="s">
        <v>41</v>
      </c>
      <c r="AA82" s="307" t="s">
        <v>41</v>
      </c>
    </row>
    <row r="83">
      <c r="A83" s="1"/>
      <c r="B83" s="367" t="s">
        <v>199</v>
      </c>
      <c r="C83" s="303"/>
      <c r="D83" s="362"/>
      <c r="E83" s="363"/>
      <c r="F83" s="384"/>
      <c r="G83" s="385"/>
      <c r="H83" s="364">
        <v>2.0</v>
      </c>
      <c r="I83" s="365">
        <v>5.0</v>
      </c>
      <c r="J83" s="387">
        <v>3.0</v>
      </c>
      <c r="K83" s="388">
        <v>6.0</v>
      </c>
      <c r="L83" s="261" t="s">
        <v>41</v>
      </c>
      <c r="M83" s="453" t="s">
        <v>41</v>
      </c>
      <c r="N83" s="454" t="s">
        <v>41</v>
      </c>
      <c r="O83" s="379" t="str">
        <f t="shared" si="9"/>
        <v>-</v>
      </c>
      <c r="P83" s="449"/>
      <c r="Q83" s="254" t="s">
        <v>41</v>
      </c>
      <c r="R83" s="266" t="s">
        <v>41</v>
      </c>
      <c r="S83" s="267">
        <v>20.0</v>
      </c>
      <c r="T83" s="249"/>
      <c r="U83" s="249"/>
      <c r="V83" s="249"/>
      <c r="W83" s="249"/>
      <c r="X83" s="303"/>
      <c r="Y83" s="268" t="s">
        <v>41</v>
      </c>
      <c r="Z83" s="270" t="s">
        <v>41</v>
      </c>
      <c r="AA83" s="307" t="s">
        <v>41</v>
      </c>
    </row>
    <row r="84">
      <c r="A84" s="1"/>
      <c r="B84" s="367" t="s">
        <v>200</v>
      </c>
      <c r="C84" s="303"/>
      <c r="D84" s="362"/>
      <c r="E84" s="363"/>
      <c r="F84" s="384"/>
      <c r="G84" s="385"/>
      <c r="H84" s="364">
        <v>2.0</v>
      </c>
      <c r="I84" s="365">
        <v>4.0</v>
      </c>
      <c r="J84" s="387">
        <v>2.0</v>
      </c>
      <c r="K84" s="388">
        <v>5.0</v>
      </c>
      <c r="L84" s="261" t="s">
        <v>41</v>
      </c>
      <c r="M84" s="453" t="s">
        <v>41</v>
      </c>
      <c r="N84" s="454" t="s">
        <v>41</v>
      </c>
      <c r="O84" s="379" t="str">
        <f t="shared" si="9"/>
        <v>-</v>
      </c>
      <c r="P84" s="449"/>
      <c r="Q84" s="254" t="s">
        <v>41</v>
      </c>
      <c r="R84" s="266" t="s">
        <v>41</v>
      </c>
      <c r="S84" s="267">
        <v>20.0</v>
      </c>
      <c r="T84" s="249"/>
      <c r="U84" s="249"/>
      <c r="V84" s="249"/>
      <c r="W84" s="249"/>
      <c r="X84" s="303"/>
      <c r="Y84" s="268" t="s">
        <v>41</v>
      </c>
      <c r="Z84" s="270" t="s">
        <v>41</v>
      </c>
      <c r="AA84" s="307" t="s">
        <v>41</v>
      </c>
    </row>
    <row r="85">
      <c r="A85" s="1"/>
      <c r="B85" s="367" t="s">
        <v>201</v>
      </c>
      <c r="C85" s="303"/>
      <c r="D85" s="362"/>
      <c r="E85" s="363"/>
      <c r="F85" s="384"/>
      <c r="G85" s="385"/>
      <c r="H85" s="364">
        <v>3.0</v>
      </c>
      <c r="I85" s="365">
        <v>6.0</v>
      </c>
      <c r="J85" s="387">
        <v>3.0</v>
      </c>
      <c r="K85" s="388">
        <v>7.0</v>
      </c>
      <c r="L85" s="261" t="s">
        <v>41</v>
      </c>
      <c r="M85" s="453" t="s">
        <v>41</v>
      </c>
      <c r="N85" s="454" t="s">
        <v>41</v>
      </c>
      <c r="O85" s="379" t="str">
        <f t="shared" si="9"/>
        <v>-</v>
      </c>
      <c r="P85" s="449"/>
      <c r="Q85" s="254" t="s">
        <v>41</v>
      </c>
      <c r="R85" s="266" t="s">
        <v>41</v>
      </c>
      <c r="S85" s="369">
        <v>30.0</v>
      </c>
      <c r="T85" s="249"/>
      <c r="U85" s="249"/>
      <c r="V85" s="249"/>
      <c r="W85" s="249"/>
      <c r="X85" s="303"/>
      <c r="Y85" s="268" t="s">
        <v>41</v>
      </c>
      <c r="Z85" s="270" t="s">
        <v>41</v>
      </c>
      <c r="AA85" s="307" t="s">
        <v>41</v>
      </c>
    </row>
    <row r="86">
      <c r="A86" s="1"/>
      <c r="B86" s="367" t="s">
        <v>202</v>
      </c>
      <c r="C86" s="303"/>
      <c r="D86" s="362"/>
      <c r="E86" s="363"/>
      <c r="F86" s="384"/>
      <c r="G86" s="385"/>
      <c r="H86" s="364">
        <v>3.0</v>
      </c>
      <c r="I86" s="365">
        <v>7.0</v>
      </c>
      <c r="J86" s="387">
        <v>4.0</v>
      </c>
      <c r="K86" s="388">
        <v>9.0</v>
      </c>
      <c r="L86" s="261" t="s">
        <v>41</v>
      </c>
      <c r="M86" s="453" t="s">
        <v>41</v>
      </c>
      <c r="N86" s="454" t="s">
        <v>41</v>
      </c>
      <c r="O86" s="379" t="str">
        <f t="shared" si="9"/>
        <v>-</v>
      </c>
      <c r="P86" s="449"/>
      <c r="Q86" s="254" t="s">
        <v>41</v>
      </c>
      <c r="R86" s="266" t="s">
        <v>41</v>
      </c>
      <c r="S86" s="369">
        <v>30.0</v>
      </c>
      <c r="T86" s="249"/>
      <c r="U86" s="249"/>
      <c r="V86" s="249"/>
      <c r="W86" s="249"/>
      <c r="X86" s="303"/>
      <c r="Y86" s="268" t="s">
        <v>41</v>
      </c>
      <c r="Z86" s="270" t="s">
        <v>41</v>
      </c>
      <c r="AA86" s="307" t="s">
        <v>41</v>
      </c>
    </row>
    <row r="87">
      <c r="A87" s="1"/>
      <c r="B87" s="367" t="s">
        <v>203</v>
      </c>
      <c r="C87" s="303"/>
      <c r="D87" s="362"/>
      <c r="E87" s="363"/>
      <c r="F87" s="384"/>
      <c r="G87" s="385"/>
      <c r="H87" s="364">
        <v>3.0</v>
      </c>
      <c r="I87" s="365">
        <v>6.0</v>
      </c>
      <c r="J87" s="387">
        <v>4.0</v>
      </c>
      <c r="K87" s="388">
        <v>8.0</v>
      </c>
      <c r="L87" s="261" t="s">
        <v>41</v>
      </c>
      <c r="M87" s="453" t="s">
        <v>41</v>
      </c>
      <c r="N87" s="454" t="s">
        <v>41</v>
      </c>
      <c r="O87" s="379" t="str">
        <f t="shared" si="9"/>
        <v>-</v>
      </c>
      <c r="P87" s="449"/>
      <c r="Q87" s="254" t="s">
        <v>41</v>
      </c>
      <c r="R87" s="266" t="s">
        <v>41</v>
      </c>
      <c r="S87" s="267">
        <v>20.0</v>
      </c>
      <c r="T87" s="249"/>
      <c r="U87" s="249"/>
      <c r="V87" s="249"/>
      <c r="W87" s="249"/>
      <c r="X87" s="303"/>
      <c r="Y87" s="268" t="s">
        <v>41</v>
      </c>
      <c r="Z87" s="270" t="s">
        <v>41</v>
      </c>
      <c r="AA87" s="307" t="s">
        <v>41</v>
      </c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2"/>
      <c r="O88" s="3"/>
      <c r="P88" s="3"/>
      <c r="Q88" s="1"/>
      <c r="R88" s="1"/>
      <c r="S88" s="1"/>
      <c r="T88" s="1"/>
      <c r="U88" s="1"/>
      <c r="V88" s="1"/>
      <c r="W88" s="1"/>
      <c r="X88" s="1"/>
      <c r="Y88" s="3"/>
      <c r="Z88" s="3"/>
      <c r="AA88" s="3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2"/>
      <c r="O89" s="3"/>
      <c r="P89" s="3"/>
      <c r="Q89" s="1"/>
      <c r="R89" s="1"/>
      <c r="S89" s="1"/>
      <c r="T89" s="1"/>
      <c r="U89" s="1"/>
      <c r="V89" s="1"/>
      <c r="W89" s="1"/>
      <c r="X89" s="1"/>
      <c r="Y89" s="3"/>
      <c r="Z89" s="3"/>
      <c r="AA89" s="3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2"/>
      <c r="O90" s="3"/>
      <c r="P90" s="3"/>
      <c r="Q90" s="1"/>
      <c r="R90" s="1"/>
      <c r="S90" s="1"/>
      <c r="T90" s="1"/>
      <c r="U90" s="1"/>
      <c r="V90" s="1"/>
      <c r="W90" s="1"/>
      <c r="X90" s="1"/>
      <c r="Y90" s="3"/>
      <c r="Z90" s="3"/>
      <c r="AA90" s="3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2"/>
      <c r="O91" s="3"/>
      <c r="P91" s="3"/>
      <c r="Q91" s="1"/>
      <c r="R91" s="1"/>
      <c r="S91" s="1"/>
      <c r="T91" s="1"/>
      <c r="U91" s="1"/>
      <c r="V91" s="1"/>
      <c r="W91" s="1"/>
      <c r="X91" s="1"/>
      <c r="Y91" s="3"/>
      <c r="Z91" s="3"/>
      <c r="AA91" s="3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2"/>
      <c r="O92" s="3"/>
      <c r="P92" s="3"/>
      <c r="Q92" s="1"/>
      <c r="R92" s="1"/>
      <c r="S92" s="1"/>
      <c r="T92" s="1"/>
      <c r="U92" s="1"/>
      <c r="V92" s="1"/>
      <c r="W92" s="1"/>
      <c r="X92" s="1"/>
      <c r="Y92" s="3"/>
      <c r="Z92" s="3"/>
      <c r="AA92" s="3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2"/>
      <c r="O93" s="3"/>
      <c r="P93" s="3"/>
      <c r="Q93" s="1"/>
      <c r="R93" s="1"/>
      <c r="S93" s="1"/>
      <c r="T93" s="1"/>
      <c r="U93" s="1"/>
      <c r="V93" s="1"/>
      <c r="W93" s="1"/>
      <c r="X93" s="1"/>
      <c r="Y93" s="3"/>
      <c r="Z93" s="3"/>
      <c r="AA93" s="3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2"/>
      <c r="O94" s="3"/>
      <c r="P94" s="3"/>
      <c r="Q94" s="1"/>
      <c r="R94" s="1"/>
      <c r="S94" s="1"/>
      <c r="T94" s="1"/>
      <c r="U94" s="1"/>
      <c r="V94" s="1"/>
      <c r="W94" s="1"/>
      <c r="X94" s="1"/>
      <c r="Y94" s="3"/>
      <c r="Z94" s="3"/>
      <c r="AA94" s="3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2"/>
      <c r="O95" s="3"/>
      <c r="P95" s="3"/>
      <c r="Q95" s="1"/>
      <c r="R95" s="1"/>
      <c r="S95" s="1"/>
      <c r="T95" s="1"/>
      <c r="U95" s="1"/>
      <c r="V95" s="1"/>
      <c r="W95" s="1"/>
      <c r="X95" s="1"/>
      <c r="Y95" s="3"/>
      <c r="Z95" s="3"/>
      <c r="AA95" s="3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2"/>
      <c r="O96" s="3"/>
      <c r="P96" s="3"/>
      <c r="Q96" s="1"/>
      <c r="R96" s="1"/>
      <c r="S96" s="1"/>
      <c r="T96" s="1"/>
      <c r="U96" s="1"/>
      <c r="V96" s="1"/>
      <c r="W96" s="1"/>
      <c r="X96" s="1"/>
      <c r="Y96" s="3"/>
      <c r="Z96" s="3"/>
      <c r="AA96" s="3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2"/>
      <c r="O97" s="3"/>
      <c r="P97" s="3"/>
      <c r="Q97" s="1"/>
      <c r="R97" s="1"/>
      <c r="S97" s="1"/>
      <c r="T97" s="1"/>
      <c r="U97" s="1"/>
      <c r="V97" s="1"/>
      <c r="W97" s="1"/>
      <c r="X97" s="1"/>
      <c r="Y97" s="3"/>
      <c r="Z97" s="3"/>
      <c r="AA97" s="3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2"/>
      <c r="O98" s="3"/>
      <c r="P98" s="3"/>
      <c r="Q98" s="1"/>
      <c r="R98" s="1"/>
      <c r="S98" s="1"/>
      <c r="T98" s="1"/>
      <c r="U98" s="1"/>
      <c r="V98" s="1"/>
      <c r="W98" s="1"/>
      <c r="X98" s="1"/>
      <c r="Y98" s="3"/>
      <c r="Z98" s="3"/>
      <c r="AA98" s="3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2"/>
      <c r="O99" s="3"/>
      <c r="P99" s="3"/>
      <c r="Q99" s="1"/>
      <c r="R99" s="1"/>
      <c r="S99" s="1"/>
      <c r="T99" s="1"/>
      <c r="U99" s="1"/>
      <c r="V99" s="1"/>
      <c r="W99" s="1"/>
      <c r="X99" s="1"/>
      <c r="Y99" s="3"/>
      <c r="Z99" s="3"/>
      <c r="AA99" s="3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2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3"/>
      <c r="Z100" s="3"/>
      <c r="AA100" s="3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2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3"/>
      <c r="Z101" s="3"/>
      <c r="AA101" s="3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2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3"/>
      <c r="Z102" s="3"/>
      <c r="AA102" s="3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2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3"/>
      <c r="Z103" s="3"/>
      <c r="AA103" s="3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2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3"/>
      <c r="Z104" s="3"/>
      <c r="AA104" s="3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2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3"/>
      <c r="Z105" s="3"/>
      <c r="AA105" s="3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2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3"/>
      <c r="Z106" s="3"/>
      <c r="AA106" s="3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2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3"/>
      <c r="Z107" s="3"/>
      <c r="AA107" s="3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2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3"/>
      <c r="Z108" s="3"/>
      <c r="AA108" s="3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2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3"/>
      <c r="Z109" s="3"/>
      <c r="AA109" s="3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2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3"/>
      <c r="Z110" s="3"/>
      <c r="AA110" s="3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2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3"/>
      <c r="Z111" s="3"/>
      <c r="AA111" s="3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2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3"/>
      <c r="Z112" s="3"/>
      <c r="AA112" s="3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2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3"/>
      <c r="Z113" s="3"/>
      <c r="AA113" s="3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2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3"/>
      <c r="Z114" s="3"/>
      <c r="AA114" s="3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2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3"/>
      <c r="Z115" s="3"/>
      <c r="AA115" s="3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2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3"/>
      <c r="Z116" s="3"/>
      <c r="AA116" s="3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2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3"/>
      <c r="Z117" s="3"/>
      <c r="AA117" s="3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2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3"/>
      <c r="Z118" s="3"/>
      <c r="AA118" s="3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2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3"/>
      <c r="Z119" s="3"/>
      <c r="AA119" s="3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2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3"/>
      <c r="Z120" s="3"/>
      <c r="AA120" s="3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2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3"/>
      <c r="Z121" s="3"/>
      <c r="AA121" s="3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2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3"/>
      <c r="Z122" s="3"/>
      <c r="AA122" s="3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2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3"/>
      <c r="Z123" s="3"/>
      <c r="AA123" s="3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2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3"/>
      <c r="Z124" s="3"/>
      <c r="AA124" s="3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2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3"/>
      <c r="Z125" s="3"/>
      <c r="AA125" s="3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2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3"/>
      <c r="Z126" s="3"/>
      <c r="AA126" s="3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2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3"/>
      <c r="Z127" s="3"/>
      <c r="AA127" s="3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2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3"/>
      <c r="Z128" s="3"/>
      <c r="AA128" s="3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2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3"/>
      <c r="Z129" s="3"/>
      <c r="AA129" s="3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2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3"/>
      <c r="Z130" s="3"/>
      <c r="AA130" s="3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2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3"/>
      <c r="Z131" s="3"/>
      <c r="AA131" s="3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2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3"/>
      <c r="Z132" s="3"/>
      <c r="AA132" s="3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2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3"/>
      <c r="Z133" s="3"/>
      <c r="AA133" s="3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2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3"/>
      <c r="Z134" s="3"/>
      <c r="AA134" s="3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2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3"/>
      <c r="Z135" s="3"/>
      <c r="AA135" s="3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2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3"/>
      <c r="Z136" s="3"/>
      <c r="AA136" s="3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2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3"/>
      <c r="Z137" s="3"/>
      <c r="AA137" s="3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2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3"/>
      <c r="Z138" s="3"/>
      <c r="AA138" s="3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2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3"/>
      <c r="Z139" s="3"/>
      <c r="AA139" s="3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2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3"/>
      <c r="Z140" s="3"/>
      <c r="AA140" s="3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2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3"/>
      <c r="Z141" s="3"/>
      <c r="AA141" s="3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2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3"/>
      <c r="Z142" s="3"/>
      <c r="AA142" s="3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2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3"/>
      <c r="Z143" s="3"/>
      <c r="AA143" s="3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2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3"/>
      <c r="Z144" s="3"/>
      <c r="AA144" s="3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2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3"/>
      <c r="Z145" s="3"/>
      <c r="AA145" s="3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2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3"/>
      <c r="Z146" s="3"/>
      <c r="AA146" s="3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2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3"/>
      <c r="Z147" s="3"/>
      <c r="AA147" s="3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2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3"/>
      <c r="Z148" s="3"/>
      <c r="AA148" s="3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2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3"/>
      <c r="Z149" s="3"/>
      <c r="AA149" s="3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2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3"/>
      <c r="Z150" s="3"/>
      <c r="AA150" s="3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2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3"/>
      <c r="Z151" s="3"/>
      <c r="AA151" s="3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2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3"/>
      <c r="Z152" s="3"/>
      <c r="AA152" s="3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2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3"/>
      <c r="Z153" s="3"/>
      <c r="AA153" s="3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2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3"/>
      <c r="Z154" s="3"/>
      <c r="AA154" s="3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3"/>
      <c r="Z155" s="3"/>
      <c r="AA155" s="3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2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3"/>
      <c r="Z156" s="3"/>
      <c r="AA156" s="3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2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3"/>
      <c r="Z157" s="3"/>
      <c r="AA157" s="3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2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3"/>
      <c r="Z158" s="3"/>
      <c r="AA158" s="3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2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3"/>
      <c r="Z159" s="3"/>
      <c r="AA159" s="3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2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3"/>
      <c r="Z160" s="3"/>
      <c r="AA160" s="3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2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3"/>
      <c r="Z161" s="3"/>
      <c r="AA161" s="3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2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3"/>
      <c r="Z162" s="3"/>
      <c r="AA162" s="3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2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3"/>
      <c r="Z163" s="3"/>
      <c r="AA163" s="3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2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3"/>
      <c r="Z164" s="3"/>
      <c r="AA164" s="3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2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3"/>
      <c r="Z165" s="3"/>
      <c r="AA165" s="3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2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3"/>
      <c r="Z166" s="3"/>
      <c r="AA166" s="3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2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3"/>
      <c r="Z167" s="3"/>
      <c r="AA167" s="3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2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3"/>
      <c r="Z168" s="3"/>
      <c r="AA168" s="3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2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3"/>
      <c r="Z169" s="3"/>
      <c r="AA169" s="3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2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3"/>
      <c r="Z170" s="3"/>
      <c r="AA170" s="3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2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3"/>
      <c r="Z171" s="3"/>
      <c r="AA171" s="3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2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3"/>
      <c r="Z172" s="3"/>
      <c r="AA172" s="3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2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3"/>
      <c r="Z173" s="3"/>
      <c r="AA173" s="3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2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3"/>
      <c r="Z174" s="3"/>
      <c r="AA174" s="3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2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3"/>
      <c r="Z175" s="3"/>
      <c r="AA175" s="3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3"/>
      <c r="Z176" s="3"/>
      <c r="AA176" s="3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2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3"/>
      <c r="Z177" s="3"/>
      <c r="AA177" s="3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2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3"/>
      <c r="Z178" s="3"/>
      <c r="AA178" s="3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2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3"/>
      <c r="Z179" s="3"/>
      <c r="AA179" s="3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2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3"/>
      <c r="Z180" s="3"/>
      <c r="AA180" s="3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2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3"/>
      <c r="Z181" s="3"/>
      <c r="AA181" s="3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2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3"/>
      <c r="Z182" s="3"/>
      <c r="AA182" s="3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2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3"/>
      <c r="Z183" s="3"/>
      <c r="AA183" s="3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2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3"/>
      <c r="Z184" s="3"/>
      <c r="AA184" s="3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2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3"/>
      <c r="Z185" s="3"/>
      <c r="AA185" s="3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2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3"/>
      <c r="Z186" s="3"/>
      <c r="AA186" s="3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2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3"/>
      <c r="Z187" s="3"/>
      <c r="AA187" s="3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2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3"/>
      <c r="Z188" s="3"/>
      <c r="AA188" s="3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2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3"/>
      <c r="Z189" s="3"/>
      <c r="AA189" s="3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2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3"/>
      <c r="Z190" s="3"/>
      <c r="AA190" s="3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2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3"/>
      <c r="Z191" s="3"/>
      <c r="AA191" s="3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2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3"/>
      <c r="Z192" s="3"/>
      <c r="AA192" s="3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2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3"/>
      <c r="Z193" s="3"/>
      <c r="AA193" s="3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2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3"/>
      <c r="Z194" s="3"/>
      <c r="AA194" s="3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2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3"/>
      <c r="Z195" s="3"/>
      <c r="AA195" s="3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2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3"/>
      <c r="Z196" s="3"/>
      <c r="AA196" s="3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2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3"/>
      <c r="Z197" s="3"/>
      <c r="AA197" s="3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2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3"/>
      <c r="Z198" s="3"/>
      <c r="AA198" s="3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2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3"/>
      <c r="Z199" s="3"/>
      <c r="AA199" s="3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2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3"/>
      <c r="Z200" s="3"/>
      <c r="AA200" s="3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2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3"/>
      <c r="Z201" s="3"/>
      <c r="AA201" s="3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2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3"/>
      <c r="Z202" s="3"/>
      <c r="AA202" s="3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2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3"/>
      <c r="Z203" s="3"/>
      <c r="AA203" s="3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2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3"/>
      <c r="Z204" s="3"/>
      <c r="AA204" s="3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2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3"/>
      <c r="Z205" s="3"/>
      <c r="AA205" s="3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2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3"/>
      <c r="Z206" s="3"/>
      <c r="AA206" s="3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2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3"/>
      <c r="Z207" s="3"/>
      <c r="AA207" s="3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2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3"/>
      <c r="Z208" s="3"/>
      <c r="AA208" s="3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2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3"/>
      <c r="Z209" s="3"/>
      <c r="AA209" s="3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2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3"/>
      <c r="Z210" s="3"/>
      <c r="AA210" s="3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2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3"/>
      <c r="Z211" s="3"/>
      <c r="AA211" s="3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2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3"/>
      <c r="Z212" s="3"/>
      <c r="AA212" s="3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2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3"/>
      <c r="Z213" s="3"/>
      <c r="AA213" s="3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2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3"/>
      <c r="Z214" s="3"/>
      <c r="AA214" s="3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2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3"/>
      <c r="Z215" s="3"/>
      <c r="AA215" s="3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2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3"/>
      <c r="Z216" s="3"/>
      <c r="AA216" s="3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2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3"/>
      <c r="Z217" s="3"/>
      <c r="AA217" s="3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2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3"/>
      <c r="Z218" s="3"/>
      <c r="AA218" s="3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2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3"/>
      <c r="Z219" s="3"/>
      <c r="AA219" s="3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2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3"/>
      <c r="Z220" s="3"/>
      <c r="AA220" s="3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2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3"/>
      <c r="Z221" s="3"/>
      <c r="AA221" s="3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2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3"/>
      <c r="Z222" s="3"/>
      <c r="AA222" s="3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2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3"/>
      <c r="Z223" s="3"/>
      <c r="AA223" s="3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2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3"/>
      <c r="Z224" s="3"/>
      <c r="AA224" s="3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2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3"/>
      <c r="Z225" s="3"/>
      <c r="AA225" s="3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2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3"/>
      <c r="Z226" s="3"/>
      <c r="AA226" s="3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2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3"/>
      <c r="Z227" s="3"/>
      <c r="AA227" s="3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2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3"/>
      <c r="Z228" s="3"/>
      <c r="AA228" s="3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2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3"/>
      <c r="Z229" s="3"/>
      <c r="AA229" s="3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2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3"/>
      <c r="Z230" s="3"/>
      <c r="AA230" s="3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2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3"/>
      <c r="Z231" s="3"/>
      <c r="AA231" s="3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2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3"/>
      <c r="Z232" s="3"/>
      <c r="AA232" s="3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"/>
      <c r="N233" s="2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3"/>
      <c r="Z233" s="3"/>
      <c r="AA233" s="3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"/>
      <c r="N234" s="2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3"/>
      <c r="Z234" s="3"/>
      <c r="AA234" s="3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"/>
      <c r="N235" s="2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3"/>
      <c r="Z235" s="3"/>
      <c r="AA235" s="3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"/>
      <c r="N236" s="2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3"/>
      <c r="Z236" s="3"/>
      <c r="AA236" s="3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"/>
      <c r="N237" s="2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3"/>
      <c r="Z237" s="3"/>
      <c r="AA237" s="3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"/>
      <c r="N238" s="2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3"/>
      <c r="Z238" s="3"/>
      <c r="AA238" s="3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"/>
      <c r="N239" s="2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3"/>
      <c r="Z239" s="3"/>
      <c r="AA239" s="3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"/>
      <c r="N240" s="2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3"/>
      <c r="Z240" s="3"/>
      <c r="AA240" s="3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"/>
      <c r="N241" s="2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3"/>
      <c r="Z241" s="3"/>
      <c r="AA241" s="3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"/>
      <c r="N242" s="2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3"/>
      <c r="Z242" s="3"/>
      <c r="AA242" s="3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"/>
      <c r="N243" s="2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3"/>
      <c r="Z243" s="3"/>
      <c r="AA243" s="3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"/>
      <c r="N244" s="2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3"/>
      <c r="Z244" s="3"/>
      <c r="AA244" s="3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"/>
      <c r="N245" s="2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3"/>
      <c r="Z245" s="3"/>
      <c r="AA245" s="3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"/>
      <c r="N246" s="2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3"/>
      <c r="Z246" s="3"/>
      <c r="AA246" s="3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"/>
      <c r="N247" s="2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3"/>
      <c r="Z247" s="3"/>
      <c r="AA247" s="3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"/>
      <c r="N248" s="2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3"/>
      <c r="Z248" s="3"/>
      <c r="AA248" s="3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"/>
      <c r="N249" s="2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3"/>
      <c r="Z249" s="3"/>
      <c r="AA249" s="3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"/>
      <c r="N250" s="2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3"/>
      <c r="Z250" s="3"/>
      <c r="AA250" s="3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"/>
      <c r="N251" s="2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3"/>
      <c r="Z251" s="3"/>
      <c r="AA251" s="3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"/>
      <c r="N252" s="2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3"/>
      <c r="Z252" s="3"/>
      <c r="AA252" s="3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"/>
      <c r="N253" s="2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3"/>
      <c r="Z253" s="3"/>
      <c r="AA253" s="3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"/>
      <c r="N254" s="2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3"/>
      <c r="Z254" s="3"/>
      <c r="AA254" s="3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"/>
      <c r="N255" s="2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3"/>
      <c r="Z255" s="3"/>
      <c r="AA255" s="3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"/>
      <c r="N256" s="2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3"/>
      <c r="Z256" s="3"/>
      <c r="AA256" s="3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"/>
      <c r="N257" s="2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3"/>
      <c r="Z257" s="3"/>
      <c r="AA257" s="3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"/>
      <c r="N258" s="2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3"/>
      <c r="Z258" s="3"/>
      <c r="AA258" s="3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"/>
      <c r="N259" s="2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3"/>
      <c r="Z259" s="3"/>
      <c r="AA259" s="3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"/>
      <c r="N260" s="2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3"/>
      <c r="Z260" s="3"/>
      <c r="AA260" s="3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"/>
      <c r="N261" s="2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3"/>
      <c r="Z261" s="3"/>
      <c r="AA261" s="3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"/>
      <c r="N262" s="2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3"/>
      <c r="Z262" s="3"/>
      <c r="AA262" s="3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"/>
      <c r="N263" s="2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3"/>
      <c r="Z263" s="3"/>
      <c r="AA263" s="3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"/>
      <c r="N264" s="2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3"/>
      <c r="Z264" s="3"/>
      <c r="AA264" s="3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"/>
      <c r="N265" s="2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3"/>
      <c r="Z265" s="3"/>
      <c r="AA265" s="3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"/>
      <c r="N266" s="2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3"/>
      <c r="Z266" s="3"/>
      <c r="AA266" s="3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"/>
      <c r="N267" s="2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3"/>
      <c r="Z267" s="3"/>
      <c r="AA267" s="3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"/>
      <c r="N268" s="2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3"/>
      <c r="Z268" s="3"/>
      <c r="AA268" s="3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"/>
      <c r="N269" s="2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3"/>
      <c r="Z269" s="3"/>
      <c r="AA269" s="3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"/>
      <c r="N270" s="2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3"/>
      <c r="Z270" s="3"/>
      <c r="AA270" s="3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"/>
      <c r="N271" s="2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3"/>
      <c r="Z271" s="3"/>
      <c r="AA271" s="3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"/>
      <c r="N272" s="2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3"/>
      <c r="Z272" s="3"/>
      <c r="AA272" s="3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"/>
      <c r="N273" s="2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3"/>
      <c r="Z273" s="3"/>
      <c r="AA273" s="3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"/>
      <c r="N274" s="2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3"/>
      <c r="Z274" s="3"/>
      <c r="AA274" s="3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"/>
      <c r="N275" s="2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3"/>
      <c r="Z275" s="3"/>
      <c r="AA275" s="3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"/>
      <c r="N276" s="2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3"/>
      <c r="Z276" s="3"/>
      <c r="AA276" s="3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"/>
      <c r="N277" s="2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3"/>
      <c r="Z277" s="3"/>
      <c r="AA277" s="3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"/>
      <c r="N278" s="2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3"/>
      <c r="Z278" s="3"/>
      <c r="AA278" s="3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"/>
      <c r="N279" s="2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3"/>
      <c r="Z279" s="3"/>
      <c r="AA279" s="3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"/>
      <c r="N280" s="2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3"/>
      <c r="Z280" s="3"/>
      <c r="AA280" s="3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"/>
      <c r="N281" s="2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3"/>
      <c r="Z281" s="3"/>
      <c r="AA281" s="3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"/>
      <c r="N282" s="2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3"/>
      <c r="Z282" s="3"/>
      <c r="AA282" s="3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"/>
      <c r="N283" s="2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3"/>
      <c r="Z283" s="3"/>
      <c r="AA283" s="3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"/>
      <c r="N284" s="2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3"/>
      <c r="Z284" s="3"/>
      <c r="AA284" s="3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"/>
      <c r="N285" s="2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3"/>
      <c r="Z285" s="3"/>
      <c r="AA285" s="3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"/>
      <c r="N286" s="2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3"/>
      <c r="Z286" s="3"/>
      <c r="AA286" s="3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"/>
      <c r="N287" s="2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3"/>
      <c r="Z287" s="3"/>
      <c r="AA287" s="3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"/>
      <c r="N288" s="2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3"/>
      <c r="Z288" s="3"/>
      <c r="AA288" s="3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"/>
      <c r="N289" s="2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3"/>
      <c r="Z289" s="3"/>
      <c r="AA289" s="3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"/>
      <c r="N290" s="2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3"/>
      <c r="Z290" s="3"/>
      <c r="AA290" s="3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"/>
      <c r="N291" s="2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3"/>
      <c r="Z291" s="3"/>
      <c r="AA291" s="3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"/>
      <c r="N292" s="2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3"/>
      <c r="Z292" s="3"/>
      <c r="AA292" s="3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"/>
      <c r="N293" s="2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3"/>
      <c r="Z293" s="3"/>
      <c r="AA293" s="3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"/>
      <c r="N294" s="2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3"/>
      <c r="Z294" s="3"/>
      <c r="AA294" s="3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"/>
      <c r="N295" s="2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3"/>
      <c r="Z295" s="3"/>
      <c r="AA295" s="3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2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3"/>
      <c r="Z296" s="3"/>
      <c r="AA296" s="3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"/>
      <c r="N297" s="2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3"/>
      <c r="Z297" s="3"/>
      <c r="AA297" s="3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2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3"/>
      <c r="Z298" s="3"/>
      <c r="AA298" s="3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"/>
      <c r="N299" s="2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3"/>
      <c r="Z299" s="3"/>
      <c r="AA299" s="3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2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3"/>
      <c r="Z300" s="3"/>
      <c r="AA300" s="3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"/>
      <c r="N301" s="2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3"/>
      <c r="Z301" s="3"/>
      <c r="AA301" s="3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2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3"/>
      <c r="Z302" s="3"/>
      <c r="AA302" s="3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"/>
      <c r="N303" s="2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3"/>
      <c r="Z303" s="3"/>
      <c r="AA303" s="3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2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3"/>
      <c r="Z304" s="3"/>
      <c r="AA304" s="3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"/>
      <c r="N305" s="2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3"/>
      <c r="Z305" s="3"/>
      <c r="AA305" s="3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2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3"/>
      <c r="Z306" s="3"/>
      <c r="AA306" s="3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"/>
      <c r="N307" s="2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3"/>
      <c r="Z307" s="3"/>
      <c r="AA307" s="3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2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3"/>
      <c r="Z308" s="3"/>
      <c r="AA308" s="3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"/>
      <c r="N309" s="2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3"/>
      <c r="Z309" s="3"/>
      <c r="AA309" s="3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2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3"/>
      <c r="Z310" s="3"/>
      <c r="AA310" s="3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"/>
      <c r="N311" s="2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3"/>
      <c r="Z311" s="3"/>
      <c r="AA311" s="3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2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3"/>
      <c r="Z312" s="3"/>
      <c r="AA312" s="3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"/>
      <c r="N313" s="2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3"/>
      <c r="Z313" s="3"/>
      <c r="AA313" s="3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2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3"/>
      <c r="Z314" s="3"/>
      <c r="AA314" s="3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"/>
      <c r="N315" s="2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3"/>
      <c r="Z315" s="3"/>
      <c r="AA315" s="3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2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3"/>
      <c r="Z316" s="3"/>
      <c r="AA316" s="3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"/>
      <c r="N317" s="2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3"/>
      <c r="Z317" s="3"/>
      <c r="AA317" s="3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2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3"/>
      <c r="Z318" s="3"/>
      <c r="AA318" s="3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"/>
      <c r="N319" s="2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3"/>
      <c r="Z319" s="3"/>
      <c r="AA319" s="3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2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3"/>
      <c r="Z320" s="3"/>
      <c r="AA320" s="3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"/>
      <c r="N321" s="2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3"/>
      <c r="Z321" s="3"/>
      <c r="AA321" s="3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2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3"/>
      <c r="Z322" s="3"/>
      <c r="AA322" s="3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"/>
      <c r="N323" s="2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3"/>
      <c r="Z323" s="3"/>
      <c r="AA323" s="3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2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3"/>
      <c r="Z324" s="3"/>
      <c r="AA324" s="3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"/>
      <c r="N325" s="2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3"/>
      <c r="Z325" s="3"/>
      <c r="AA325" s="3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2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3"/>
      <c r="Z326" s="3"/>
      <c r="AA326" s="3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"/>
      <c r="N327" s="2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3"/>
      <c r="Z327" s="3"/>
      <c r="AA327" s="3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2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3"/>
      <c r="Z328" s="3"/>
      <c r="AA328" s="3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"/>
      <c r="N329" s="2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3"/>
      <c r="Z329" s="3"/>
      <c r="AA329" s="3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"/>
      <c r="N330" s="2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3"/>
      <c r="Z330" s="3"/>
      <c r="AA330" s="3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"/>
      <c r="N331" s="2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3"/>
      <c r="Z331" s="3"/>
      <c r="AA331" s="3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"/>
      <c r="N332" s="2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3"/>
      <c r="Z332" s="3"/>
      <c r="AA332" s="3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"/>
      <c r="N333" s="2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3"/>
      <c r="Z333" s="3"/>
      <c r="AA333" s="3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"/>
      <c r="N334" s="2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3"/>
      <c r="Z334" s="3"/>
      <c r="AA334" s="3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"/>
      <c r="N335" s="2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3"/>
      <c r="Z335" s="3"/>
      <c r="AA335" s="3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"/>
      <c r="N336" s="2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3"/>
      <c r="Z336" s="3"/>
      <c r="AA336" s="3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"/>
      <c r="N337" s="2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3"/>
      <c r="Z337" s="3"/>
      <c r="AA337" s="3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"/>
      <c r="N338" s="2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3"/>
      <c r="Z338" s="3"/>
      <c r="AA338" s="3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"/>
      <c r="N339" s="2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3"/>
      <c r="Z339" s="3"/>
      <c r="AA339" s="3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"/>
      <c r="N340" s="2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3"/>
      <c r="Z340" s="3"/>
      <c r="AA340" s="3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"/>
      <c r="N341" s="2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3"/>
      <c r="Z341" s="3"/>
      <c r="AA341" s="3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"/>
      <c r="N342" s="2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3"/>
      <c r="Z342" s="3"/>
      <c r="AA342" s="3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"/>
      <c r="N343" s="2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3"/>
      <c r="Z343" s="3"/>
      <c r="AA343" s="3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"/>
      <c r="N344" s="2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3"/>
      <c r="Z344" s="3"/>
      <c r="AA344" s="3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"/>
      <c r="N345" s="2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3"/>
      <c r="Z345" s="3"/>
      <c r="AA345" s="3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"/>
      <c r="N346" s="2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3"/>
      <c r="Z346" s="3"/>
      <c r="AA346" s="3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"/>
      <c r="N347" s="2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3"/>
      <c r="Z347" s="3"/>
      <c r="AA347" s="3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"/>
      <c r="N348" s="2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3"/>
      <c r="Z348" s="3"/>
      <c r="AA348" s="3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"/>
      <c r="N349" s="2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3"/>
      <c r="Z349" s="3"/>
      <c r="AA349" s="3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"/>
      <c r="N350" s="2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3"/>
      <c r="Z350" s="3"/>
      <c r="AA350" s="3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"/>
      <c r="N351" s="2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3"/>
      <c r="Z351" s="3"/>
      <c r="AA351" s="3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"/>
      <c r="N352" s="2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3"/>
      <c r="Z352" s="3"/>
      <c r="AA352" s="3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"/>
      <c r="N353" s="2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3"/>
      <c r="Z353" s="3"/>
      <c r="AA353" s="3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"/>
      <c r="N354" s="2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3"/>
      <c r="Z354" s="3"/>
      <c r="AA354" s="3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"/>
      <c r="N355" s="2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3"/>
      <c r="Z355" s="3"/>
      <c r="AA355" s="3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"/>
      <c r="N356" s="2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3"/>
      <c r="Z356" s="3"/>
      <c r="AA356" s="3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"/>
      <c r="N357" s="2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3"/>
      <c r="Z357" s="3"/>
      <c r="AA357" s="3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"/>
      <c r="N358" s="2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3"/>
      <c r="Z358" s="3"/>
      <c r="AA358" s="3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"/>
      <c r="N359" s="2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3"/>
      <c r="Z359" s="3"/>
      <c r="AA359" s="3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"/>
      <c r="N360" s="2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3"/>
      <c r="Z360" s="3"/>
      <c r="AA360" s="3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"/>
      <c r="N361" s="2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3"/>
      <c r="Z361" s="3"/>
      <c r="AA361" s="3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"/>
      <c r="N362" s="2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3"/>
      <c r="Z362" s="3"/>
      <c r="AA362" s="3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"/>
      <c r="N363" s="2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3"/>
      <c r="Z363" s="3"/>
      <c r="AA363" s="3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"/>
      <c r="N364" s="2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3"/>
      <c r="Z364" s="3"/>
      <c r="AA364" s="3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"/>
      <c r="N365" s="2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3"/>
      <c r="Z365" s="3"/>
      <c r="AA365" s="3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"/>
      <c r="N366" s="2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3"/>
      <c r="Z366" s="3"/>
      <c r="AA366" s="3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2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3"/>
      <c r="Z367" s="3"/>
      <c r="AA367" s="3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2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3"/>
      <c r="Z368" s="3"/>
      <c r="AA368" s="3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2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3"/>
      <c r="Z369" s="3"/>
      <c r="AA369" s="3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2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3"/>
      <c r="Z370" s="3"/>
      <c r="AA370" s="3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2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3"/>
      <c r="Z371" s="3"/>
      <c r="AA371" s="3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2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3"/>
      <c r="Z372" s="3"/>
      <c r="AA372" s="3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2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3"/>
      <c r="Z373" s="3"/>
      <c r="AA373" s="3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2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3"/>
      <c r="Z374" s="3"/>
      <c r="AA374" s="3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2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3"/>
      <c r="Z375" s="3"/>
      <c r="AA375" s="3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2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3"/>
      <c r="Z376" s="3"/>
      <c r="AA376" s="3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2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3"/>
      <c r="Z377" s="3"/>
      <c r="AA377" s="3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2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3"/>
      <c r="Z378" s="3"/>
      <c r="AA378" s="3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2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3"/>
      <c r="Z379" s="3"/>
      <c r="AA379" s="3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2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3"/>
      <c r="Z380" s="3"/>
      <c r="AA380" s="3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2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3"/>
      <c r="Z381" s="3"/>
      <c r="AA381" s="3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2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3"/>
      <c r="Z382" s="3"/>
      <c r="AA382" s="3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2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3"/>
      <c r="Z383" s="3"/>
      <c r="AA383" s="3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2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3"/>
      <c r="Z384" s="3"/>
      <c r="AA384" s="3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2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3"/>
      <c r="Z385" s="3"/>
      <c r="AA385" s="3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2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3"/>
      <c r="Z386" s="3"/>
      <c r="AA386" s="3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2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3"/>
      <c r="Z387" s="3"/>
      <c r="AA387" s="3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2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3"/>
      <c r="Z388" s="3"/>
      <c r="AA388" s="3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2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3"/>
      <c r="Z389" s="3"/>
      <c r="AA389" s="3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2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3"/>
      <c r="Z390" s="3"/>
      <c r="AA390" s="3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2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3"/>
      <c r="Z391" s="3"/>
      <c r="AA391" s="3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2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3"/>
      <c r="Z392" s="3"/>
      <c r="AA392" s="3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2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3"/>
      <c r="Z393" s="3"/>
      <c r="AA393" s="3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2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3"/>
      <c r="Z394" s="3"/>
      <c r="AA394" s="3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2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3"/>
      <c r="Z395" s="3"/>
      <c r="AA395" s="3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2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3"/>
      <c r="Z396" s="3"/>
      <c r="AA396" s="3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2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3"/>
      <c r="Z397" s="3"/>
      <c r="AA397" s="3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2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3"/>
      <c r="Z398" s="3"/>
      <c r="AA398" s="3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2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3"/>
      <c r="Z399" s="3"/>
      <c r="AA399" s="3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2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3"/>
      <c r="Z400" s="3"/>
      <c r="AA400" s="3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2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3"/>
      <c r="Z401" s="3"/>
      <c r="AA401" s="3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2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3"/>
      <c r="Z402" s="3"/>
      <c r="AA402" s="3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2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3"/>
      <c r="Z403" s="3"/>
      <c r="AA403" s="3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2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3"/>
      <c r="Z404" s="3"/>
      <c r="AA404" s="3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2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3"/>
      <c r="Z405" s="3"/>
      <c r="AA405" s="3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2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3"/>
      <c r="Z406" s="3"/>
      <c r="AA406" s="3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2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3"/>
      <c r="Z407" s="3"/>
      <c r="AA407" s="3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2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3"/>
      <c r="Z408" s="3"/>
      <c r="AA408" s="3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2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3"/>
      <c r="Z409" s="3"/>
      <c r="AA409" s="3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2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3"/>
      <c r="Z410" s="3"/>
      <c r="AA410" s="3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2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3"/>
      <c r="Z411" s="3"/>
      <c r="AA411" s="3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2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3"/>
      <c r="Z412" s="3"/>
      <c r="AA412" s="3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2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3"/>
      <c r="Z413" s="3"/>
      <c r="AA413" s="3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2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3"/>
      <c r="Z414" s="3"/>
      <c r="AA414" s="3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2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3"/>
      <c r="Z415" s="3"/>
      <c r="AA415" s="3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2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3"/>
      <c r="Z416" s="3"/>
      <c r="AA416" s="3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2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3"/>
      <c r="Z417" s="3"/>
      <c r="AA417" s="3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2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3"/>
      <c r="Z418" s="3"/>
      <c r="AA418" s="3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2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3"/>
      <c r="Z419" s="3"/>
      <c r="AA419" s="3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2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3"/>
      <c r="Z420" s="3"/>
      <c r="AA420" s="3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2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3"/>
      <c r="Z421" s="3"/>
      <c r="AA421" s="3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2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3"/>
      <c r="Z422" s="3"/>
      <c r="AA422" s="3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2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3"/>
      <c r="Z423" s="3"/>
      <c r="AA423" s="3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2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3"/>
      <c r="Z424" s="3"/>
      <c r="AA424" s="3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2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3"/>
      <c r="Z425" s="3"/>
      <c r="AA425" s="3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2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3"/>
      <c r="Z426" s="3"/>
      <c r="AA426" s="3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2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3"/>
      <c r="Z427" s="3"/>
      <c r="AA427" s="3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2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3"/>
      <c r="Z428" s="3"/>
      <c r="AA428" s="3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2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3"/>
      <c r="Z429" s="3"/>
      <c r="AA429" s="3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2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3"/>
      <c r="Z430" s="3"/>
      <c r="AA430" s="3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2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3"/>
      <c r="Z431" s="3"/>
      <c r="AA431" s="3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2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3"/>
      <c r="Z432" s="3"/>
      <c r="AA432" s="3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2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3"/>
      <c r="Z433" s="3"/>
      <c r="AA433" s="3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2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3"/>
      <c r="Z434" s="3"/>
      <c r="AA434" s="3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2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3"/>
      <c r="Z435" s="3"/>
      <c r="AA435" s="3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2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3"/>
      <c r="Z436" s="3"/>
      <c r="AA436" s="3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2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3"/>
      <c r="Z437" s="3"/>
      <c r="AA437" s="3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2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3"/>
      <c r="Z438" s="3"/>
      <c r="AA438" s="3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2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3"/>
      <c r="Z439" s="3"/>
      <c r="AA439" s="3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2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3"/>
      <c r="Z440" s="3"/>
      <c r="AA440" s="3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2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3"/>
      <c r="Z441" s="3"/>
      <c r="AA441" s="3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2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3"/>
      <c r="Z442" s="3"/>
      <c r="AA442" s="3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2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3"/>
      <c r="Z443" s="3"/>
      <c r="AA443" s="3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2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3"/>
      <c r="Z444" s="3"/>
      <c r="AA444" s="3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2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3"/>
      <c r="Z445" s="3"/>
      <c r="AA445" s="3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2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3"/>
      <c r="Z446" s="3"/>
      <c r="AA446" s="3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2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3"/>
      <c r="Z447" s="3"/>
      <c r="AA447" s="3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2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3"/>
      <c r="Z448" s="3"/>
      <c r="AA448" s="3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2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3"/>
      <c r="Z449" s="3"/>
      <c r="AA449" s="3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2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3"/>
      <c r="Z450" s="3"/>
      <c r="AA450" s="3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2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3"/>
      <c r="Z451" s="3"/>
      <c r="AA451" s="3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2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3"/>
      <c r="Z452" s="3"/>
      <c r="AA452" s="3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2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3"/>
      <c r="Z453" s="3"/>
      <c r="AA453" s="3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2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3"/>
      <c r="Z454" s="3"/>
      <c r="AA454" s="3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2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3"/>
      <c r="Z455" s="3"/>
      <c r="AA455" s="3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2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3"/>
      <c r="Z456" s="3"/>
      <c r="AA456" s="3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2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3"/>
      <c r="Z457" s="3"/>
      <c r="AA457" s="3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2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3"/>
      <c r="Z458" s="3"/>
      <c r="AA458" s="3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2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3"/>
      <c r="Z459" s="3"/>
      <c r="AA459" s="3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2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3"/>
      <c r="Z460" s="3"/>
      <c r="AA460" s="3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2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3"/>
      <c r="Z461" s="3"/>
      <c r="AA461" s="3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2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3"/>
      <c r="Z462" s="3"/>
      <c r="AA462" s="3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2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3"/>
      <c r="Z463" s="3"/>
      <c r="AA463" s="3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2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3"/>
      <c r="Z464" s="3"/>
      <c r="AA464" s="3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2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3"/>
      <c r="Z465" s="3"/>
      <c r="AA465" s="3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2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3"/>
      <c r="Z466" s="3"/>
      <c r="AA466" s="3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2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3"/>
      <c r="Z467" s="3"/>
      <c r="AA467" s="3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2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3"/>
      <c r="Z468" s="3"/>
      <c r="AA468" s="3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2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3"/>
      <c r="Z469" s="3"/>
      <c r="AA469" s="3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2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3"/>
      <c r="Z470" s="3"/>
      <c r="AA470" s="3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2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3"/>
      <c r="Z471" s="3"/>
      <c r="AA471" s="3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2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3"/>
      <c r="Z472" s="3"/>
      <c r="AA472" s="3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2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3"/>
      <c r="Z473" s="3"/>
      <c r="AA473" s="3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2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3"/>
      <c r="Z474" s="3"/>
      <c r="AA474" s="3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2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3"/>
      <c r="Z475" s="3"/>
      <c r="AA475" s="3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2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3"/>
      <c r="Z476" s="3"/>
      <c r="AA476" s="3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2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3"/>
      <c r="Z477" s="3"/>
      <c r="AA477" s="3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2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3"/>
      <c r="Z478" s="3"/>
      <c r="AA478" s="3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2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3"/>
      <c r="Z479" s="3"/>
      <c r="AA479" s="3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2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3"/>
      <c r="Z480" s="3"/>
      <c r="AA480" s="3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2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3"/>
      <c r="Z481" s="3"/>
      <c r="AA481" s="3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2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3"/>
      <c r="Z482" s="3"/>
      <c r="AA482" s="3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2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3"/>
      <c r="Z483" s="3"/>
      <c r="AA483" s="3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2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3"/>
      <c r="Z484" s="3"/>
      <c r="AA484" s="3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2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3"/>
      <c r="Z485" s="3"/>
      <c r="AA485" s="3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2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3"/>
      <c r="Z486" s="3"/>
      <c r="AA486" s="3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2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3"/>
      <c r="Z487" s="3"/>
      <c r="AA487" s="3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2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3"/>
      <c r="Z488" s="3"/>
      <c r="AA488" s="3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2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3"/>
      <c r="Z489" s="3"/>
      <c r="AA489" s="3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2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3"/>
      <c r="Z490" s="3"/>
      <c r="AA490" s="3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2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3"/>
      <c r="Z491" s="3"/>
      <c r="AA491" s="3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2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3"/>
      <c r="Z492" s="3"/>
      <c r="AA492" s="3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2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3"/>
      <c r="Z493" s="3"/>
      <c r="AA493" s="3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2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3"/>
      <c r="Z494" s="3"/>
      <c r="AA494" s="3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2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3"/>
      <c r="Z495" s="3"/>
      <c r="AA495" s="3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2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3"/>
      <c r="Z496" s="3"/>
      <c r="AA496" s="3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2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3"/>
      <c r="Z497" s="3"/>
      <c r="AA497" s="3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2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3"/>
      <c r="Z498" s="3"/>
      <c r="AA498" s="3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2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3"/>
      <c r="Z499" s="3"/>
      <c r="AA499" s="3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2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3"/>
      <c r="Z500" s="3"/>
      <c r="AA500" s="3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2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3"/>
      <c r="Z501" s="3"/>
      <c r="AA501" s="3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2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3"/>
      <c r="Z502" s="3"/>
      <c r="AA502" s="3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2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3"/>
      <c r="Z503" s="3"/>
      <c r="AA503" s="3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2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3"/>
      <c r="Z504" s="3"/>
      <c r="AA504" s="3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2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3"/>
      <c r="Z505" s="3"/>
      <c r="AA505" s="3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2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3"/>
      <c r="Z506" s="3"/>
      <c r="AA506" s="3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2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3"/>
      <c r="Z507" s="3"/>
      <c r="AA507" s="3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2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3"/>
      <c r="Z508" s="3"/>
      <c r="AA508" s="3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2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3"/>
      <c r="Z509" s="3"/>
      <c r="AA509" s="3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2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3"/>
      <c r="Z510" s="3"/>
      <c r="AA510" s="3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2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3"/>
      <c r="Z511" s="3"/>
      <c r="AA511" s="3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2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3"/>
      <c r="Z512" s="3"/>
      <c r="AA512" s="3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2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3"/>
      <c r="Z513" s="3"/>
      <c r="AA513" s="3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2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3"/>
      <c r="Z514" s="3"/>
      <c r="AA514" s="3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2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3"/>
      <c r="Z515" s="3"/>
      <c r="AA515" s="3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2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3"/>
      <c r="Z516" s="3"/>
      <c r="AA516" s="3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2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3"/>
      <c r="Z517" s="3"/>
      <c r="AA517" s="3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2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3"/>
      <c r="Z518" s="3"/>
      <c r="AA518" s="3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2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3"/>
      <c r="Z519" s="3"/>
      <c r="AA519" s="3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2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3"/>
      <c r="Z520" s="3"/>
      <c r="AA520" s="3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2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3"/>
      <c r="Z521" s="3"/>
      <c r="AA521" s="3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2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3"/>
      <c r="Z522" s="3"/>
      <c r="AA522" s="3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2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3"/>
      <c r="Z523" s="3"/>
      <c r="AA523" s="3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2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3"/>
      <c r="Z524" s="3"/>
      <c r="AA524" s="3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2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3"/>
      <c r="Z525" s="3"/>
      <c r="AA525" s="3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2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3"/>
      <c r="Z526" s="3"/>
      <c r="AA526" s="3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2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3"/>
      <c r="Z527" s="3"/>
      <c r="AA527" s="3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2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3"/>
      <c r="Z528" s="3"/>
      <c r="AA528" s="3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2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3"/>
      <c r="Z529" s="3"/>
      <c r="AA529" s="3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2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3"/>
      <c r="Z530" s="3"/>
      <c r="AA530" s="3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2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3"/>
      <c r="Z531" s="3"/>
      <c r="AA531" s="3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2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3"/>
      <c r="Z532" s="3"/>
      <c r="AA532" s="3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2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3"/>
      <c r="Z533" s="3"/>
      <c r="AA533" s="3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2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3"/>
      <c r="Z534" s="3"/>
      <c r="AA534" s="3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2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3"/>
      <c r="Z535" s="3"/>
      <c r="AA535" s="3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2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3"/>
      <c r="Z536" s="3"/>
      <c r="AA536" s="3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2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3"/>
      <c r="Z537" s="3"/>
      <c r="AA537" s="3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2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3"/>
      <c r="Z538" s="3"/>
      <c r="AA538" s="3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2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3"/>
      <c r="Z539" s="3"/>
      <c r="AA539" s="3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2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3"/>
      <c r="Z540" s="3"/>
      <c r="AA540" s="3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2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3"/>
      <c r="Z541" s="3"/>
      <c r="AA541" s="3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2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3"/>
      <c r="Z542" s="3"/>
      <c r="AA542" s="3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2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3"/>
      <c r="Z543" s="3"/>
      <c r="AA543" s="3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2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3"/>
      <c r="Z544" s="3"/>
      <c r="AA544" s="3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2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3"/>
      <c r="Z545" s="3"/>
      <c r="AA545" s="3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2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3"/>
      <c r="Z546" s="3"/>
      <c r="AA546" s="3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2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3"/>
      <c r="Z547" s="3"/>
      <c r="AA547" s="3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2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3"/>
      <c r="Z548" s="3"/>
      <c r="AA548" s="3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2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3"/>
      <c r="Z549" s="3"/>
      <c r="AA549" s="3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2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3"/>
      <c r="Z550" s="3"/>
      <c r="AA550" s="3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2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3"/>
      <c r="Z551" s="3"/>
      <c r="AA551" s="3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2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3"/>
      <c r="Z552" s="3"/>
      <c r="AA552" s="3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2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3"/>
      <c r="Z553" s="3"/>
      <c r="AA553" s="3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2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3"/>
      <c r="Z554" s="3"/>
      <c r="AA554" s="3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2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3"/>
      <c r="Z555" s="3"/>
      <c r="AA555" s="3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2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3"/>
      <c r="Z556" s="3"/>
      <c r="AA556" s="3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2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3"/>
      <c r="Z557" s="3"/>
      <c r="AA557" s="3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2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3"/>
      <c r="Z558" s="3"/>
      <c r="AA558" s="3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2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3"/>
      <c r="Z559" s="3"/>
      <c r="AA559" s="3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2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3"/>
      <c r="Z560" s="3"/>
      <c r="AA560" s="3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2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3"/>
      <c r="Z561" s="3"/>
      <c r="AA561" s="3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2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3"/>
      <c r="Z562" s="3"/>
      <c r="AA562" s="3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2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3"/>
      <c r="Z563" s="3"/>
      <c r="AA563" s="3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2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3"/>
      <c r="Z564" s="3"/>
      <c r="AA564" s="3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2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3"/>
      <c r="Z565" s="3"/>
      <c r="AA565" s="3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2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3"/>
      <c r="Z566" s="3"/>
      <c r="AA566" s="3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2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3"/>
      <c r="Z567" s="3"/>
      <c r="AA567" s="3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2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3"/>
      <c r="Z568" s="3"/>
      <c r="AA568" s="3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2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3"/>
      <c r="Z569" s="3"/>
      <c r="AA569" s="3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2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3"/>
      <c r="Z570" s="3"/>
      <c r="AA570" s="3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2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3"/>
      <c r="Z571" s="3"/>
      <c r="AA571" s="3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2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3"/>
      <c r="Z572" s="3"/>
      <c r="AA572" s="3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2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3"/>
      <c r="Z573" s="3"/>
      <c r="AA573" s="3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2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3"/>
      <c r="Z574" s="3"/>
      <c r="AA574" s="3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2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3"/>
      <c r="Z575" s="3"/>
      <c r="AA575" s="3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2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3"/>
      <c r="Z576" s="3"/>
      <c r="AA576" s="3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2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3"/>
      <c r="Z577" s="3"/>
      <c r="AA577" s="3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2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3"/>
      <c r="Z578" s="3"/>
      <c r="AA578" s="3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2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3"/>
      <c r="Z579" s="3"/>
      <c r="AA579" s="3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2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3"/>
      <c r="Z580" s="3"/>
      <c r="AA580" s="3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2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3"/>
      <c r="Z581" s="3"/>
      <c r="AA581" s="3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2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3"/>
      <c r="Z582" s="3"/>
      <c r="AA582" s="3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2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3"/>
      <c r="Z583" s="3"/>
      <c r="AA583" s="3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2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3"/>
      <c r="Z584" s="3"/>
      <c r="AA584" s="3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2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3"/>
      <c r="Z585" s="3"/>
      <c r="AA585" s="3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"/>
      <c r="N586" s="2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3"/>
      <c r="Z586" s="3"/>
      <c r="AA586" s="3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"/>
      <c r="N587" s="2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3"/>
      <c r="Z587" s="3"/>
      <c r="AA587" s="3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"/>
      <c r="N588" s="2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3"/>
      <c r="Z588" s="3"/>
      <c r="AA588" s="3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"/>
      <c r="N589" s="2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3"/>
      <c r="Z589" s="3"/>
      <c r="AA589" s="3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"/>
      <c r="N590" s="2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3"/>
      <c r="Z590" s="3"/>
      <c r="AA590" s="3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"/>
      <c r="N591" s="2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3"/>
      <c r="Z591" s="3"/>
      <c r="AA591" s="3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"/>
      <c r="N592" s="2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3"/>
      <c r="Z592" s="3"/>
      <c r="AA592" s="3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"/>
      <c r="N593" s="2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3"/>
      <c r="Z593" s="3"/>
      <c r="AA593" s="3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"/>
      <c r="N594" s="2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3"/>
      <c r="Z594" s="3"/>
      <c r="AA594" s="3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"/>
      <c r="N595" s="2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3"/>
      <c r="Z595" s="3"/>
      <c r="AA595" s="3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"/>
      <c r="N596" s="2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3"/>
      <c r="Z596" s="3"/>
      <c r="AA596" s="3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"/>
      <c r="N597" s="2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3"/>
      <c r="Z597" s="3"/>
      <c r="AA597" s="3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"/>
      <c r="N598" s="2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3"/>
      <c r="Z598" s="3"/>
      <c r="AA598" s="3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"/>
      <c r="N599" s="2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3"/>
      <c r="Z599" s="3"/>
      <c r="AA599" s="3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2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3"/>
      <c r="Z600" s="3"/>
      <c r="AA600" s="3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"/>
      <c r="N601" s="2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3"/>
      <c r="Z601" s="3"/>
      <c r="AA601" s="3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"/>
      <c r="N602" s="2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3"/>
      <c r="Z602" s="3"/>
      <c r="AA602" s="3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"/>
      <c r="N603" s="2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3"/>
      <c r="Z603" s="3"/>
      <c r="AA603" s="3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"/>
      <c r="N604" s="2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3"/>
      <c r="Z604" s="3"/>
      <c r="AA604" s="3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"/>
      <c r="N605" s="2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3"/>
      <c r="Z605" s="3"/>
      <c r="AA605" s="3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"/>
      <c r="N606" s="2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3"/>
      <c r="Z606" s="3"/>
      <c r="AA606" s="3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"/>
      <c r="N607" s="2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3"/>
      <c r="Z607" s="3"/>
      <c r="AA607" s="3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"/>
      <c r="N608" s="2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3"/>
      <c r="Z608" s="3"/>
      <c r="AA608" s="3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"/>
      <c r="N609" s="2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3"/>
      <c r="Z609" s="3"/>
      <c r="AA609" s="3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"/>
      <c r="N610" s="2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3"/>
      <c r="Z610" s="3"/>
      <c r="AA610" s="3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"/>
      <c r="N611" s="2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3"/>
      <c r="Z611" s="3"/>
      <c r="AA611" s="3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"/>
      <c r="N612" s="2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3"/>
      <c r="Z612" s="3"/>
      <c r="AA612" s="3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"/>
      <c r="N613" s="2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3"/>
      <c r="Z613" s="3"/>
      <c r="AA613" s="3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"/>
      <c r="N614" s="2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3"/>
      <c r="Z614" s="3"/>
      <c r="AA614" s="3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"/>
      <c r="N615" s="2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3"/>
      <c r="Z615" s="3"/>
      <c r="AA615" s="3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"/>
      <c r="N616" s="2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3"/>
      <c r="Z616" s="3"/>
      <c r="AA616" s="3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"/>
      <c r="N617" s="2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3"/>
      <c r="Z617" s="3"/>
      <c r="AA617" s="3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"/>
      <c r="N618" s="2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3"/>
      <c r="Z618" s="3"/>
      <c r="AA618" s="3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"/>
      <c r="N619" s="2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3"/>
      <c r="Z619" s="3"/>
      <c r="AA619" s="3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"/>
      <c r="N620" s="2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3"/>
      <c r="Z620" s="3"/>
      <c r="AA620" s="3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"/>
      <c r="N621" s="2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3"/>
      <c r="Z621" s="3"/>
      <c r="AA621" s="3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"/>
      <c r="N622" s="2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3"/>
      <c r="Z622" s="3"/>
      <c r="AA622" s="3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"/>
      <c r="N623" s="2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3"/>
      <c r="Z623" s="3"/>
      <c r="AA623" s="3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"/>
      <c r="N624" s="2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3"/>
      <c r="Z624" s="3"/>
      <c r="AA624" s="3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"/>
      <c r="N625" s="2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3"/>
      <c r="Z625" s="3"/>
      <c r="AA625" s="3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"/>
      <c r="N626" s="2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3"/>
      <c r="Z626" s="3"/>
      <c r="AA626" s="3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"/>
      <c r="N627" s="2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3"/>
      <c r="Z627" s="3"/>
      <c r="AA627" s="3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"/>
      <c r="N628" s="2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3"/>
      <c r="Z628" s="3"/>
      <c r="AA628" s="3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"/>
      <c r="N629" s="2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3"/>
      <c r="Z629" s="3"/>
      <c r="AA629" s="3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"/>
      <c r="N630" s="2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3"/>
      <c r="Z630" s="3"/>
      <c r="AA630" s="3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"/>
      <c r="N631" s="2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3"/>
      <c r="Z631" s="3"/>
      <c r="AA631" s="3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"/>
      <c r="N632" s="2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3"/>
      <c r="Z632" s="3"/>
      <c r="AA632" s="3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"/>
      <c r="N633" s="2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3"/>
      <c r="Z633" s="3"/>
      <c r="AA633" s="3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"/>
      <c r="N634" s="2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3"/>
      <c r="Z634" s="3"/>
      <c r="AA634" s="3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"/>
      <c r="N635" s="2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3"/>
      <c r="Z635" s="3"/>
      <c r="AA635" s="3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"/>
      <c r="N636" s="2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3"/>
      <c r="Z636" s="3"/>
      <c r="AA636" s="3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"/>
      <c r="N637" s="2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3"/>
      <c r="Z637" s="3"/>
      <c r="AA637" s="3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"/>
      <c r="N638" s="2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3"/>
      <c r="Z638" s="3"/>
      <c r="AA638" s="3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"/>
      <c r="N639" s="2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3"/>
      <c r="Z639" s="3"/>
      <c r="AA639" s="3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"/>
      <c r="N640" s="2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3"/>
      <c r="Z640" s="3"/>
      <c r="AA640" s="3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"/>
      <c r="N641" s="2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3"/>
      <c r="Z641" s="3"/>
      <c r="AA641" s="3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"/>
      <c r="N642" s="2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3"/>
      <c r="Z642" s="3"/>
      <c r="AA642" s="3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"/>
      <c r="N643" s="2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3"/>
      <c r="Z643" s="3"/>
      <c r="AA643" s="3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"/>
      <c r="N644" s="2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3"/>
      <c r="Z644" s="3"/>
      <c r="AA644" s="3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2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3"/>
      <c r="Z645" s="3"/>
      <c r="AA645" s="3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2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3"/>
      <c r="Z646" s="3"/>
      <c r="AA646" s="3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2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3"/>
      <c r="Z647" s="3"/>
      <c r="AA647" s="3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2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3"/>
      <c r="Z648" s="3"/>
      <c r="AA648" s="3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2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3"/>
      <c r="Z649" s="3"/>
      <c r="AA649" s="3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2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3"/>
      <c r="Z650" s="3"/>
      <c r="AA650" s="3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2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3"/>
      <c r="Z651" s="3"/>
      <c r="AA651" s="3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2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3"/>
      <c r="Z652" s="3"/>
      <c r="AA652" s="3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2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3"/>
      <c r="Z653" s="3"/>
      <c r="AA653" s="3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2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3"/>
      <c r="Z654" s="3"/>
      <c r="AA654" s="3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2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3"/>
      <c r="Z655" s="3"/>
      <c r="AA655" s="3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2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3"/>
      <c r="Z656" s="3"/>
      <c r="AA656" s="3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2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3"/>
      <c r="Z657" s="3"/>
      <c r="AA657" s="3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2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3"/>
      <c r="Z658" s="3"/>
      <c r="AA658" s="3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2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3"/>
      <c r="Z659" s="3"/>
      <c r="AA659" s="3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2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3"/>
      <c r="Z660" s="3"/>
      <c r="AA660" s="3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2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3"/>
      <c r="Z661" s="3"/>
      <c r="AA661" s="3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2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3"/>
      <c r="Z662" s="3"/>
      <c r="AA662" s="3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2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3"/>
      <c r="Z663" s="3"/>
      <c r="AA663" s="3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2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3"/>
      <c r="Z664" s="3"/>
      <c r="AA664" s="3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2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3"/>
      <c r="Z665" s="3"/>
      <c r="AA665" s="3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2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3"/>
      <c r="Z666" s="3"/>
      <c r="AA666" s="3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2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3"/>
      <c r="Z667" s="3"/>
      <c r="AA667" s="3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2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3"/>
      <c r="Z668" s="3"/>
      <c r="AA668" s="3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2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3"/>
      <c r="Z669" s="3"/>
      <c r="AA669" s="3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2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3"/>
      <c r="Z670" s="3"/>
      <c r="AA670" s="3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2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3"/>
      <c r="Z671" s="3"/>
      <c r="AA671" s="3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2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3"/>
      <c r="Z672" s="3"/>
      <c r="AA672" s="3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2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3"/>
      <c r="Z673" s="3"/>
      <c r="AA673" s="3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2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3"/>
      <c r="Z674" s="3"/>
      <c r="AA674" s="3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2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3"/>
      <c r="Z675" s="3"/>
      <c r="AA675" s="3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2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3"/>
      <c r="Z676" s="3"/>
      <c r="AA676" s="3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2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3"/>
      <c r="Z677" s="3"/>
      <c r="AA677" s="3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2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3"/>
      <c r="Z678" s="3"/>
      <c r="AA678" s="3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2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3"/>
      <c r="Z679" s="3"/>
      <c r="AA679" s="3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2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3"/>
      <c r="Z680" s="3"/>
      <c r="AA680" s="3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2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3"/>
      <c r="Z681" s="3"/>
      <c r="AA681" s="3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2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3"/>
      <c r="Z682" s="3"/>
      <c r="AA682" s="3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2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3"/>
      <c r="Z683" s="3"/>
      <c r="AA683" s="3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2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3"/>
      <c r="Z684" s="3"/>
      <c r="AA684" s="3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2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3"/>
      <c r="Z685" s="3"/>
      <c r="AA685" s="3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2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3"/>
      <c r="Z686" s="3"/>
      <c r="AA686" s="3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2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3"/>
      <c r="Z687" s="3"/>
      <c r="AA687" s="3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2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3"/>
      <c r="Z688" s="3"/>
      <c r="AA688" s="3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2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3"/>
      <c r="Z689" s="3"/>
      <c r="AA689" s="3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2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3"/>
      <c r="Z690" s="3"/>
      <c r="AA690" s="3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2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3"/>
      <c r="Z691" s="3"/>
      <c r="AA691" s="3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2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3"/>
      <c r="Z692" s="3"/>
      <c r="AA692" s="3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2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3"/>
      <c r="Z693" s="3"/>
      <c r="AA693" s="3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2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3"/>
      <c r="Z694" s="3"/>
      <c r="AA694" s="3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2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3"/>
      <c r="Z695" s="3"/>
      <c r="AA695" s="3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2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3"/>
      <c r="Z696" s="3"/>
      <c r="AA696" s="3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2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3"/>
      <c r="Z697" s="3"/>
      <c r="AA697" s="3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2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3"/>
      <c r="Z698" s="3"/>
      <c r="AA698" s="3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2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3"/>
      <c r="Z699" s="3"/>
      <c r="AA699" s="3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2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3"/>
      <c r="Z700" s="3"/>
      <c r="AA700" s="3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2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3"/>
      <c r="Z701" s="3"/>
      <c r="AA701" s="3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2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3"/>
      <c r="Z702" s="3"/>
      <c r="AA702" s="3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2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3"/>
      <c r="Z703" s="3"/>
      <c r="AA703" s="3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2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3"/>
      <c r="Z704" s="3"/>
      <c r="AA704" s="3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2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3"/>
      <c r="Z705" s="3"/>
      <c r="AA705" s="3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2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3"/>
      <c r="Z706" s="3"/>
      <c r="AA706" s="3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2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3"/>
      <c r="Z707" s="3"/>
      <c r="AA707" s="3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2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3"/>
      <c r="Z708" s="3"/>
      <c r="AA708" s="3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2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3"/>
      <c r="Z709" s="3"/>
      <c r="AA709" s="3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2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3"/>
      <c r="Z710" s="3"/>
      <c r="AA710" s="3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2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3"/>
      <c r="Z711" s="3"/>
      <c r="AA711" s="3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2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3"/>
      <c r="Z712" s="3"/>
      <c r="AA712" s="3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2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3"/>
      <c r="Z713" s="3"/>
      <c r="AA713" s="3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2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3"/>
      <c r="Z714" s="3"/>
      <c r="AA714" s="3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2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3"/>
      <c r="Z715" s="3"/>
      <c r="AA715" s="3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2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3"/>
      <c r="Z716" s="3"/>
      <c r="AA716" s="3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2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3"/>
      <c r="Z717" s="3"/>
      <c r="AA717" s="3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2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3"/>
      <c r="Z718" s="3"/>
      <c r="AA718" s="3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2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3"/>
      <c r="Z719" s="3"/>
      <c r="AA719" s="3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2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3"/>
      <c r="Z720" s="3"/>
      <c r="AA720" s="3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2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3"/>
      <c r="Z721" s="3"/>
      <c r="AA721" s="3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2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3"/>
      <c r="Z722" s="3"/>
      <c r="AA722" s="3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2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3"/>
      <c r="Z723" s="3"/>
      <c r="AA723" s="3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2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3"/>
      <c r="Z724" s="3"/>
      <c r="AA724" s="3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2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3"/>
      <c r="Z725" s="3"/>
      <c r="AA725" s="3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2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3"/>
      <c r="Z726" s="3"/>
      <c r="AA726" s="3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2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3"/>
      <c r="Z727" s="3"/>
      <c r="AA727" s="3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2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3"/>
      <c r="Z728" s="3"/>
      <c r="AA728" s="3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2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3"/>
      <c r="Z729" s="3"/>
      <c r="AA729" s="3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2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3"/>
      <c r="Z730" s="3"/>
      <c r="AA730" s="3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2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3"/>
      <c r="Z731" s="3"/>
      <c r="AA731" s="3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2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3"/>
      <c r="Z732" s="3"/>
      <c r="AA732" s="3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2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3"/>
      <c r="Z733" s="3"/>
      <c r="AA733" s="3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2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3"/>
      <c r="Z734" s="3"/>
      <c r="AA734" s="3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2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3"/>
      <c r="Z735" s="3"/>
      <c r="AA735" s="3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2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3"/>
      <c r="Z736" s="3"/>
      <c r="AA736" s="3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2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3"/>
      <c r="Z737" s="3"/>
      <c r="AA737" s="3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2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3"/>
      <c r="Z738" s="3"/>
      <c r="AA738" s="3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2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3"/>
      <c r="Z739" s="3"/>
      <c r="AA739" s="3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2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3"/>
      <c r="Z740" s="3"/>
      <c r="AA740" s="3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2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3"/>
      <c r="Z741" s="3"/>
      <c r="AA741" s="3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2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3"/>
      <c r="Z742" s="3"/>
      <c r="AA742" s="3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2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3"/>
      <c r="Z743" s="3"/>
      <c r="AA743" s="3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2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3"/>
      <c r="Z744" s="3"/>
      <c r="AA744" s="3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2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3"/>
      <c r="Z745" s="3"/>
      <c r="AA745" s="3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2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3"/>
      <c r="Z746" s="3"/>
      <c r="AA746" s="3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2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3"/>
      <c r="Z747" s="3"/>
      <c r="AA747" s="3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2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3"/>
      <c r="Z748" s="3"/>
      <c r="AA748" s="3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2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3"/>
      <c r="Z749" s="3"/>
      <c r="AA749" s="3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2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3"/>
      <c r="Z750" s="3"/>
      <c r="AA750" s="3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2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3"/>
      <c r="Z751" s="3"/>
      <c r="AA751" s="3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2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3"/>
      <c r="Z752" s="3"/>
      <c r="AA752" s="3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2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3"/>
      <c r="Z753" s="3"/>
      <c r="AA753" s="3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2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3"/>
      <c r="Z754" s="3"/>
      <c r="AA754" s="3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2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3"/>
      <c r="Z755" s="3"/>
      <c r="AA755" s="3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2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3"/>
      <c r="Z756" s="3"/>
      <c r="AA756" s="3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2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3"/>
      <c r="Z757" s="3"/>
      <c r="AA757" s="3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2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3"/>
      <c r="Z758" s="3"/>
      <c r="AA758" s="3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2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3"/>
      <c r="Z759" s="3"/>
      <c r="AA759" s="3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2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3"/>
      <c r="Z760" s="3"/>
      <c r="AA760" s="3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2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3"/>
      <c r="Z761" s="3"/>
      <c r="AA761" s="3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2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3"/>
      <c r="Z762" s="3"/>
      <c r="AA762" s="3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2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3"/>
      <c r="Z763" s="3"/>
      <c r="AA763" s="3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2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3"/>
      <c r="Z764" s="3"/>
      <c r="AA764" s="3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2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3"/>
      <c r="Z765" s="3"/>
      <c r="AA765" s="3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2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3"/>
      <c r="Z766" s="3"/>
      <c r="AA766" s="3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2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3"/>
      <c r="Z767" s="3"/>
      <c r="AA767" s="3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2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3"/>
      <c r="Z768" s="3"/>
      <c r="AA768" s="3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2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3"/>
      <c r="Z769" s="3"/>
      <c r="AA769" s="3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2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3"/>
      <c r="Z770" s="3"/>
      <c r="AA770" s="3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2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3"/>
      <c r="Z771" s="3"/>
      <c r="AA771" s="3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2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3"/>
      <c r="Z772" s="3"/>
      <c r="AA772" s="3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2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3"/>
      <c r="Z773" s="3"/>
      <c r="AA773" s="3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2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3"/>
      <c r="Z774" s="3"/>
      <c r="AA774" s="3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2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3"/>
      <c r="Z775" s="3"/>
      <c r="AA775" s="3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2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3"/>
      <c r="Z776" s="3"/>
      <c r="AA776" s="3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2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3"/>
      <c r="Z777" s="3"/>
      <c r="AA777" s="3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2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3"/>
      <c r="Z778" s="3"/>
      <c r="AA778" s="3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2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3"/>
      <c r="Z779" s="3"/>
      <c r="AA779" s="3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2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3"/>
      <c r="Z780" s="3"/>
      <c r="AA780" s="3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2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3"/>
      <c r="Z781" s="3"/>
      <c r="AA781" s="3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2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3"/>
      <c r="Z782" s="3"/>
      <c r="AA782" s="3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2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3"/>
      <c r="Z783" s="3"/>
      <c r="AA783" s="3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2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3"/>
      <c r="Z784" s="3"/>
      <c r="AA784" s="3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2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3"/>
      <c r="Z785" s="3"/>
      <c r="AA785" s="3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2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3"/>
      <c r="Z786" s="3"/>
      <c r="AA786" s="3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2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3"/>
      <c r="Z787" s="3"/>
      <c r="AA787" s="3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2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3"/>
      <c r="Z788" s="3"/>
      <c r="AA788" s="3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2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3"/>
      <c r="Z789" s="3"/>
      <c r="AA789" s="3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2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3"/>
      <c r="Z790" s="3"/>
      <c r="AA790" s="3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2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3"/>
      <c r="Z791" s="3"/>
      <c r="AA791" s="3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2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3"/>
      <c r="Z792" s="3"/>
      <c r="AA792" s="3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2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3"/>
      <c r="Z793" s="3"/>
      <c r="AA793" s="3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2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3"/>
      <c r="Z794" s="3"/>
      <c r="AA794" s="3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2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3"/>
      <c r="Z795" s="3"/>
      <c r="AA795" s="3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2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3"/>
      <c r="Z796" s="3"/>
      <c r="AA796" s="3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2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3"/>
      <c r="Z797" s="3"/>
      <c r="AA797" s="3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2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3"/>
      <c r="Z798" s="3"/>
      <c r="AA798" s="3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2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3"/>
      <c r="Z799" s="3"/>
      <c r="AA799" s="3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2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3"/>
      <c r="Z800" s="3"/>
      <c r="AA800" s="3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2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3"/>
      <c r="Z801" s="3"/>
      <c r="AA801" s="3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2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3"/>
      <c r="Z802" s="3"/>
      <c r="AA802" s="3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2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3"/>
      <c r="Z803" s="3"/>
      <c r="AA803" s="3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2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3"/>
      <c r="Z804" s="3"/>
      <c r="AA804" s="3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2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3"/>
      <c r="Z805" s="3"/>
      <c r="AA805" s="3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2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3"/>
      <c r="Z806" s="3"/>
      <c r="AA806" s="3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2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3"/>
      <c r="Z807" s="3"/>
      <c r="AA807" s="3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2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3"/>
      <c r="Z808" s="3"/>
      <c r="AA808" s="3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2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3"/>
      <c r="Z809" s="3"/>
      <c r="AA809" s="3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2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3"/>
      <c r="Z810" s="3"/>
      <c r="AA810" s="3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2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3"/>
      <c r="Z811" s="3"/>
      <c r="AA811" s="3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2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3"/>
      <c r="Z812" s="3"/>
      <c r="AA812" s="3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2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3"/>
      <c r="Z813" s="3"/>
      <c r="AA813" s="3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2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3"/>
      <c r="Z814" s="3"/>
      <c r="AA814" s="3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2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3"/>
      <c r="Z815" s="3"/>
      <c r="AA815" s="3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2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3"/>
      <c r="Z816" s="3"/>
      <c r="AA816" s="3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2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3"/>
      <c r="Z817" s="3"/>
      <c r="AA817" s="3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2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3"/>
      <c r="Z818" s="3"/>
      <c r="AA818" s="3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2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3"/>
      <c r="Z819" s="3"/>
      <c r="AA819" s="3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2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3"/>
      <c r="Z820" s="3"/>
      <c r="AA820" s="3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2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3"/>
      <c r="Z821" s="3"/>
      <c r="AA821" s="3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2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3"/>
      <c r="Z822" s="3"/>
      <c r="AA822" s="3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2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3"/>
      <c r="Z823" s="3"/>
      <c r="AA823" s="3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2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3"/>
      <c r="Z824" s="3"/>
      <c r="AA824" s="3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2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3"/>
      <c r="Z825" s="3"/>
      <c r="AA825" s="3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2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3"/>
      <c r="Z826" s="3"/>
      <c r="AA826" s="3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2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3"/>
      <c r="Z827" s="3"/>
      <c r="AA827" s="3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2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3"/>
      <c r="Z828" s="3"/>
      <c r="AA828" s="3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2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3"/>
      <c r="Z829" s="3"/>
      <c r="AA829" s="3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2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3"/>
      <c r="Z830" s="3"/>
      <c r="AA830" s="3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2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3"/>
      <c r="Z831" s="3"/>
      <c r="AA831" s="3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2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3"/>
      <c r="Z832" s="3"/>
      <c r="AA832" s="3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2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3"/>
      <c r="Z833" s="3"/>
      <c r="AA833" s="3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2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3"/>
      <c r="Z834" s="3"/>
      <c r="AA834" s="3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2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3"/>
      <c r="Z835" s="3"/>
      <c r="AA835" s="3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2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3"/>
      <c r="Z836" s="3"/>
      <c r="AA836" s="3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2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3"/>
      <c r="Z837" s="3"/>
      <c r="AA837" s="3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2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3"/>
      <c r="Z838" s="3"/>
      <c r="AA838" s="3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2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3"/>
      <c r="Z839" s="3"/>
      <c r="AA839" s="3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2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3"/>
      <c r="Z840" s="3"/>
      <c r="AA840" s="3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2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3"/>
      <c r="Z841" s="3"/>
      <c r="AA841" s="3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2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3"/>
      <c r="Z842" s="3"/>
      <c r="AA842" s="3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2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3"/>
      <c r="Z843" s="3"/>
      <c r="AA843" s="3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2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3"/>
      <c r="Z844" s="3"/>
      <c r="AA844" s="3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2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3"/>
      <c r="Z845" s="3"/>
      <c r="AA845" s="3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2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3"/>
      <c r="Z846" s="3"/>
      <c r="AA846" s="3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2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3"/>
      <c r="Z847" s="3"/>
      <c r="AA847" s="3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2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3"/>
      <c r="Z848" s="3"/>
      <c r="AA848" s="3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2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3"/>
      <c r="Z849" s="3"/>
      <c r="AA849" s="3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2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3"/>
      <c r="Z850" s="3"/>
      <c r="AA850" s="3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2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3"/>
      <c r="Z851" s="3"/>
      <c r="AA851" s="3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2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3"/>
      <c r="Z852" s="3"/>
      <c r="AA852" s="3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2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3"/>
      <c r="Z853" s="3"/>
      <c r="AA853" s="3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2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3"/>
      <c r="Z854" s="3"/>
      <c r="AA854" s="3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2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3"/>
      <c r="Z855" s="3"/>
      <c r="AA855" s="3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2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3"/>
      <c r="Z856" s="3"/>
      <c r="AA856" s="3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2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3"/>
      <c r="Z857" s="3"/>
      <c r="AA857" s="3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2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3"/>
      <c r="Z858" s="3"/>
      <c r="AA858" s="3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2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3"/>
      <c r="Z859" s="3"/>
      <c r="AA859" s="3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2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3"/>
      <c r="Z860" s="3"/>
      <c r="AA860" s="3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2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3"/>
      <c r="Z861" s="3"/>
      <c r="AA861" s="3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2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3"/>
      <c r="Z862" s="3"/>
      <c r="AA862" s="3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2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3"/>
      <c r="Z863" s="3"/>
      <c r="AA863" s="3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2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3"/>
      <c r="Z864" s="3"/>
      <c r="AA864" s="3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2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3"/>
      <c r="Z865" s="3"/>
      <c r="AA865" s="3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2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3"/>
      <c r="Z866" s="3"/>
      <c r="AA866" s="3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2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3"/>
      <c r="Z867" s="3"/>
      <c r="AA867" s="3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2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3"/>
      <c r="Z868" s="3"/>
      <c r="AA868" s="3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2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3"/>
      <c r="Z869" s="3"/>
      <c r="AA869" s="3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2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3"/>
      <c r="Z870" s="3"/>
      <c r="AA870" s="3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2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3"/>
      <c r="Z871" s="3"/>
      <c r="AA871" s="3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2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3"/>
      <c r="Z872" s="3"/>
      <c r="AA872" s="3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2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3"/>
      <c r="Z873" s="3"/>
      <c r="AA873" s="3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2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3"/>
      <c r="Z874" s="3"/>
      <c r="AA874" s="3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2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3"/>
      <c r="Z875" s="3"/>
      <c r="AA875" s="3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2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3"/>
      <c r="Z876" s="3"/>
      <c r="AA876" s="3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2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3"/>
      <c r="Z877" s="3"/>
      <c r="AA877" s="3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2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3"/>
      <c r="Z878" s="3"/>
      <c r="AA878" s="3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2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3"/>
      <c r="Z879" s="3"/>
      <c r="AA879" s="3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2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3"/>
      <c r="Z880" s="3"/>
      <c r="AA880" s="3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2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3"/>
      <c r="Z881" s="3"/>
      <c r="AA881" s="3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2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3"/>
      <c r="Z882" s="3"/>
      <c r="AA882" s="3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2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3"/>
      <c r="Z883" s="3"/>
      <c r="AA883" s="3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2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3"/>
      <c r="Z884" s="3"/>
      <c r="AA884" s="3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2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3"/>
      <c r="Z885" s="3"/>
      <c r="AA885" s="3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2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3"/>
      <c r="Z886" s="3"/>
      <c r="AA886" s="3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2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3"/>
      <c r="Z887" s="3"/>
      <c r="AA887" s="3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2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3"/>
      <c r="Z888" s="3"/>
      <c r="AA888" s="3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2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3"/>
      <c r="Z889" s="3"/>
      <c r="AA889" s="3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2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3"/>
      <c r="Z890" s="3"/>
      <c r="AA890" s="3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2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3"/>
      <c r="Z891" s="3"/>
      <c r="AA891" s="3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2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3"/>
      <c r="Z892" s="3"/>
      <c r="AA892" s="3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2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3"/>
      <c r="Z893" s="3"/>
      <c r="AA893" s="3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2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3"/>
      <c r="Z894" s="3"/>
      <c r="AA894" s="3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2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3"/>
      <c r="Z895" s="3"/>
      <c r="AA895" s="3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2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3"/>
      <c r="Z896" s="3"/>
      <c r="AA896" s="3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2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3"/>
      <c r="Z897" s="3"/>
      <c r="AA897" s="3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2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3"/>
      <c r="Z898" s="3"/>
      <c r="AA898" s="3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2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3"/>
      <c r="Z899" s="3"/>
      <c r="AA899" s="3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2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3"/>
      <c r="Z900" s="3"/>
      <c r="AA900" s="3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2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3"/>
      <c r="Z901" s="3"/>
      <c r="AA901" s="3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2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3"/>
      <c r="Z902" s="3"/>
      <c r="AA902" s="3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2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3"/>
      <c r="Z903" s="3"/>
      <c r="AA903" s="3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2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3"/>
      <c r="Z904" s="3"/>
      <c r="AA904" s="3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2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3"/>
      <c r="Z905" s="3"/>
      <c r="AA905" s="3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2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3"/>
      <c r="Z906" s="3"/>
      <c r="AA906" s="3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2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3"/>
      <c r="Z907" s="3"/>
      <c r="AA907" s="3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2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3"/>
      <c r="Z908" s="3"/>
      <c r="AA908" s="3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2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3"/>
      <c r="Z909" s="3"/>
      <c r="AA909" s="3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2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3"/>
      <c r="Z910" s="3"/>
      <c r="AA910" s="3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2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3"/>
      <c r="Z911" s="3"/>
      <c r="AA911" s="3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2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3"/>
      <c r="Z912" s="3"/>
      <c r="AA912" s="3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2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3"/>
      <c r="Z913" s="3"/>
      <c r="AA913" s="3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2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3"/>
      <c r="Z914" s="3"/>
      <c r="AA914" s="3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2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3"/>
      <c r="Z915" s="3"/>
      <c r="AA915" s="3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2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3"/>
      <c r="Z916" s="3"/>
      <c r="AA916" s="3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2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3"/>
      <c r="Z917" s="3"/>
      <c r="AA917" s="3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2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3"/>
      <c r="Z918" s="3"/>
      <c r="AA918" s="3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2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3"/>
      <c r="Z919" s="3"/>
      <c r="AA919" s="3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2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3"/>
      <c r="Z920" s="3"/>
      <c r="AA920" s="3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2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3"/>
      <c r="Z921" s="3"/>
      <c r="AA921" s="3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2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3"/>
      <c r="Z922" s="3"/>
      <c r="AA922" s="3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2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3"/>
      <c r="Z923" s="3"/>
      <c r="AA923" s="3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2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3"/>
      <c r="Z924" s="3"/>
      <c r="AA924" s="3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2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3"/>
      <c r="Z925" s="3"/>
      <c r="AA925" s="3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2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3"/>
      <c r="Z926" s="3"/>
      <c r="AA926" s="3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2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3"/>
      <c r="Z927" s="3"/>
      <c r="AA927" s="3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2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3"/>
      <c r="Z928" s="3"/>
      <c r="AA928" s="3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2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3"/>
      <c r="Z929" s="3"/>
      <c r="AA929" s="3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2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3"/>
      <c r="Z930" s="3"/>
      <c r="AA930" s="3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2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3"/>
      <c r="Z931" s="3"/>
      <c r="AA931" s="3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2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3"/>
      <c r="Z932" s="3"/>
      <c r="AA932" s="3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2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3"/>
      <c r="Z933" s="3"/>
      <c r="AA933" s="3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2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3"/>
      <c r="Z934" s="3"/>
      <c r="AA934" s="3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2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3"/>
      <c r="Z935" s="3"/>
      <c r="AA935" s="3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2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3"/>
      <c r="Z936" s="3"/>
      <c r="AA936" s="3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2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3"/>
      <c r="Z937" s="3"/>
      <c r="AA937" s="3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2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3"/>
      <c r="Z938" s="3"/>
      <c r="AA938" s="3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2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3"/>
      <c r="Z939" s="3"/>
      <c r="AA939" s="3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2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3"/>
      <c r="Z940" s="3"/>
      <c r="AA940" s="3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2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3"/>
      <c r="Z941" s="3"/>
      <c r="AA941" s="3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2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3"/>
      <c r="Z942" s="3"/>
      <c r="AA942" s="3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2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3"/>
      <c r="Z943" s="3"/>
      <c r="AA943" s="3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2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3"/>
      <c r="Z944" s="3"/>
      <c r="AA944" s="3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2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3"/>
      <c r="Z945" s="3"/>
      <c r="AA945" s="3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2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3"/>
      <c r="Z946" s="3"/>
      <c r="AA946" s="3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2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3"/>
      <c r="Z947" s="3"/>
      <c r="AA947" s="3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2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3"/>
      <c r="Z948" s="3"/>
      <c r="AA948" s="3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2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3"/>
      <c r="Z949" s="3"/>
      <c r="AA949" s="3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2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3"/>
      <c r="Z950" s="3"/>
      <c r="AA950" s="3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2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3"/>
      <c r="Z951" s="3"/>
      <c r="AA951" s="3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2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3"/>
      <c r="Z952" s="3"/>
      <c r="AA952" s="3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2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3"/>
      <c r="Z953" s="3"/>
      <c r="AA953" s="3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2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3"/>
      <c r="Z954" s="3"/>
      <c r="AA954" s="3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2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3"/>
      <c r="Z955" s="3"/>
      <c r="AA955" s="3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2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3"/>
      <c r="Z956" s="3"/>
      <c r="AA956" s="3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2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3"/>
      <c r="Z957" s="3"/>
      <c r="AA957" s="3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2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3"/>
      <c r="Z958" s="3"/>
      <c r="AA958" s="3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2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3"/>
      <c r="Z959" s="3"/>
      <c r="AA959" s="3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2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3"/>
      <c r="Z960" s="3"/>
      <c r="AA960" s="3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2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3"/>
      <c r="Z961" s="3"/>
      <c r="AA961" s="3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2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3"/>
      <c r="Z962" s="3"/>
      <c r="AA962" s="3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2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3"/>
      <c r="Z963" s="3"/>
      <c r="AA963" s="3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2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3"/>
      <c r="Z964" s="3"/>
      <c r="AA964" s="3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2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3"/>
      <c r="Z965" s="3"/>
      <c r="AA965" s="3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2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3"/>
      <c r="Z966" s="3"/>
      <c r="AA966" s="3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2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3"/>
      <c r="Z967" s="3"/>
      <c r="AA967" s="3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2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3"/>
      <c r="Z968" s="3"/>
      <c r="AA968" s="3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2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3"/>
      <c r="Z969" s="3"/>
      <c r="AA969" s="3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"/>
      <c r="N970" s="2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3"/>
      <c r="Z970" s="3"/>
      <c r="AA970" s="3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"/>
      <c r="N971" s="2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3"/>
      <c r="Z971" s="3"/>
      <c r="AA971" s="3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"/>
      <c r="N972" s="2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3"/>
      <c r="Z972" s="3"/>
      <c r="AA972" s="3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"/>
      <c r="N973" s="2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3"/>
      <c r="Z973" s="3"/>
      <c r="AA973" s="3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"/>
      <c r="N974" s="2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3"/>
      <c r="Z974" s="3"/>
      <c r="AA974" s="3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"/>
      <c r="N975" s="2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3"/>
      <c r="Z975" s="3"/>
      <c r="AA975" s="3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"/>
      <c r="N976" s="2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3"/>
      <c r="Z976" s="3"/>
      <c r="AA976" s="3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"/>
      <c r="N977" s="2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3"/>
      <c r="Z977" s="3"/>
      <c r="AA977" s="3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"/>
      <c r="N978" s="2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3"/>
      <c r="Z978" s="3"/>
      <c r="AA978" s="3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"/>
      <c r="N979" s="2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3"/>
      <c r="Z979" s="3"/>
      <c r="AA979" s="3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"/>
      <c r="N980" s="2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3"/>
      <c r="Z980" s="3"/>
      <c r="AA980" s="3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"/>
      <c r="N981" s="2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3"/>
      <c r="Z981" s="3"/>
      <c r="AA981" s="3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"/>
      <c r="N982" s="2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3"/>
      <c r="Z982" s="3"/>
      <c r="AA982" s="3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"/>
      <c r="N983" s="2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3"/>
      <c r="Z983" s="3"/>
      <c r="AA983" s="3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"/>
      <c r="N984" s="2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3"/>
      <c r="Z984" s="3"/>
      <c r="AA984" s="3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"/>
      <c r="N985" s="2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3"/>
      <c r="Z985" s="3"/>
      <c r="AA985" s="3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"/>
      <c r="N986" s="2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3"/>
      <c r="Z986" s="3"/>
      <c r="AA986" s="3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"/>
      <c r="N987" s="2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3"/>
      <c r="Z987" s="3"/>
      <c r="AA987" s="3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2"/>
      <c r="N988" s="2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3"/>
      <c r="Z988" s="3"/>
      <c r="AA988" s="3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"/>
      <c r="N989" s="2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3"/>
      <c r="Z989" s="3"/>
      <c r="AA989" s="3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"/>
      <c r="N990" s="2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3"/>
      <c r="Z990" s="3"/>
      <c r="AA990" s="3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2"/>
      <c r="N991" s="2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3"/>
      <c r="Z991" s="3"/>
      <c r="AA991" s="3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"/>
      <c r="N992" s="2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3"/>
      <c r="Z992" s="3"/>
      <c r="AA992" s="3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"/>
      <c r="N993" s="2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3"/>
      <c r="Z993" s="3"/>
      <c r="AA993" s="3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"/>
      <c r="N994" s="2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3"/>
      <c r="Z994" s="3"/>
      <c r="AA994" s="3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"/>
      <c r="N995" s="2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3"/>
      <c r="Z995" s="3"/>
      <c r="AA995" s="3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"/>
      <c r="N996" s="2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3"/>
      <c r="Z996" s="3"/>
      <c r="AA996" s="3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"/>
      <c r="N997" s="2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3"/>
      <c r="Z997" s="3"/>
      <c r="AA997" s="3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"/>
      <c r="N998" s="2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3"/>
      <c r="Z998" s="3"/>
      <c r="AA998" s="3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"/>
      <c r="N999" s="2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3"/>
      <c r="Z999" s="3"/>
      <c r="AA999" s="3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"/>
      <c r="N1000" s="2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3"/>
      <c r="Z1000" s="3"/>
      <c r="AA1000" s="3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2"/>
      <c r="N1001" s="2"/>
      <c r="O1001" s="3"/>
      <c r="P1001" s="3"/>
      <c r="Q1001" s="1"/>
      <c r="R1001" s="1"/>
      <c r="S1001" s="1"/>
      <c r="T1001" s="1"/>
      <c r="U1001" s="1"/>
      <c r="V1001" s="1"/>
      <c r="W1001" s="1"/>
      <c r="X1001" s="1"/>
      <c r="Y1001" s="3"/>
      <c r="Z1001" s="3"/>
      <c r="AA1001" s="3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2"/>
      <c r="N1002" s="2"/>
      <c r="O1002" s="3"/>
      <c r="P1002" s="3"/>
      <c r="Q1002" s="1"/>
      <c r="R1002" s="1"/>
      <c r="S1002" s="1"/>
      <c r="T1002" s="1"/>
      <c r="U1002" s="1"/>
      <c r="V1002" s="1"/>
      <c r="W1002" s="1"/>
      <c r="X1002" s="1"/>
      <c r="Y1002" s="3"/>
      <c r="Z1002" s="3"/>
      <c r="AA1002" s="3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2"/>
      <c r="N1003" s="2"/>
      <c r="O1003" s="3"/>
      <c r="P1003" s="3"/>
      <c r="Q1003" s="1"/>
      <c r="R1003" s="1"/>
      <c r="S1003" s="1"/>
      <c r="T1003" s="1"/>
      <c r="U1003" s="1"/>
      <c r="V1003" s="1"/>
      <c r="W1003" s="1"/>
      <c r="X1003" s="1"/>
      <c r="Y1003" s="3"/>
      <c r="Z1003" s="3"/>
      <c r="AA1003" s="3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2"/>
      <c r="N1004" s="2"/>
      <c r="O1004" s="3"/>
      <c r="P1004" s="3"/>
      <c r="Q1004" s="1"/>
      <c r="R1004" s="1"/>
      <c r="S1004" s="1"/>
      <c r="T1004" s="1"/>
      <c r="U1004" s="1"/>
      <c r="V1004" s="1"/>
      <c r="W1004" s="1"/>
      <c r="X1004" s="1"/>
      <c r="Y1004" s="3"/>
      <c r="Z1004" s="3"/>
      <c r="AA1004" s="3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2"/>
      <c r="N1005" s="2"/>
      <c r="O1005" s="3"/>
      <c r="P1005" s="3"/>
      <c r="Q1005" s="1"/>
      <c r="R1005" s="1"/>
      <c r="S1005" s="1"/>
      <c r="T1005" s="1"/>
      <c r="U1005" s="1"/>
      <c r="V1005" s="1"/>
      <c r="W1005" s="1"/>
      <c r="X1005" s="1"/>
      <c r="Y1005" s="3"/>
      <c r="Z1005" s="3"/>
      <c r="AA1005" s="3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2"/>
      <c r="N1006" s="2"/>
      <c r="O1006" s="3"/>
      <c r="P1006" s="3"/>
      <c r="Q1006" s="1"/>
      <c r="R1006" s="1"/>
      <c r="S1006" s="1"/>
      <c r="T1006" s="1"/>
      <c r="U1006" s="1"/>
      <c r="V1006" s="1"/>
      <c r="W1006" s="1"/>
      <c r="X1006" s="1"/>
      <c r="Y1006" s="3"/>
      <c r="Z1006" s="3"/>
      <c r="AA1006" s="3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2"/>
      <c r="N1007" s="2"/>
      <c r="O1007" s="3"/>
      <c r="P1007" s="3"/>
      <c r="Q1007" s="1"/>
      <c r="R1007" s="1"/>
      <c r="S1007" s="1"/>
      <c r="T1007" s="1"/>
      <c r="U1007" s="1"/>
      <c r="V1007" s="1"/>
      <c r="W1007" s="1"/>
      <c r="X1007" s="1"/>
      <c r="Y1007" s="3"/>
      <c r="Z1007" s="3"/>
      <c r="AA1007" s="3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2"/>
      <c r="N1008" s="2"/>
      <c r="O1008" s="3"/>
      <c r="P1008" s="3"/>
      <c r="Q1008" s="1"/>
      <c r="R1008" s="1"/>
      <c r="S1008" s="1"/>
      <c r="T1008" s="1"/>
      <c r="U1008" s="1"/>
      <c r="V1008" s="1"/>
      <c r="W1008" s="1"/>
      <c r="X1008" s="1"/>
      <c r="Y1008" s="3"/>
      <c r="Z1008" s="3"/>
      <c r="AA1008" s="3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2"/>
      <c r="N1009" s="2"/>
      <c r="O1009" s="3"/>
      <c r="P1009" s="3"/>
      <c r="Q1009" s="1"/>
      <c r="R1009" s="1"/>
      <c r="S1009" s="1"/>
      <c r="T1009" s="1"/>
      <c r="U1009" s="1"/>
      <c r="V1009" s="1"/>
      <c r="W1009" s="1"/>
      <c r="X1009" s="1"/>
      <c r="Y1009" s="3"/>
      <c r="Z1009" s="3"/>
      <c r="AA1009" s="3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2"/>
      <c r="N1010" s="2"/>
      <c r="O1010" s="3"/>
      <c r="P1010" s="3"/>
      <c r="Q1010" s="1"/>
      <c r="R1010" s="1"/>
      <c r="S1010" s="1"/>
      <c r="T1010" s="1"/>
      <c r="U1010" s="1"/>
      <c r="V1010" s="1"/>
      <c r="W1010" s="1"/>
      <c r="X1010" s="1"/>
      <c r="Y1010" s="3"/>
      <c r="Z1010" s="3"/>
      <c r="AA1010" s="3"/>
    </row>
  </sheetData>
  <mergeCells count="247">
    <mergeCell ref="D4:E4"/>
    <mergeCell ref="F4:G4"/>
    <mergeCell ref="B7:B8"/>
    <mergeCell ref="B9:B10"/>
    <mergeCell ref="B11:B12"/>
    <mergeCell ref="B13:B14"/>
    <mergeCell ref="B15:B17"/>
    <mergeCell ref="B30:B31"/>
    <mergeCell ref="B32:B34"/>
    <mergeCell ref="B35:B37"/>
    <mergeCell ref="B38:B39"/>
    <mergeCell ref="B40:B41"/>
    <mergeCell ref="B43:B44"/>
    <mergeCell ref="B45:B46"/>
    <mergeCell ref="B50:B52"/>
    <mergeCell ref="B18:B20"/>
    <mergeCell ref="B21:B22"/>
    <mergeCell ref="B23:B24"/>
    <mergeCell ref="B25:B26"/>
    <mergeCell ref="D25:E26"/>
    <mergeCell ref="H25:I26"/>
    <mergeCell ref="B27:B29"/>
    <mergeCell ref="Z2:Z3"/>
    <mergeCell ref="AA2:AA3"/>
    <mergeCell ref="H4:I4"/>
    <mergeCell ref="J4:K4"/>
    <mergeCell ref="N4:N5"/>
    <mergeCell ref="O4:O5"/>
    <mergeCell ref="R4:R5"/>
    <mergeCell ref="S4:T5"/>
    <mergeCell ref="B6:AA6"/>
    <mergeCell ref="S9:U10"/>
    <mergeCell ref="S11:T12"/>
    <mergeCell ref="U11:V12"/>
    <mergeCell ref="W11:X12"/>
    <mergeCell ref="Y11:Y12"/>
    <mergeCell ref="S13:U14"/>
    <mergeCell ref="V13:X14"/>
    <mergeCell ref="Y13:Y14"/>
    <mergeCell ref="L15:L17"/>
    <mergeCell ref="M15:M17"/>
    <mergeCell ref="N15:N17"/>
    <mergeCell ref="S15:T17"/>
    <mergeCell ref="U15:V17"/>
    <mergeCell ref="W15:X17"/>
    <mergeCell ref="Y16:Y17"/>
    <mergeCell ref="S27:T29"/>
    <mergeCell ref="U27:V29"/>
    <mergeCell ref="W27:X29"/>
    <mergeCell ref="Y28:Y29"/>
    <mergeCell ref="B42:AA42"/>
    <mergeCell ref="B47:AA47"/>
    <mergeCell ref="B56:AA56"/>
    <mergeCell ref="S74:X74"/>
    <mergeCell ref="B75:AA75"/>
    <mergeCell ref="S76:X76"/>
    <mergeCell ref="S77:X77"/>
    <mergeCell ref="S78:X78"/>
    <mergeCell ref="S79:X79"/>
    <mergeCell ref="S80:X80"/>
    <mergeCell ref="S81:X81"/>
    <mergeCell ref="B76:C76"/>
    <mergeCell ref="B77:C77"/>
    <mergeCell ref="B78:C78"/>
    <mergeCell ref="B79:C79"/>
    <mergeCell ref="B80:C80"/>
    <mergeCell ref="D80:E80"/>
    <mergeCell ref="H80:I80"/>
    <mergeCell ref="S59:X59"/>
    <mergeCell ref="S60:X60"/>
    <mergeCell ref="S61:X61"/>
    <mergeCell ref="S62:X62"/>
    <mergeCell ref="B57:AA57"/>
    <mergeCell ref="B58:C58"/>
    <mergeCell ref="S58:X58"/>
    <mergeCell ref="B59:C59"/>
    <mergeCell ref="B60:C60"/>
    <mergeCell ref="D60:E60"/>
    <mergeCell ref="H60:I60"/>
    <mergeCell ref="B61:C61"/>
    <mergeCell ref="F61:G61"/>
    <mergeCell ref="J61:K61"/>
    <mergeCell ref="B62:C62"/>
    <mergeCell ref="D62:E62"/>
    <mergeCell ref="H62:I62"/>
    <mergeCell ref="B63:AA63"/>
    <mergeCell ref="B64:C64"/>
    <mergeCell ref="S64:X64"/>
    <mergeCell ref="B65:C65"/>
    <mergeCell ref="S65:X65"/>
    <mergeCell ref="F66:G66"/>
    <mergeCell ref="J66:K66"/>
    <mergeCell ref="S66:X66"/>
    <mergeCell ref="S67:X67"/>
    <mergeCell ref="B68:AA68"/>
    <mergeCell ref="S69:X69"/>
    <mergeCell ref="B70:AA70"/>
    <mergeCell ref="S71:X71"/>
    <mergeCell ref="S72:X72"/>
    <mergeCell ref="S73:X73"/>
    <mergeCell ref="B83:C83"/>
    <mergeCell ref="B84:C84"/>
    <mergeCell ref="B85:C85"/>
    <mergeCell ref="B86:C86"/>
    <mergeCell ref="B66:C66"/>
    <mergeCell ref="B67:C67"/>
    <mergeCell ref="B69:C69"/>
    <mergeCell ref="B71:C71"/>
    <mergeCell ref="B72:C72"/>
    <mergeCell ref="B73:C73"/>
    <mergeCell ref="B74:C74"/>
    <mergeCell ref="D3:G3"/>
    <mergeCell ref="H3:K3"/>
    <mergeCell ref="U4:V5"/>
    <mergeCell ref="W4:X5"/>
    <mergeCell ref="B2:C5"/>
    <mergeCell ref="D2:K2"/>
    <mergeCell ref="L2:N3"/>
    <mergeCell ref="O2:P3"/>
    <mergeCell ref="Q2:R3"/>
    <mergeCell ref="S2:X3"/>
    <mergeCell ref="Y2:Y3"/>
    <mergeCell ref="L4:L5"/>
    <mergeCell ref="M4:M5"/>
    <mergeCell ref="L7:L8"/>
    <mergeCell ref="M7:M8"/>
    <mergeCell ref="N7:N8"/>
    <mergeCell ref="M9:M10"/>
    <mergeCell ref="N9:N10"/>
    <mergeCell ref="P4:P5"/>
    <mergeCell ref="Q4:Q5"/>
    <mergeCell ref="S7:T8"/>
    <mergeCell ref="U7:V8"/>
    <mergeCell ref="W7:X8"/>
    <mergeCell ref="V9:X10"/>
    <mergeCell ref="Y9:Y10"/>
    <mergeCell ref="M45:M46"/>
    <mergeCell ref="N45:N46"/>
    <mergeCell ref="L50:L52"/>
    <mergeCell ref="M50:M52"/>
    <mergeCell ref="N50:N52"/>
    <mergeCell ref="L40:L41"/>
    <mergeCell ref="M40:M41"/>
    <mergeCell ref="N40:N41"/>
    <mergeCell ref="L43:L44"/>
    <mergeCell ref="M43:M44"/>
    <mergeCell ref="N43:N44"/>
    <mergeCell ref="L45:L46"/>
    <mergeCell ref="L9:L10"/>
    <mergeCell ref="L11:L12"/>
    <mergeCell ref="M11:M12"/>
    <mergeCell ref="N11:N12"/>
    <mergeCell ref="L13:L14"/>
    <mergeCell ref="M13:M14"/>
    <mergeCell ref="N13:N14"/>
    <mergeCell ref="M23:M24"/>
    <mergeCell ref="N23:N24"/>
    <mergeCell ref="L18:L20"/>
    <mergeCell ref="M18:M20"/>
    <mergeCell ref="N18:N20"/>
    <mergeCell ref="L21:L22"/>
    <mergeCell ref="M21:M22"/>
    <mergeCell ref="N21:N22"/>
    <mergeCell ref="L23:L24"/>
    <mergeCell ref="M30:M31"/>
    <mergeCell ref="N30:N31"/>
    <mergeCell ref="L25:L26"/>
    <mergeCell ref="M25:M26"/>
    <mergeCell ref="N25:N26"/>
    <mergeCell ref="L27:L29"/>
    <mergeCell ref="M27:M29"/>
    <mergeCell ref="N27:N29"/>
    <mergeCell ref="L30:L31"/>
    <mergeCell ref="M38:M39"/>
    <mergeCell ref="N38:N39"/>
    <mergeCell ref="L32:L34"/>
    <mergeCell ref="M32:M34"/>
    <mergeCell ref="N32:N34"/>
    <mergeCell ref="L35:L37"/>
    <mergeCell ref="M35:M37"/>
    <mergeCell ref="N35:N37"/>
    <mergeCell ref="L38:L39"/>
    <mergeCell ref="S43:U44"/>
    <mergeCell ref="S45:T46"/>
    <mergeCell ref="U45:V46"/>
    <mergeCell ref="W45:X46"/>
    <mergeCell ref="Y45:Y46"/>
    <mergeCell ref="S48:T48"/>
    <mergeCell ref="U48:V48"/>
    <mergeCell ref="W48:X48"/>
    <mergeCell ref="S49:X49"/>
    <mergeCell ref="S50:T52"/>
    <mergeCell ref="U50:V52"/>
    <mergeCell ref="W50:X52"/>
    <mergeCell ref="Y51:Y52"/>
    <mergeCell ref="S53:T53"/>
    <mergeCell ref="S18:T20"/>
    <mergeCell ref="U18:V20"/>
    <mergeCell ref="W18:X20"/>
    <mergeCell ref="Y19:Y20"/>
    <mergeCell ref="S21:T22"/>
    <mergeCell ref="U21:V22"/>
    <mergeCell ref="W21:X22"/>
    <mergeCell ref="S23:T24"/>
    <mergeCell ref="U23:V24"/>
    <mergeCell ref="W23:X24"/>
    <mergeCell ref="S25:T26"/>
    <mergeCell ref="U25:V26"/>
    <mergeCell ref="W25:X26"/>
    <mergeCell ref="Y25:Y26"/>
    <mergeCell ref="S30:T31"/>
    <mergeCell ref="U30:V31"/>
    <mergeCell ref="W30:X31"/>
    <mergeCell ref="Y30:Y31"/>
    <mergeCell ref="S32:U34"/>
    <mergeCell ref="V32:X34"/>
    <mergeCell ref="Y33:Y34"/>
    <mergeCell ref="S35:T37"/>
    <mergeCell ref="U35:V37"/>
    <mergeCell ref="W35:X37"/>
    <mergeCell ref="Y36:Y37"/>
    <mergeCell ref="U38:V39"/>
    <mergeCell ref="W38:X39"/>
    <mergeCell ref="Y38:Y39"/>
    <mergeCell ref="S38:T39"/>
    <mergeCell ref="S40:T41"/>
    <mergeCell ref="U40:V41"/>
    <mergeCell ref="W40:X41"/>
    <mergeCell ref="Y40:Y41"/>
    <mergeCell ref="V43:X44"/>
    <mergeCell ref="Y43:Y44"/>
    <mergeCell ref="U53:V53"/>
    <mergeCell ref="W53:X53"/>
    <mergeCell ref="S54:X54"/>
    <mergeCell ref="S55:U55"/>
    <mergeCell ref="V55:X55"/>
    <mergeCell ref="S85:X85"/>
    <mergeCell ref="S86:X86"/>
    <mergeCell ref="B87:C87"/>
    <mergeCell ref="S87:X87"/>
    <mergeCell ref="B81:C81"/>
    <mergeCell ref="B82:C82"/>
    <mergeCell ref="D82:E82"/>
    <mergeCell ref="H82:I82"/>
    <mergeCell ref="S82:X82"/>
    <mergeCell ref="S83:X83"/>
    <mergeCell ref="S84:X84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11" width="5.13"/>
    <col customWidth="1" min="12" max="18" width="6.38"/>
    <col customWidth="1" min="19" max="24" width="1.38"/>
    <col customWidth="1" min="25" max="27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3"/>
      <c r="P1" s="3"/>
      <c r="Q1" s="1"/>
      <c r="R1" s="1"/>
      <c r="S1" s="1"/>
      <c r="T1" s="1"/>
      <c r="U1" s="1"/>
      <c r="V1" s="1"/>
      <c r="W1" s="1"/>
      <c r="X1" s="1"/>
      <c r="Y1" s="3"/>
      <c r="Z1" s="3"/>
      <c r="AA1" s="3"/>
    </row>
    <row r="2">
      <c r="A2" s="1"/>
      <c r="B2" s="4" t="s">
        <v>12</v>
      </c>
      <c r="C2" s="5"/>
      <c r="D2" s="6" t="s">
        <v>3</v>
      </c>
      <c r="E2" s="7"/>
      <c r="F2" s="7"/>
      <c r="G2" s="7"/>
      <c r="H2" s="7"/>
      <c r="I2" s="7"/>
      <c r="J2" s="7"/>
      <c r="K2" s="8"/>
      <c r="L2" s="9" t="s">
        <v>4</v>
      </c>
      <c r="M2" s="10"/>
      <c r="N2" s="5"/>
      <c r="O2" s="11" t="s">
        <v>5</v>
      </c>
      <c r="P2" s="5"/>
      <c r="Q2" s="12" t="s">
        <v>6</v>
      </c>
      <c r="R2" s="5"/>
      <c r="S2" s="9" t="s">
        <v>7</v>
      </c>
      <c r="T2" s="10"/>
      <c r="U2" s="10"/>
      <c r="V2" s="10"/>
      <c r="W2" s="10"/>
      <c r="X2" s="5"/>
      <c r="Y2" s="13" t="s">
        <v>8</v>
      </c>
      <c r="Z2" s="13" t="s">
        <v>9</v>
      </c>
      <c r="AA2" s="14" t="s">
        <v>10</v>
      </c>
    </row>
    <row r="3">
      <c r="A3" s="1"/>
      <c r="B3" s="15"/>
      <c r="C3" s="16"/>
      <c r="D3" s="17" t="s">
        <v>11</v>
      </c>
      <c r="E3" s="18"/>
      <c r="F3" s="18"/>
      <c r="G3" s="19"/>
      <c r="H3" s="20" t="s">
        <v>13</v>
      </c>
      <c r="I3" s="18"/>
      <c r="J3" s="18"/>
      <c r="K3" s="19"/>
      <c r="L3" s="21"/>
      <c r="M3" s="22"/>
      <c r="N3" s="23"/>
      <c r="O3" s="21"/>
      <c r="P3" s="23"/>
      <c r="Q3" s="21"/>
      <c r="R3" s="23"/>
      <c r="S3" s="21"/>
      <c r="T3" s="22"/>
      <c r="U3" s="22"/>
      <c r="V3" s="22"/>
      <c r="W3" s="22"/>
      <c r="X3" s="23"/>
      <c r="Y3" s="24"/>
      <c r="Z3" s="24"/>
      <c r="AA3" s="25"/>
    </row>
    <row r="4">
      <c r="A4" s="1"/>
      <c r="B4" s="15"/>
      <c r="C4" s="16"/>
      <c r="D4" s="17" t="s">
        <v>14</v>
      </c>
      <c r="E4" s="19"/>
      <c r="F4" s="26" t="s">
        <v>15</v>
      </c>
      <c r="G4" s="19"/>
      <c r="H4" s="20" t="s">
        <v>14</v>
      </c>
      <c r="I4" s="19"/>
      <c r="J4" s="27" t="s">
        <v>15</v>
      </c>
      <c r="K4" s="19"/>
      <c r="L4" s="28" t="s">
        <v>16</v>
      </c>
      <c r="M4" s="29" t="s">
        <v>17</v>
      </c>
      <c r="N4" s="30" t="s">
        <v>18</v>
      </c>
      <c r="O4" s="31" t="s">
        <v>19</v>
      </c>
      <c r="P4" s="32" t="s">
        <v>20</v>
      </c>
      <c r="Q4" s="33" t="s">
        <v>21</v>
      </c>
      <c r="R4" s="33" t="s">
        <v>22</v>
      </c>
      <c r="S4" s="34" t="s">
        <v>23</v>
      </c>
      <c r="T4" s="35"/>
      <c r="U4" s="36" t="s">
        <v>24</v>
      </c>
      <c r="V4" s="35"/>
      <c r="W4" s="37" t="s">
        <v>25</v>
      </c>
      <c r="X4" s="35"/>
      <c r="Y4" s="38" t="s">
        <v>26</v>
      </c>
      <c r="Z4" s="38" t="s">
        <v>26</v>
      </c>
      <c r="AA4" s="39" t="s">
        <v>26</v>
      </c>
    </row>
    <row r="5">
      <c r="A5" s="1"/>
      <c r="B5" s="40"/>
      <c r="C5" s="23"/>
      <c r="D5" s="41" t="s">
        <v>27</v>
      </c>
      <c r="E5" s="42" t="s">
        <v>28</v>
      </c>
      <c r="F5" s="43" t="s">
        <v>27</v>
      </c>
      <c r="G5" s="44" t="s">
        <v>28</v>
      </c>
      <c r="H5" s="45" t="s">
        <v>27</v>
      </c>
      <c r="I5" s="46" t="s">
        <v>28</v>
      </c>
      <c r="J5" s="47" t="s">
        <v>27</v>
      </c>
      <c r="K5" s="48" t="s">
        <v>28</v>
      </c>
      <c r="L5" s="24"/>
      <c r="M5" s="24"/>
      <c r="N5" s="24"/>
      <c r="O5" s="24"/>
      <c r="P5" s="24"/>
      <c r="Q5" s="24"/>
      <c r="R5" s="24"/>
      <c r="S5" s="21"/>
      <c r="T5" s="23"/>
      <c r="U5" s="21"/>
      <c r="V5" s="23"/>
      <c r="W5" s="21"/>
      <c r="X5" s="23"/>
      <c r="Y5" s="57">
        <v>1.0</v>
      </c>
      <c r="Z5" s="57">
        <v>1.0</v>
      </c>
      <c r="AA5" s="59">
        <v>1.0</v>
      </c>
    </row>
    <row r="6">
      <c r="A6" s="1"/>
      <c r="B6" s="51" t="s">
        <v>34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3"/>
    </row>
    <row r="7">
      <c r="A7" s="1"/>
      <c r="B7" s="65" t="s">
        <v>37</v>
      </c>
      <c r="C7" s="55" t="s">
        <v>31</v>
      </c>
      <c r="D7" s="68" t="s">
        <v>32</v>
      </c>
      <c r="E7" s="16"/>
      <c r="F7" s="70">
        <v>5.0</v>
      </c>
      <c r="G7" s="72">
        <v>11.0</v>
      </c>
      <c r="H7" s="76" t="s">
        <v>32</v>
      </c>
      <c r="I7" s="16"/>
      <c r="J7" s="80">
        <v>4.0</v>
      </c>
      <c r="K7" s="84">
        <v>8.0</v>
      </c>
      <c r="L7" s="64">
        <v>702.0</v>
      </c>
      <c r="M7" s="104">
        <f>L7/60</f>
        <v>11.7</v>
      </c>
      <c r="N7" s="106">
        <f>60/L7</f>
        <v>0.08547008547</v>
      </c>
      <c r="O7" s="115">
        <f>IFS(OR(G7="-",ISBLANK(G7)),"-",G7&lt;1,"one-hit",G7&lt;=3,60/L7,OR(G7=4,G7=7,G7=9),"manual",G7&lt;7,2*60/L7,G7&lt;9,3*60/L7,G7&lt;=11,4*60/L7,G7&gt;11,"???")</f>
        <v>0.3418803419</v>
      </c>
      <c r="P7" s="124">
        <f>IFS(OR(K7="-",ISBLANK(K7)),"-",K7&lt;1,"one-hit",K7&lt;=3,60/L7,OR(K7=4,K7=7,K7=9),"manual",K7&lt;7,2*60/L7,K7&lt;9,3*60/L7,K7&lt;=11,4*60/L7,K7&gt;11,"???")</f>
        <v>0.2564102564</v>
      </c>
      <c r="Q7" s="127" t="s">
        <v>41</v>
      </c>
      <c r="R7" s="86" t="s">
        <v>41</v>
      </c>
      <c r="S7" s="130">
        <v>90.0</v>
      </c>
      <c r="X7" s="16"/>
      <c r="Y7" s="135">
        <v>4.95</v>
      </c>
      <c r="Z7" s="137" t="s">
        <v>41</v>
      </c>
      <c r="AA7" s="140" t="s">
        <v>41</v>
      </c>
    </row>
    <row r="8">
      <c r="A8" s="1"/>
      <c r="B8" s="143"/>
      <c r="C8" s="145" t="s">
        <v>40</v>
      </c>
      <c r="D8" s="21"/>
      <c r="E8" s="23"/>
      <c r="F8" s="149">
        <v>5.0</v>
      </c>
      <c r="G8" s="158">
        <v>10.0</v>
      </c>
      <c r="H8" s="159"/>
      <c r="I8" s="155"/>
      <c r="J8" s="161">
        <v>3.0</v>
      </c>
      <c r="K8" s="162">
        <v>7.0</v>
      </c>
      <c r="L8" s="163"/>
      <c r="M8" s="155"/>
      <c r="N8" s="155"/>
      <c r="O8" s="175">
        <f>IFS(OR(G8="-",ISBLANK(G8)),"-",G8&lt;1,"one-hit",G8&lt;=3,60/L7,OR(G8=4,G8=7,G8=9),"manual",G8&lt;7,2*60/L7,G8&lt;9,3*60/L7,G8&lt;=11,4*60/L7,G8&gt;11,"???")</f>
        <v>0.3418803419</v>
      </c>
      <c r="P8" s="189" t="str">
        <f>IFS(OR(K8="-",ISBLANK(K8)),"-",K8&lt;1,"one-hit",K8&lt;=3,60/L7,OR(K8=4,K8=7,K8=9),"manual",K8&lt;7,2*60/L7,K8&lt;9,3*60/L7,K8&lt;=11,4*60/L7,K8&gt;11,"???")</f>
        <v>manual</v>
      </c>
      <c r="Q8" s="145" t="s">
        <v>41</v>
      </c>
      <c r="R8" s="157" t="s">
        <v>41</v>
      </c>
      <c r="S8" s="159"/>
      <c r="T8" s="160"/>
      <c r="U8" s="160"/>
      <c r="V8" s="160"/>
      <c r="W8" s="160"/>
      <c r="X8" s="155"/>
      <c r="Y8" s="163"/>
      <c r="Z8" s="122" t="s">
        <v>41</v>
      </c>
      <c r="AA8" s="191" t="s">
        <v>41</v>
      </c>
    </row>
    <row r="9">
      <c r="A9" s="1"/>
      <c r="B9" s="193" t="s">
        <v>46</v>
      </c>
      <c r="C9" s="168" t="s">
        <v>40</v>
      </c>
      <c r="D9" s="195" t="s">
        <v>32</v>
      </c>
      <c r="E9" s="92"/>
      <c r="F9" s="75">
        <v>4.0</v>
      </c>
      <c r="G9" s="198">
        <v>8.0</v>
      </c>
      <c r="H9" s="199" t="s">
        <v>32</v>
      </c>
      <c r="I9" s="92"/>
      <c r="J9" s="200">
        <v>3.0</v>
      </c>
      <c r="K9" s="201">
        <v>5.0</v>
      </c>
      <c r="L9" s="179">
        <v>698.0</v>
      </c>
      <c r="M9" s="97">
        <f>L9/60</f>
        <v>11.63333333</v>
      </c>
      <c r="N9" s="105">
        <f>60/L9</f>
        <v>0.08595988539</v>
      </c>
      <c r="O9" s="107">
        <f>IFS(OR(G9="-",ISBLANK(G9)),"-",G9&lt;1,"one-hit",G9&lt;=3,60/L9,OR(G9=4,G9=7,G9=9),"manual",G9&lt;7,2*60/L9,G9&lt;9,3*60/L9,G9&lt;=11,4*60/L9,G9&gt;11,"???")</f>
        <v>0.2578796562</v>
      </c>
      <c r="P9" s="121">
        <f>IFS(OR(K9="-",ISBLANK(K9)),"-",K9&lt;1,"one-hit",K9&lt;=3,60/L9,OR(K9=4,K9=7,K9=9),"manual",K9&lt;7,2*60/L9,K9&lt;9,3*60/L9,K9&lt;=11,4*60/L9,K9&gt;11,"???")</f>
        <v>0.1719197708</v>
      </c>
      <c r="Q9" s="168" t="s">
        <v>41</v>
      </c>
      <c r="R9" s="194" t="s">
        <v>41</v>
      </c>
      <c r="S9" s="90">
        <v>100.0</v>
      </c>
      <c r="T9" s="91"/>
      <c r="U9" s="91"/>
      <c r="V9" s="91"/>
      <c r="W9" s="91"/>
      <c r="X9" s="92"/>
      <c r="Y9" s="202">
        <v>4.95</v>
      </c>
      <c r="Z9" s="136" t="s">
        <v>41</v>
      </c>
      <c r="AA9" s="220" t="s">
        <v>41</v>
      </c>
    </row>
    <row r="10">
      <c r="A10" s="1"/>
      <c r="B10" s="143"/>
      <c r="C10" s="129" t="s">
        <v>42</v>
      </c>
      <c r="D10" s="21"/>
      <c r="E10" s="23"/>
      <c r="F10" s="149">
        <v>3.0</v>
      </c>
      <c r="G10" s="158">
        <v>7.0</v>
      </c>
      <c r="H10" s="159"/>
      <c r="I10" s="155"/>
      <c r="J10" s="161">
        <v>2.0</v>
      </c>
      <c r="K10" s="162">
        <v>5.0</v>
      </c>
      <c r="L10" s="163"/>
      <c r="M10" s="155"/>
      <c r="N10" s="155"/>
      <c r="O10" s="175">
        <f>60*3/L9</f>
        <v>0.2578796562</v>
      </c>
      <c r="P10" s="189">
        <f>IFS(OR(K10="-",ISBLANK(K10)),"-",K10&lt;1,"one-hit",K10&lt;=3,60/L9,OR(K10=4,K10=7,K10=9),"manual",K10&lt;7,2*60/L9,K10&lt;9,3*60/L9,K10&lt;=11,4*60/L9,K10&gt;11,"???")</f>
        <v>0.1719197708</v>
      </c>
      <c r="Q10" s="145" t="s">
        <v>41</v>
      </c>
      <c r="R10" s="157" t="s">
        <v>41</v>
      </c>
      <c r="S10" s="159"/>
      <c r="T10" s="160"/>
      <c r="U10" s="160"/>
      <c r="V10" s="160"/>
      <c r="W10" s="160"/>
      <c r="X10" s="155"/>
      <c r="Y10" s="163"/>
      <c r="Z10" s="122" t="s">
        <v>41</v>
      </c>
      <c r="AA10" s="191" t="s">
        <v>41</v>
      </c>
    </row>
    <row r="11">
      <c r="A11" s="1"/>
      <c r="B11" s="223" t="s">
        <v>54</v>
      </c>
      <c r="C11" s="168" t="s">
        <v>40</v>
      </c>
      <c r="D11" s="195" t="s">
        <v>32</v>
      </c>
      <c r="E11" s="92"/>
      <c r="F11" s="75">
        <v>4.0</v>
      </c>
      <c r="G11" s="198">
        <v>8.0</v>
      </c>
      <c r="H11" s="199" t="s">
        <v>32</v>
      </c>
      <c r="I11" s="92"/>
      <c r="J11" s="200">
        <v>3.0</v>
      </c>
      <c r="K11" s="201">
        <v>6.0</v>
      </c>
      <c r="L11" s="179">
        <v>698.0</v>
      </c>
      <c r="M11" s="97">
        <f>L11/60</f>
        <v>11.63333333</v>
      </c>
      <c r="N11" s="105">
        <f>60/L11</f>
        <v>0.08595988539</v>
      </c>
      <c r="O11" s="107">
        <f>IFS(OR(G11="-",ISBLANK(G11)),"-",G11&lt;1,"one-hit",G11&lt;=3,60/L11,OR(G11=4,G11=7,G11=9),"manual",G11&lt;7,2*60/L11,G11&lt;9,3*60/L11,G11&lt;=11,4*60/L11,G11&gt;11,"???")</f>
        <v>0.2578796562</v>
      </c>
      <c r="P11" s="121">
        <f>IFS(OR(K11="-",ISBLANK(K11)),"-",K11&lt;1,"one-hit",K11&lt;=3,60/L11,OR(K11=4,K11=7,K11=9),"manual",K11&lt;7,2*60/L11,K11&lt;9,3*60/L11,K11&lt;=11,4*60/L11,K11&gt;11,"???")</f>
        <v>0.1719197708</v>
      </c>
      <c r="Q11" s="168" t="s">
        <v>41</v>
      </c>
      <c r="R11" s="194" t="s">
        <v>41</v>
      </c>
      <c r="S11" s="90">
        <v>100.0</v>
      </c>
      <c r="T11" s="91"/>
      <c r="U11" s="92"/>
      <c r="V11" s="131">
        <v>200.0</v>
      </c>
      <c r="W11" s="91"/>
      <c r="X11" s="92"/>
      <c r="Y11" s="202">
        <v>4.25</v>
      </c>
      <c r="Z11" s="136" t="s">
        <v>41</v>
      </c>
      <c r="AA11" s="220" t="s">
        <v>41</v>
      </c>
    </row>
    <row r="12">
      <c r="A12" s="1"/>
      <c r="B12" s="143"/>
      <c r="C12" s="129" t="s">
        <v>42</v>
      </c>
      <c r="D12" s="21"/>
      <c r="E12" s="23"/>
      <c r="F12" s="149">
        <v>3.0</v>
      </c>
      <c r="G12" s="158">
        <v>7.0</v>
      </c>
      <c r="H12" s="159"/>
      <c r="I12" s="155"/>
      <c r="J12" s="161">
        <v>3.0</v>
      </c>
      <c r="K12" s="162">
        <v>5.0</v>
      </c>
      <c r="L12" s="163"/>
      <c r="M12" s="155"/>
      <c r="N12" s="155"/>
      <c r="O12" s="175">
        <f>60*3/L11</f>
        <v>0.2578796562</v>
      </c>
      <c r="P12" s="189">
        <f>IFS(OR(K12="-",ISBLANK(K12)),"-",K12&lt;1,"one-hit",K12&lt;=3,60/L11,OR(K12=4,K12=7,K12=9),"manual",K12&lt;7,2*60/L11,K12&lt;9,3*60/L11,K12&lt;=11,4*60/L11,K12&gt;11,"???")</f>
        <v>0.1719197708</v>
      </c>
      <c r="Q12" s="145" t="s">
        <v>41</v>
      </c>
      <c r="R12" s="157" t="s">
        <v>41</v>
      </c>
      <c r="S12" s="159"/>
      <c r="T12" s="160"/>
      <c r="U12" s="155"/>
      <c r="V12" s="159"/>
      <c r="W12" s="160"/>
      <c r="X12" s="155"/>
      <c r="Y12" s="163"/>
      <c r="Z12" s="122" t="s">
        <v>41</v>
      </c>
      <c r="AA12" s="191" t="s">
        <v>41</v>
      </c>
    </row>
    <row r="13">
      <c r="A13" s="1"/>
      <c r="B13" s="223" t="s">
        <v>64</v>
      </c>
      <c r="C13" s="69" t="s">
        <v>31</v>
      </c>
      <c r="D13" s="195" t="s">
        <v>32</v>
      </c>
      <c r="E13" s="92"/>
      <c r="F13" s="75">
        <v>4.0</v>
      </c>
      <c r="G13" s="198">
        <v>9.0</v>
      </c>
      <c r="H13" s="199" t="s">
        <v>32</v>
      </c>
      <c r="I13" s="92"/>
      <c r="J13" s="200">
        <v>3.0</v>
      </c>
      <c r="K13" s="201">
        <v>7.0</v>
      </c>
      <c r="L13" s="179">
        <v>636.0</v>
      </c>
      <c r="M13" s="97">
        <f>L13/60</f>
        <v>10.6</v>
      </c>
      <c r="N13" s="105">
        <f>60/L13</f>
        <v>0.09433962264</v>
      </c>
      <c r="O13" s="107">
        <f>60*4/L13</f>
        <v>0.3773584906</v>
      </c>
      <c r="P13" s="121" t="str">
        <f>IFS(OR(K13="-",ISBLANK(K13)),"-",K13&lt;1,"one-hit",K13&lt;=3,60/L13,OR(K13=4,K13=7,K13=9),"manual",K13&lt;7,2*60/L13,K13&lt;9,3*60/L13,K13&lt;=11,4*60/L13,K13&gt;11,"???")</f>
        <v>manual</v>
      </c>
      <c r="Q13" s="168" t="s">
        <v>41</v>
      </c>
      <c r="R13" s="194" t="s">
        <v>41</v>
      </c>
      <c r="S13" s="90">
        <v>75.0</v>
      </c>
      <c r="T13" s="91"/>
      <c r="U13" s="91"/>
      <c r="V13" s="91"/>
      <c r="W13" s="91"/>
      <c r="X13" s="92"/>
      <c r="Y13" s="202">
        <v>3.13</v>
      </c>
      <c r="Z13" s="136" t="s">
        <v>41</v>
      </c>
      <c r="AA13" s="220" t="s">
        <v>41</v>
      </c>
    </row>
    <row r="14">
      <c r="A14" s="1"/>
      <c r="B14" s="143"/>
      <c r="C14" s="145" t="s">
        <v>40</v>
      </c>
      <c r="D14" s="21"/>
      <c r="E14" s="23"/>
      <c r="F14" s="149">
        <v>4.0</v>
      </c>
      <c r="G14" s="158">
        <v>8.0</v>
      </c>
      <c r="H14" s="159"/>
      <c r="I14" s="155"/>
      <c r="J14" s="161">
        <v>3.0</v>
      </c>
      <c r="K14" s="162">
        <v>6.0</v>
      </c>
      <c r="L14" s="163"/>
      <c r="M14" s="155"/>
      <c r="N14" s="155"/>
      <c r="O14" s="175">
        <f>IFS(OR(G14="-",ISBLANK(G14)),"-",G14&lt;1,"one-hit",G14&lt;=3,60/L13,OR(G14=4,G14=7,G14=9),"manual",G14&lt;7,2*60/L13,G14&lt;9,3*60/L13,G14&lt;=11,4*60/L13,G14&gt;11,"???")</f>
        <v>0.2830188679</v>
      </c>
      <c r="P14" s="189">
        <f>IFS(OR(K14="-",ISBLANK(K14)),"-",K14&lt;1,"one-hit",K14&lt;=3,60/L13,OR(K14=4,K14=7,K14=9),"manual",K14&lt;7,2*60/L13,K14&lt;9,3*60/L13,K14&lt;=11,4*60/L13,K14&gt;11,"???")</f>
        <v>0.1886792453</v>
      </c>
      <c r="Q14" s="145" t="s">
        <v>41</v>
      </c>
      <c r="R14" s="157" t="s">
        <v>41</v>
      </c>
      <c r="S14" s="159"/>
      <c r="T14" s="160"/>
      <c r="U14" s="160"/>
      <c r="V14" s="160"/>
      <c r="W14" s="160"/>
      <c r="X14" s="155"/>
      <c r="Y14" s="163"/>
      <c r="Z14" s="122" t="s">
        <v>41</v>
      </c>
      <c r="AA14" s="191" t="s">
        <v>41</v>
      </c>
    </row>
    <row r="15">
      <c r="A15" s="1"/>
      <c r="B15" s="223" t="s">
        <v>70</v>
      </c>
      <c r="C15" s="168" t="s">
        <v>40</v>
      </c>
      <c r="D15" s="195" t="s">
        <v>32</v>
      </c>
      <c r="E15" s="92"/>
      <c r="F15" s="75">
        <v>3.0</v>
      </c>
      <c r="G15" s="198">
        <v>6.0</v>
      </c>
      <c r="H15" s="199" t="s">
        <v>32</v>
      </c>
      <c r="I15" s="92"/>
      <c r="J15" s="200">
        <v>2.0</v>
      </c>
      <c r="K15" s="201">
        <v>5.0</v>
      </c>
      <c r="L15" s="179">
        <v>590.0</v>
      </c>
      <c r="M15" s="97">
        <f>L15/60</f>
        <v>9.833333333</v>
      </c>
      <c r="N15" s="105">
        <f>60/L15</f>
        <v>0.1016949153</v>
      </c>
      <c r="O15" s="107">
        <f>IFS(OR(G15="-",ISBLANK(G15)),"-",G15&lt;1,"one-hit",G15&lt;=3,60/L15,OR(G15=4,G15=7,G15=9),"manual",G15&lt;7,2*60/L15,G15&lt;9,3*60/L15,G15&lt;=11,4*60/L15,G15&gt;11,"???")</f>
        <v>0.2033898305</v>
      </c>
      <c r="P15" s="121">
        <f>IFS(OR(K15="-",ISBLANK(K15)),"-",K15&lt;1,"one-hit",K15&lt;=3,60/L15,OR(K15=4,K15=7,K15=9),"manual",K15&lt;7,2*60/L15,K15&lt;9,3*60/L15,K15&lt;=11,4*60/L15,K15&gt;11,"???")</f>
        <v>0.2033898305</v>
      </c>
      <c r="Q15" s="168" t="s">
        <v>41</v>
      </c>
      <c r="R15" s="194" t="s">
        <v>41</v>
      </c>
      <c r="S15" s="90">
        <v>175.0</v>
      </c>
      <c r="T15" s="91"/>
      <c r="U15" s="91"/>
      <c r="V15" s="91"/>
      <c r="W15" s="91"/>
      <c r="X15" s="92"/>
      <c r="Y15" s="202">
        <v>3.97</v>
      </c>
      <c r="Z15" s="136" t="s">
        <v>41</v>
      </c>
      <c r="AA15" s="220" t="s">
        <v>41</v>
      </c>
    </row>
    <row r="16">
      <c r="A16" s="1"/>
      <c r="B16" s="143"/>
      <c r="C16" s="129" t="s">
        <v>42</v>
      </c>
      <c r="D16" s="21"/>
      <c r="E16" s="23"/>
      <c r="F16" s="149">
        <v>3.0</v>
      </c>
      <c r="G16" s="158">
        <v>6.0</v>
      </c>
      <c r="H16" s="159"/>
      <c r="I16" s="155"/>
      <c r="J16" s="161">
        <v>2.0</v>
      </c>
      <c r="K16" s="162">
        <v>4.0</v>
      </c>
      <c r="L16" s="163"/>
      <c r="M16" s="155"/>
      <c r="N16" s="155"/>
      <c r="O16" s="175">
        <f>IFS(OR(G16="-",ISBLANK(G16)),"-",G16&lt;1,"one-hit",G16&lt;=3,60/L15,OR(G16=4,G16=7,G16=9),"manual",G16&lt;7,2*60/L15,G16&lt;9,3*60/L15,G16&lt;=11,4*60/L15,G16&gt;11,"???")</f>
        <v>0.2033898305</v>
      </c>
      <c r="P16" s="189" t="str">
        <f>IFS(OR(K16="-",ISBLANK(K16)),"-",K16&lt;1,"one-hit",K16&lt;=3,60/L15,OR(K16=4,K16=7,K16=9),"manual",K16&lt;7,2*60/L15,K16&lt;9,3*60/L15,K16&lt;=11,4*60/L15,K16&gt;11,"???")</f>
        <v>manual</v>
      </c>
      <c r="Q16" s="145" t="s">
        <v>41</v>
      </c>
      <c r="R16" s="157" t="s">
        <v>41</v>
      </c>
      <c r="S16" s="159"/>
      <c r="T16" s="160"/>
      <c r="U16" s="160"/>
      <c r="V16" s="160"/>
      <c r="W16" s="160"/>
      <c r="X16" s="155"/>
      <c r="Y16" s="163"/>
      <c r="Z16" s="122" t="s">
        <v>41</v>
      </c>
      <c r="AA16" s="191" t="s">
        <v>41</v>
      </c>
    </row>
    <row r="17">
      <c r="A17" s="1"/>
      <c r="B17" s="223" t="s">
        <v>76</v>
      </c>
      <c r="C17" s="168" t="s">
        <v>40</v>
      </c>
      <c r="D17" s="195" t="s">
        <v>32</v>
      </c>
      <c r="E17" s="92"/>
      <c r="F17" s="75">
        <v>5.0</v>
      </c>
      <c r="G17" s="198">
        <v>10.0</v>
      </c>
      <c r="H17" s="199" t="s">
        <v>32</v>
      </c>
      <c r="I17" s="92"/>
      <c r="J17" s="200">
        <v>3.0</v>
      </c>
      <c r="K17" s="201">
        <v>7.0</v>
      </c>
      <c r="L17" s="179">
        <v>891.0</v>
      </c>
      <c r="M17" s="97">
        <f>L17/60</f>
        <v>14.85</v>
      </c>
      <c r="N17" s="105">
        <f>60/L17</f>
        <v>0.06734006734</v>
      </c>
      <c r="O17" s="107">
        <f>IFS(OR(G17="-",ISBLANK(G17)),"-",G17&lt;1,"one-hit",G17&lt;=3,60/L17,OR(G17=4,G17=7,G17=9),"manual",G17&lt;7,2*60/L17,G17&lt;9,3*60/L17,G17&lt;=11,4*60/L17,G17&gt;11,"???")</f>
        <v>0.2693602694</v>
      </c>
      <c r="P17" s="121" t="str">
        <f>IFS(OR(K17="-",ISBLANK(K17)),"-",K17&lt;1,"one-hit",K17&lt;=3,60/L17,OR(K17=4,K17=7,K17=9),"manual",K17&lt;7,2*60/L17,K17&lt;9,3*60/L17,K17&lt;=11,4*60/L17,K17&gt;11,"???")</f>
        <v>manual</v>
      </c>
      <c r="Q17" s="168" t="s">
        <v>41</v>
      </c>
      <c r="R17" s="194" t="s">
        <v>41</v>
      </c>
      <c r="S17" s="90">
        <v>150.0</v>
      </c>
      <c r="T17" s="91"/>
      <c r="U17" s="91"/>
      <c r="V17" s="91"/>
      <c r="W17" s="91"/>
      <c r="X17" s="92"/>
      <c r="Y17" s="202">
        <v>3.97</v>
      </c>
      <c r="Z17" s="282" t="s">
        <v>41</v>
      </c>
      <c r="AA17" s="283" t="s">
        <v>41</v>
      </c>
    </row>
    <row r="18">
      <c r="A18" s="1"/>
      <c r="B18" s="143"/>
      <c r="C18" s="204" t="s">
        <v>42</v>
      </c>
      <c r="D18" s="21"/>
      <c r="E18" s="23"/>
      <c r="F18" s="150">
        <v>4.0</v>
      </c>
      <c r="G18" s="285">
        <v>10.0</v>
      </c>
      <c r="H18" s="159"/>
      <c r="I18" s="155"/>
      <c r="J18" s="286">
        <v>3.0</v>
      </c>
      <c r="K18" s="287">
        <v>7.0</v>
      </c>
      <c r="L18" s="163"/>
      <c r="M18" s="155"/>
      <c r="N18" s="155"/>
      <c r="O18" s="175">
        <f>IFS(OR(G18="-",ISBLANK(G18)),"-",G18&lt;1,"one-hit",G18&lt;=3,60/L17,OR(G18=4,G18=7,G18=9),"manual",G18&lt;7,2*60/L17,G18&lt;9,3*60/L17,G18&lt;=11,4*60/L17,G18&gt;11,"???")</f>
        <v>0.2693602694</v>
      </c>
      <c r="P18" s="189" t="str">
        <f>IFS(OR(K18="-",ISBLANK(K18)),"-",K18&lt;1,"one-hit",K18&lt;=3,60/L17,OR(K18=4,K18=7,K18=9),"manual",K18&lt;7,2*60/L17,K18&lt;9,3*60/L17,K18&lt;=11,4*60/L17,K18&gt;11,"???")</f>
        <v>manual</v>
      </c>
      <c r="Q18" s="227" t="s">
        <v>41</v>
      </c>
      <c r="R18" s="211" t="s">
        <v>41</v>
      </c>
      <c r="S18" s="159"/>
      <c r="T18" s="160"/>
      <c r="U18" s="160"/>
      <c r="V18" s="160"/>
      <c r="W18" s="160"/>
      <c r="X18" s="155"/>
      <c r="Y18" s="163"/>
      <c r="Z18" s="224" t="s">
        <v>41</v>
      </c>
      <c r="AA18" s="291" t="s">
        <v>41</v>
      </c>
    </row>
    <row r="19">
      <c r="A19" s="1"/>
      <c r="B19" s="292" t="s">
        <v>73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293"/>
    </row>
    <row r="20">
      <c r="A20" s="1"/>
      <c r="B20" s="294" t="s">
        <v>88</v>
      </c>
      <c r="C20" s="168" t="s">
        <v>40</v>
      </c>
      <c r="D20" s="195" t="s">
        <v>32</v>
      </c>
      <c r="E20" s="92"/>
      <c r="F20" s="75" t="s">
        <v>90</v>
      </c>
      <c r="G20" s="198" t="s">
        <v>91</v>
      </c>
      <c r="H20" s="199" t="s">
        <v>32</v>
      </c>
      <c r="I20" s="92"/>
      <c r="J20" s="85">
        <v>3.0</v>
      </c>
      <c r="K20" s="297">
        <v>7.0</v>
      </c>
      <c r="L20" s="179" t="s">
        <v>41</v>
      </c>
      <c r="M20" s="299" t="s">
        <v>41</v>
      </c>
      <c r="N20" s="301" t="s">
        <v>41</v>
      </c>
      <c r="O20" s="107" t="str">
        <f>IFS(OR(G20="-",ISBLANK(G20)),"-",G20&lt;1,"one-hit",G20&lt;=3,60/L20,OR(G20=4,G20=7,G20=9),"manual",G20&lt;7,2*60/L20,G20&lt;9,3*60/L20,G20&lt;=11,4*60/L20,G20&gt;11,"???")</f>
        <v>???</v>
      </c>
      <c r="P20" s="121" t="str">
        <f>IFS(OR(K20="-",ISBLANK(K20)),"-",K20&lt;1,"one-hit",K20&lt;=3,60/L20,OR(K20=4,K20=7,K20=9),"manual",K20&lt;7,2*60/L20,K20&lt;9,3*60/L20,K20&lt;=11,4*60/L20,K20&gt;11,"???")</f>
        <v>manual</v>
      </c>
      <c r="Q20" s="168" t="s">
        <v>41</v>
      </c>
      <c r="R20" s="194" t="s">
        <v>41</v>
      </c>
      <c r="S20" s="90">
        <v>100.0</v>
      </c>
      <c r="T20" s="91"/>
      <c r="U20" s="91"/>
      <c r="V20" s="91"/>
      <c r="W20" s="91"/>
      <c r="X20" s="92"/>
      <c r="Y20" s="202"/>
      <c r="Z20" s="136" t="s">
        <v>41</v>
      </c>
      <c r="AA20" s="220" t="s">
        <v>41</v>
      </c>
    </row>
    <row r="21">
      <c r="A21" s="1"/>
      <c r="B21" s="143"/>
      <c r="C21" s="129" t="s">
        <v>42</v>
      </c>
      <c r="D21" s="21"/>
      <c r="E21" s="23"/>
      <c r="F21" s="149" t="s">
        <v>90</v>
      </c>
      <c r="G21" s="158" t="s">
        <v>97</v>
      </c>
      <c r="H21" s="159"/>
      <c r="I21" s="155"/>
      <c r="J21" s="315">
        <v>3.0</v>
      </c>
      <c r="K21" s="316">
        <v>6.0</v>
      </c>
      <c r="L21" s="163"/>
      <c r="M21" s="163"/>
      <c r="N21" s="163"/>
      <c r="O21" s="324" t="str">
        <f>IFS(OR(G21="-",ISBLANK(G21)),"-",G21&lt;1,"one-hit",G21&lt;=3,60/L20,OR(G21=4,G21=7,G21=9),"manual",G21&lt;7,2*60/L20,G21&lt;9,3*60/L20,G21&lt;=11,4*60/L20,G21&gt;11,"???")</f>
        <v>???</v>
      </c>
      <c r="P21" s="334" t="str">
        <f>IFS(OR(K21="-",ISBLANK(K21)),"-",K21&lt;1,"one-hit",K21&lt;=3,60/L20,OR(K21=4,K21=7,K21=9),"manual",K21&lt;7,2*60/L20,K21&lt;9,3*60/L20,K21&lt;=11,4*60/L20,K21&gt;11,"???")</f>
        <v>#VALUE!</v>
      </c>
      <c r="Q21" s="145" t="s">
        <v>41</v>
      </c>
      <c r="R21" s="157" t="s">
        <v>41</v>
      </c>
      <c r="S21" s="159"/>
      <c r="T21" s="160"/>
      <c r="U21" s="160"/>
      <c r="V21" s="160"/>
      <c r="W21" s="160"/>
      <c r="X21" s="155"/>
      <c r="Y21" s="163"/>
      <c r="Z21" s="122" t="s">
        <v>41</v>
      </c>
      <c r="AA21" s="191" t="s">
        <v>41</v>
      </c>
    </row>
    <row r="22">
      <c r="A22" s="1"/>
      <c r="B22" s="335" t="s">
        <v>98</v>
      </c>
      <c r="C22" s="168" t="s">
        <v>40</v>
      </c>
      <c r="D22" s="336" t="s">
        <v>32</v>
      </c>
      <c r="E22" s="337"/>
      <c r="F22" s="75"/>
      <c r="G22" s="198"/>
      <c r="H22" s="339" t="s">
        <v>32</v>
      </c>
      <c r="I22" s="303"/>
      <c r="J22" s="85">
        <v>2.0</v>
      </c>
      <c r="K22" s="297">
        <v>4.0</v>
      </c>
      <c r="L22" s="261" t="s">
        <v>41</v>
      </c>
      <c r="M22" s="340" t="s">
        <v>41</v>
      </c>
      <c r="N22" s="341" t="s">
        <v>41</v>
      </c>
      <c r="O22" s="107" t="str">
        <f>IFS(OR(G22="-",ISBLANK(G22)),"-",G22&lt;1,"one-hit",G22&lt;=3,60/L22,OR(G22=4,G22=7,G22=9),"manual",G22&lt;7,2*60/L22,G22&lt;9,3*60/L22,G22&lt;=11,4*60/L22,G22&gt;11,"???")</f>
        <v>-</v>
      </c>
      <c r="P22" s="121" t="str">
        <f>IFS(OR(K22="-",ISBLANK(K22)),"-",K22&lt;1,"one-hit",K22&lt;=3,60/L22,OR(K22=4,K22=7,K22=9),"manual",K22&lt;7,2*60/L22,K22&lt;9,3*60/L22,K22&lt;=11,4*60/L22,K22&gt;11,"???")</f>
        <v>manual</v>
      </c>
      <c r="Q22" s="168" t="s">
        <v>41</v>
      </c>
      <c r="R22" s="194" t="s">
        <v>41</v>
      </c>
      <c r="S22" s="267">
        <v>200.0</v>
      </c>
      <c r="T22" s="249"/>
      <c r="U22" s="249"/>
      <c r="V22" s="249"/>
      <c r="W22" s="249"/>
      <c r="X22" s="303"/>
      <c r="Y22" s="268"/>
      <c r="Z22" s="282" t="s">
        <v>41</v>
      </c>
      <c r="AA22" s="283" t="s">
        <v>41</v>
      </c>
    </row>
    <row r="23">
      <c r="A23" s="1"/>
      <c r="B23" s="51" t="s">
        <v>101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3"/>
    </row>
    <row r="24">
      <c r="A24" s="1"/>
      <c r="B24" s="368" t="s">
        <v>89</v>
      </c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300"/>
    </row>
    <row r="25">
      <c r="A25" s="1"/>
      <c r="B25" s="370" t="s">
        <v>105</v>
      </c>
      <c r="C25" s="303"/>
      <c r="D25" s="371" t="s">
        <v>32</v>
      </c>
      <c r="E25" s="303"/>
      <c r="F25" s="372"/>
      <c r="G25" s="373"/>
      <c r="H25" s="374" t="s">
        <v>32</v>
      </c>
      <c r="I25" s="303"/>
      <c r="J25" s="375">
        <v>2.0</v>
      </c>
      <c r="K25" s="376">
        <v>4.0</v>
      </c>
      <c r="L25" s="261"/>
      <c r="M25" s="377"/>
      <c r="N25" s="378"/>
      <c r="O25" s="379"/>
      <c r="P25" s="380"/>
      <c r="Q25" s="254" t="s">
        <v>41</v>
      </c>
      <c r="R25" s="266" t="s">
        <v>41</v>
      </c>
      <c r="S25" s="267">
        <v>175.0</v>
      </c>
      <c r="T25" s="249"/>
      <c r="U25" s="249"/>
      <c r="V25" s="249"/>
      <c r="W25" s="249"/>
      <c r="X25" s="303"/>
      <c r="Y25" s="268"/>
      <c r="Z25" s="270" t="s">
        <v>41</v>
      </c>
      <c r="AA25" s="307" t="s">
        <v>41</v>
      </c>
    </row>
    <row r="26">
      <c r="A26" s="1"/>
      <c r="B26" s="370" t="s">
        <v>108</v>
      </c>
      <c r="C26" s="303"/>
      <c r="D26" s="371" t="s">
        <v>32</v>
      </c>
      <c r="E26" s="303"/>
      <c r="F26" s="384"/>
      <c r="G26" s="385"/>
      <c r="H26" s="374" t="s">
        <v>32</v>
      </c>
      <c r="I26" s="303"/>
      <c r="J26" s="387">
        <v>3.0</v>
      </c>
      <c r="K26" s="388">
        <v>6.0</v>
      </c>
      <c r="L26" s="261"/>
      <c r="M26" s="377"/>
      <c r="N26" s="378"/>
      <c r="O26" s="379"/>
      <c r="P26" s="380"/>
      <c r="Q26" s="254" t="s">
        <v>41</v>
      </c>
      <c r="R26" s="266" t="s">
        <v>41</v>
      </c>
      <c r="S26" s="267">
        <v>150.0</v>
      </c>
      <c r="T26" s="249"/>
      <c r="U26" s="249"/>
      <c r="V26" s="249"/>
      <c r="W26" s="249"/>
      <c r="X26" s="303"/>
      <c r="Y26" s="268"/>
      <c r="Z26" s="270" t="s">
        <v>41</v>
      </c>
      <c r="AA26" s="307" t="s">
        <v>41</v>
      </c>
    </row>
    <row r="27">
      <c r="A27" s="1"/>
      <c r="B27" s="391" t="s">
        <v>67</v>
      </c>
      <c r="C27" s="249"/>
      <c r="D27" s="249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249"/>
      <c r="W27" s="249"/>
      <c r="X27" s="249"/>
      <c r="Y27" s="249"/>
      <c r="Z27" s="249"/>
      <c r="AA27" s="338"/>
    </row>
    <row r="28">
      <c r="A28" s="1"/>
      <c r="B28" s="394" t="s">
        <v>109</v>
      </c>
      <c r="C28" s="303"/>
      <c r="D28" s="371" t="s">
        <v>32</v>
      </c>
      <c r="E28" s="303"/>
      <c r="F28" s="372"/>
      <c r="G28" s="373"/>
      <c r="H28" s="374" t="s">
        <v>32</v>
      </c>
      <c r="I28" s="303"/>
      <c r="J28" s="375">
        <v>3.0</v>
      </c>
      <c r="K28" s="376">
        <v>7.0</v>
      </c>
      <c r="L28" s="261"/>
      <c r="M28" s="377"/>
      <c r="N28" s="378"/>
      <c r="O28" s="379"/>
      <c r="P28" s="380"/>
      <c r="Q28" s="254" t="s">
        <v>41</v>
      </c>
      <c r="R28" s="266" t="s">
        <v>41</v>
      </c>
      <c r="S28" s="267">
        <v>75.0</v>
      </c>
      <c r="T28" s="249"/>
      <c r="U28" s="249"/>
      <c r="V28" s="249"/>
      <c r="W28" s="249"/>
      <c r="X28" s="303"/>
      <c r="Y28" s="268"/>
      <c r="Z28" s="270" t="s">
        <v>41</v>
      </c>
      <c r="AA28" s="307" t="s">
        <v>41</v>
      </c>
    </row>
    <row r="29">
      <c r="A29" s="1"/>
      <c r="B29" s="391" t="s">
        <v>89</v>
      </c>
      <c r="C29" s="249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249"/>
      <c r="X29" s="249"/>
      <c r="Y29" s="249"/>
      <c r="Z29" s="249"/>
      <c r="AA29" s="338"/>
    </row>
    <row r="30">
      <c r="A30" s="1"/>
      <c r="B30" s="370" t="s">
        <v>113</v>
      </c>
      <c r="C30" s="303"/>
      <c r="D30" s="371" t="s">
        <v>32</v>
      </c>
      <c r="E30" s="303"/>
      <c r="F30" s="372"/>
      <c r="G30" s="373"/>
      <c r="H30" s="374" t="s">
        <v>32</v>
      </c>
      <c r="I30" s="303"/>
      <c r="J30" s="375">
        <v>2.0</v>
      </c>
      <c r="K30" s="376">
        <v>5.0</v>
      </c>
      <c r="L30" s="261"/>
      <c r="M30" s="377"/>
      <c r="N30" s="378"/>
      <c r="O30" s="379"/>
      <c r="P30" s="380"/>
      <c r="Q30" s="254" t="s">
        <v>41</v>
      </c>
      <c r="R30" s="266" t="s">
        <v>41</v>
      </c>
      <c r="S30" s="267">
        <v>175.0</v>
      </c>
      <c r="T30" s="249"/>
      <c r="U30" s="249"/>
      <c r="V30" s="249"/>
      <c r="W30" s="249"/>
      <c r="X30" s="303"/>
      <c r="Y30" s="268"/>
      <c r="Z30" s="270" t="s">
        <v>41</v>
      </c>
      <c r="AA30" s="307" t="s">
        <v>41</v>
      </c>
    </row>
    <row r="31">
      <c r="A31" s="1"/>
      <c r="B31" s="370" t="s">
        <v>116</v>
      </c>
      <c r="C31" s="303"/>
      <c r="D31" s="371" t="s">
        <v>32</v>
      </c>
      <c r="E31" s="303"/>
      <c r="F31" s="384"/>
      <c r="G31" s="385"/>
      <c r="H31" s="374" t="s">
        <v>32</v>
      </c>
      <c r="I31" s="303"/>
      <c r="J31" s="387">
        <v>3.0</v>
      </c>
      <c r="K31" s="388">
        <v>7.0</v>
      </c>
      <c r="L31" s="261"/>
      <c r="M31" s="377"/>
      <c r="N31" s="378"/>
      <c r="O31" s="379"/>
      <c r="P31" s="380"/>
      <c r="Q31" s="254" t="s">
        <v>41</v>
      </c>
      <c r="R31" s="266" t="s">
        <v>41</v>
      </c>
      <c r="S31" s="267">
        <v>150.0</v>
      </c>
      <c r="T31" s="249"/>
      <c r="U31" s="249"/>
      <c r="V31" s="249"/>
      <c r="W31" s="249"/>
      <c r="X31" s="303"/>
      <c r="Y31" s="268"/>
      <c r="Z31" s="270" t="s">
        <v>41</v>
      </c>
      <c r="AA31" s="307" t="s">
        <v>41</v>
      </c>
    </row>
    <row r="32">
      <c r="A32" s="1"/>
      <c r="B32" s="370" t="s">
        <v>117</v>
      </c>
      <c r="C32" s="303"/>
      <c r="D32" s="371" t="s">
        <v>32</v>
      </c>
      <c r="E32" s="303"/>
      <c r="F32" s="384"/>
      <c r="G32" s="385"/>
      <c r="H32" s="374" t="s">
        <v>32</v>
      </c>
      <c r="I32" s="303"/>
      <c r="J32" s="387">
        <v>3.0</v>
      </c>
      <c r="K32" s="388">
        <v>6.0</v>
      </c>
      <c r="L32" s="261"/>
      <c r="M32" s="377"/>
      <c r="N32" s="378"/>
      <c r="O32" s="379"/>
      <c r="P32" s="380"/>
      <c r="Q32" s="254" t="s">
        <v>41</v>
      </c>
      <c r="R32" s="266" t="s">
        <v>41</v>
      </c>
      <c r="S32" s="369">
        <v>200.0</v>
      </c>
      <c r="T32" s="249"/>
      <c r="U32" s="249"/>
      <c r="V32" s="249"/>
      <c r="W32" s="249"/>
      <c r="X32" s="303"/>
      <c r="Y32" s="268"/>
      <c r="Z32" s="270" t="s">
        <v>41</v>
      </c>
      <c r="AA32" s="307" t="s">
        <v>41</v>
      </c>
    </row>
    <row r="33">
      <c r="A33" s="1"/>
      <c r="B33" s="370" t="s">
        <v>118</v>
      </c>
      <c r="C33" s="303"/>
      <c r="D33" s="371" t="s">
        <v>32</v>
      </c>
      <c r="E33" s="303"/>
      <c r="F33" s="384"/>
      <c r="G33" s="385"/>
      <c r="H33" s="374" t="s">
        <v>32</v>
      </c>
      <c r="I33" s="303"/>
      <c r="J33" s="387">
        <v>3.0</v>
      </c>
      <c r="K33" s="388">
        <v>6.0</v>
      </c>
      <c r="L33" s="261"/>
      <c r="M33" s="377"/>
      <c r="N33" s="378"/>
      <c r="O33" s="379"/>
      <c r="P33" s="380"/>
      <c r="Q33" s="254" t="s">
        <v>41</v>
      </c>
      <c r="R33" s="266" t="s">
        <v>41</v>
      </c>
      <c r="S33" s="267">
        <v>75.0</v>
      </c>
      <c r="T33" s="249"/>
      <c r="U33" s="249"/>
      <c r="V33" s="249"/>
      <c r="W33" s="249"/>
      <c r="X33" s="303"/>
      <c r="Y33" s="268"/>
      <c r="Z33" s="270" t="s">
        <v>41</v>
      </c>
      <c r="AA33" s="307" t="s">
        <v>41</v>
      </c>
    </row>
    <row r="34">
      <c r="A34" s="1"/>
      <c r="B34" s="367" t="s">
        <v>122</v>
      </c>
      <c r="C34" s="303"/>
      <c r="D34" s="371" t="s">
        <v>32</v>
      </c>
      <c r="E34" s="303"/>
      <c r="F34" s="384"/>
      <c r="G34" s="385"/>
      <c r="H34" s="374" t="s">
        <v>32</v>
      </c>
      <c r="I34" s="303"/>
      <c r="J34" s="387">
        <v>3.0</v>
      </c>
      <c r="K34" s="388">
        <v>5.0</v>
      </c>
      <c r="L34" s="261"/>
      <c r="M34" s="377"/>
      <c r="N34" s="378"/>
      <c r="O34" s="379"/>
      <c r="P34" s="380"/>
      <c r="Q34" s="254" t="s">
        <v>41</v>
      </c>
      <c r="R34" s="266" t="s">
        <v>41</v>
      </c>
      <c r="S34" s="267">
        <v>100.0</v>
      </c>
      <c r="T34" s="249"/>
      <c r="U34" s="249"/>
      <c r="V34" s="249"/>
      <c r="W34" s="249"/>
      <c r="X34" s="303"/>
      <c r="Y34" s="268"/>
      <c r="Z34" s="270" t="s">
        <v>41</v>
      </c>
      <c r="AA34" s="307" t="s">
        <v>41</v>
      </c>
    </row>
    <row r="35">
      <c r="A35" s="1"/>
      <c r="B35" s="370" t="s">
        <v>127</v>
      </c>
      <c r="C35" s="303"/>
      <c r="D35" s="371" t="s">
        <v>32</v>
      </c>
      <c r="E35" s="303"/>
      <c r="F35" s="384"/>
      <c r="G35" s="385"/>
      <c r="H35" s="374" t="s">
        <v>32</v>
      </c>
      <c r="I35" s="303"/>
      <c r="J35" s="387">
        <v>2.0</v>
      </c>
      <c r="K35" s="388">
        <v>5.0</v>
      </c>
      <c r="L35" s="261"/>
      <c r="M35" s="377"/>
      <c r="N35" s="378"/>
      <c r="O35" s="379"/>
      <c r="P35" s="380"/>
      <c r="Q35" s="254" t="s">
        <v>41</v>
      </c>
      <c r="R35" s="266" t="s">
        <v>41</v>
      </c>
      <c r="S35" s="267">
        <v>175.0</v>
      </c>
      <c r="T35" s="249"/>
      <c r="U35" s="249"/>
      <c r="V35" s="249"/>
      <c r="W35" s="249"/>
      <c r="X35" s="303"/>
      <c r="Y35" s="268"/>
      <c r="Z35" s="270" t="s">
        <v>41</v>
      </c>
      <c r="AA35" s="307" t="s">
        <v>41</v>
      </c>
    </row>
    <row r="36">
      <c r="A36" s="1"/>
      <c r="B36" s="404" t="s">
        <v>131</v>
      </c>
      <c r="C36" s="303"/>
      <c r="D36" s="362"/>
      <c r="E36" s="363"/>
      <c r="F36" s="384"/>
      <c r="G36" s="385"/>
      <c r="H36" s="364">
        <v>3.0</v>
      </c>
      <c r="I36" s="365">
        <v>6.0</v>
      </c>
      <c r="J36" s="387">
        <v>3.0</v>
      </c>
      <c r="K36" s="388">
        <v>7.0</v>
      </c>
      <c r="L36" s="261"/>
      <c r="M36" s="377"/>
      <c r="N36" s="378"/>
      <c r="O36" s="379"/>
      <c r="P36" s="380"/>
      <c r="Q36" s="254" t="s">
        <v>41</v>
      </c>
      <c r="R36" s="266" t="s">
        <v>41</v>
      </c>
      <c r="S36" s="267">
        <v>20.0</v>
      </c>
      <c r="T36" s="249"/>
      <c r="U36" s="249"/>
      <c r="V36" s="249"/>
      <c r="W36" s="249"/>
      <c r="X36" s="303"/>
      <c r="Y36" s="268"/>
      <c r="Z36" s="270" t="s">
        <v>41</v>
      </c>
      <c r="AA36" s="307" t="s">
        <v>41</v>
      </c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"/>
      <c r="N37" s="2"/>
      <c r="O37" s="3"/>
      <c r="P37" s="3"/>
      <c r="Q37" s="1"/>
      <c r="R37" s="1"/>
      <c r="S37" s="1"/>
      <c r="T37" s="1"/>
      <c r="U37" s="1"/>
      <c r="V37" s="1"/>
      <c r="W37" s="1"/>
      <c r="X37" s="1"/>
      <c r="Y37" s="3"/>
      <c r="Z37" s="3"/>
      <c r="AA37" s="3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/>
      <c r="N38" s="2"/>
      <c r="O38" s="3"/>
      <c r="P38" s="3"/>
      <c r="Q38" s="1"/>
      <c r="R38" s="1"/>
      <c r="S38" s="1"/>
      <c r="T38" s="1"/>
      <c r="U38" s="1"/>
      <c r="V38" s="1"/>
      <c r="W38" s="1"/>
      <c r="X38" s="1"/>
      <c r="Y38" s="3"/>
      <c r="Z38" s="3"/>
      <c r="AA38" s="3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/>
      <c r="N39" s="2"/>
      <c r="O39" s="3"/>
      <c r="P39" s="3"/>
      <c r="Q39" s="1"/>
      <c r="R39" s="1"/>
      <c r="S39" s="1"/>
      <c r="T39" s="1"/>
      <c r="U39" s="1"/>
      <c r="V39" s="1"/>
      <c r="W39" s="1"/>
      <c r="X39" s="1"/>
      <c r="Y39" s="3"/>
      <c r="Z39" s="3"/>
      <c r="AA39" s="3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"/>
      <c r="N40" s="2"/>
      <c r="O40" s="3"/>
      <c r="P40" s="3"/>
      <c r="Q40" s="1"/>
      <c r="R40" s="1"/>
      <c r="S40" s="1"/>
      <c r="T40" s="1"/>
      <c r="U40" s="1"/>
      <c r="V40" s="1"/>
      <c r="W40" s="1"/>
      <c r="X40" s="1"/>
      <c r="Y40" s="3"/>
      <c r="Z40" s="3"/>
      <c r="AA40" s="3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  <c r="N41" s="2"/>
      <c r="O41" s="3"/>
      <c r="P41" s="3"/>
      <c r="Q41" s="1"/>
      <c r="R41" s="1"/>
      <c r="S41" s="1"/>
      <c r="T41" s="1"/>
      <c r="U41" s="1"/>
      <c r="V41" s="1"/>
      <c r="W41" s="1"/>
      <c r="X41" s="1"/>
      <c r="Y41" s="3"/>
      <c r="Z41" s="3"/>
      <c r="AA41" s="3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"/>
      <c r="N42" s="2"/>
      <c r="O42" s="3"/>
      <c r="P42" s="3"/>
      <c r="Q42" s="1"/>
      <c r="R42" s="1"/>
      <c r="S42" s="1"/>
      <c r="T42" s="1"/>
      <c r="U42" s="1"/>
      <c r="V42" s="1"/>
      <c r="W42" s="1"/>
      <c r="X42" s="1"/>
      <c r="Y42" s="3"/>
      <c r="Z42" s="3"/>
      <c r="AA42" s="3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"/>
      <c r="N43" s="2"/>
      <c r="O43" s="3"/>
      <c r="P43" s="3"/>
      <c r="Q43" s="1"/>
      <c r="R43" s="1"/>
      <c r="S43" s="1"/>
      <c r="T43" s="1"/>
      <c r="U43" s="1"/>
      <c r="V43" s="1"/>
      <c r="W43" s="1"/>
      <c r="X43" s="1"/>
      <c r="Y43" s="3"/>
      <c r="Z43" s="3"/>
      <c r="AA43" s="3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2"/>
      <c r="N44" s="2"/>
      <c r="O44" s="3"/>
      <c r="P44" s="3"/>
      <c r="Q44" s="1"/>
      <c r="R44" s="1"/>
      <c r="S44" s="1"/>
      <c r="T44" s="1"/>
      <c r="U44" s="1"/>
      <c r="V44" s="1"/>
      <c r="W44" s="1"/>
      <c r="X44" s="1"/>
      <c r="Y44" s="3"/>
      <c r="Z44" s="3"/>
      <c r="AA44" s="3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"/>
      <c r="N45" s="2"/>
      <c r="O45" s="3"/>
      <c r="P45" s="3"/>
      <c r="Q45" s="1"/>
      <c r="R45" s="1"/>
      <c r="S45" s="1"/>
      <c r="T45" s="1"/>
      <c r="U45" s="1"/>
      <c r="V45" s="1"/>
      <c r="W45" s="1"/>
      <c r="X45" s="1"/>
      <c r="Y45" s="3"/>
      <c r="Z45" s="3"/>
      <c r="AA45" s="3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"/>
      <c r="N46" s="2"/>
      <c r="O46" s="3"/>
      <c r="P46" s="3"/>
      <c r="Q46" s="1"/>
      <c r="R46" s="1"/>
      <c r="S46" s="1"/>
      <c r="T46" s="1"/>
      <c r="U46" s="1"/>
      <c r="V46" s="1"/>
      <c r="W46" s="1"/>
      <c r="X46" s="1"/>
      <c r="Y46" s="3"/>
      <c r="Z46" s="3"/>
      <c r="AA46" s="3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"/>
      <c r="N47" s="2"/>
      <c r="O47" s="3"/>
      <c r="P47" s="3"/>
      <c r="Q47" s="1"/>
      <c r="R47" s="1"/>
      <c r="S47" s="1"/>
      <c r="T47" s="1"/>
      <c r="U47" s="1"/>
      <c r="V47" s="1"/>
      <c r="W47" s="1"/>
      <c r="X47" s="1"/>
      <c r="Y47" s="3"/>
      <c r="Z47" s="3"/>
      <c r="AA47" s="3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2"/>
      <c r="O48" s="3"/>
      <c r="P48" s="3"/>
      <c r="Q48" s="1"/>
      <c r="R48" s="1"/>
      <c r="S48" s="1"/>
      <c r="T48" s="1"/>
      <c r="U48" s="1"/>
      <c r="V48" s="1"/>
      <c r="W48" s="1"/>
      <c r="X48" s="1"/>
      <c r="Y48" s="3"/>
      <c r="Z48" s="3"/>
      <c r="AA48" s="3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N49" s="2"/>
      <c r="O49" s="3"/>
      <c r="P49" s="3"/>
      <c r="Q49" s="1"/>
      <c r="R49" s="1"/>
      <c r="S49" s="1"/>
      <c r="T49" s="1"/>
      <c r="U49" s="1"/>
      <c r="V49" s="1"/>
      <c r="W49" s="1"/>
      <c r="X49" s="1"/>
      <c r="Y49" s="3"/>
      <c r="Z49" s="3"/>
      <c r="AA49" s="3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2"/>
      <c r="O50" s="3"/>
      <c r="P50" s="3"/>
      <c r="Q50" s="1"/>
      <c r="R50" s="1"/>
      <c r="S50" s="1"/>
      <c r="T50" s="1"/>
      <c r="U50" s="1"/>
      <c r="V50" s="1"/>
      <c r="W50" s="1"/>
      <c r="X50" s="1"/>
      <c r="Y50" s="3"/>
      <c r="Z50" s="3"/>
      <c r="AA50" s="3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2"/>
      <c r="O51" s="3"/>
      <c r="P51" s="3"/>
      <c r="Q51" s="1"/>
      <c r="R51" s="1"/>
      <c r="S51" s="1"/>
      <c r="T51" s="1"/>
      <c r="U51" s="1"/>
      <c r="V51" s="1"/>
      <c r="W51" s="1"/>
      <c r="X51" s="1"/>
      <c r="Y51" s="3"/>
      <c r="Z51" s="3"/>
      <c r="AA51" s="3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2"/>
      <c r="O52" s="3"/>
      <c r="P52" s="3"/>
      <c r="Q52" s="1"/>
      <c r="R52" s="1"/>
      <c r="S52" s="1"/>
      <c r="T52" s="1"/>
      <c r="U52" s="1"/>
      <c r="V52" s="1"/>
      <c r="W52" s="1"/>
      <c r="X52" s="1"/>
      <c r="Y52" s="3"/>
      <c r="Z52" s="3"/>
      <c r="AA52" s="3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N53" s="2"/>
      <c r="O53" s="3"/>
      <c r="P53" s="3"/>
      <c r="Q53" s="1"/>
      <c r="R53" s="1"/>
      <c r="S53" s="1"/>
      <c r="T53" s="1"/>
      <c r="U53" s="1"/>
      <c r="V53" s="1"/>
      <c r="W53" s="1"/>
      <c r="X53" s="1"/>
      <c r="Y53" s="3"/>
      <c r="Z53" s="3"/>
      <c r="AA53" s="3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N54" s="2"/>
      <c r="O54" s="3"/>
      <c r="P54" s="3"/>
      <c r="Q54" s="1"/>
      <c r="R54" s="1"/>
      <c r="S54" s="1"/>
      <c r="T54" s="1"/>
      <c r="U54" s="1"/>
      <c r="V54" s="1"/>
      <c r="W54" s="1"/>
      <c r="X54" s="1"/>
      <c r="Y54" s="3"/>
      <c r="Z54" s="3"/>
      <c r="AA54" s="3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2"/>
      <c r="O55" s="3"/>
      <c r="P55" s="3"/>
      <c r="Q55" s="1"/>
      <c r="R55" s="1"/>
      <c r="S55" s="1"/>
      <c r="T55" s="1"/>
      <c r="U55" s="1"/>
      <c r="V55" s="1"/>
      <c r="W55" s="1"/>
      <c r="X55" s="1"/>
      <c r="Y55" s="3"/>
      <c r="Z55" s="3"/>
      <c r="AA55" s="3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N56" s="2"/>
      <c r="O56" s="3"/>
      <c r="P56" s="3"/>
      <c r="Q56" s="1"/>
      <c r="R56" s="1"/>
      <c r="S56" s="1"/>
      <c r="T56" s="1"/>
      <c r="U56" s="1"/>
      <c r="V56" s="1"/>
      <c r="W56" s="1"/>
      <c r="X56" s="1"/>
      <c r="Y56" s="3"/>
      <c r="Z56" s="3"/>
      <c r="AA56" s="3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2"/>
      <c r="O57" s="3"/>
      <c r="P57" s="3"/>
      <c r="Q57" s="1"/>
      <c r="R57" s="1"/>
      <c r="S57" s="1"/>
      <c r="T57" s="1"/>
      <c r="U57" s="1"/>
      <c r="V57" s="1"/>
      <c r="W57" s="1"/>
      <c r="X57" s="1"/>
      <c r="Y57" s="3"/>
      <c r="Z57" s="3"/>
      <c r="AA57" s="3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2"/>
      <c r="O58" s="3"/>
      <c r="P58" s="3"/>
      <c r="Q58" s="1"/>
      <c r="R58" s="1"/>
      <c r="S58" s="1"/>
      <c r="T58" s="1"/>
      <c r="U58" s="1"/>
      <c r="V58" s="1"/>
      <c r="W58" s="1"/>
      <c r="X58" s="1"/>
      <c r="Y58" s="3"/>
      <c r="Z58" s="3"/>
      <c r="AA58" s="3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2"/>
      <c r="O59" s="3"/>
      <c r="P59" s="3"/>
      <c r="Q59" s="1"/>
      <c r="R59" s="1"/>
      <c r="S59" s="1"/>
      <c r="T59" s="1"/>
      <c r="U59" s="1"/>
      <c r="V59" s="1"/>
      <c r="W59" s="1"/>
      <c r="X59" s="1"/>
      <c r="Y59" s="3"/>
      <c r="Z59" s="3"/>
      <c r="AA59" s="3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2"/>
      <c r="O60" s="3"/>
      <c r="P60" s="3"/>
      <c r="Q60" s="1"/>
      <c r="R60" s="1"/>
      <c r="S60" s="1"/>
      <c r="T60" s="1"/>
      <c r="U60" s="1"/>
      <c r="V60" s="1"/>
      <c r="W60" s="1"/>
      <c r="X60" s="1"/>
      <c r="Y60" s="3"/>
      <c r="Z60" s="3"/>
      <c r="AA60" s="3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2"/>
      <c r="O61" s="3"/>
      <c r="P61" s="3"/>
      <c r="Q61" s="1"/>
      <c r="R61" s="1"/>
      <c r="S61" s="1"/>
      <c r="T61" s="1"/>
      <c r="U61" s="1"/>
      <c r="V61" s="1"/>
      <c r="W61" s="1"/>
      <c r="X61" s="1"/>
      <c r="Y61" s="3"/>
      <c r="Z61" s="3"/>
      <c r="AA61" s="3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2"/>
      <c r="O62" s="3"/>
      <c r="P62" s="3"/>
      <c r="Q62" s="1"/>
      <c r="R62" s="1"/>
      <c r="S62" s="1"/>
      <c r="T62" s="1"/>
      <c r="U62" s="1"/>
      <c r="V62" s="1"/>
      <c r="W62" s="1"/>
      <c r="X62" s="1"/>
      <c r="Y62" s="3"/>
      <c r="Z62" s="3"/>
      <c r="AA62" s="3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2"/>
      <c r="O63" s="3"/>
      <c r="P63" s="3"/>
      <c r="Q63" s="1"/>
      <c r="R63" s="1"/>
      <c r="S63" s="1"/>
      <c r="T63" s="1"/>
      <c r="U63" s="1"/>
      <c r="V63" s="1"/>
      <c r="W63" s="1"/>
      <c r="X63" s="1"/>
      <c r="Y63" s="3"/>
      <c r="Z63" s="3"/>
      <c r="AA63" s="3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2"/>
      <c r="O64" s="3"/>
      <c r="P64" s="3"/>
      <c r="Q64" s="1"/>
      <c r="R64" s="1"/>
      <c r="S64" s="1"/>
      <c r="T64" s="1"/>
      <c r="U64" s="1"/>
      <c r="V64" s="1"/>
      <c r="W64" s="1"/>
      <c r="X64" s="1"/>
      <c r="Y64" s="3"/>
      <c r="Z64" s="3"/>
      <c r="AA64" s="3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2"/>
      <c r="O65" s="3"/>
      <c r="P65" s="3"/>
      <c r="Q65" s="1"/>
      <c r="R65" s="1"/>
      <c r="S65" s="1"/>
      <c r="T65" s="1"/>
      <c r="U65" s="1"/>
      <c r="V65" s="1"/>
      <c r="W65" s="1"/>
      <c r="X65" s="1"/>
      <c r="Y65" s="3"/>
      <c r="Z65" s="3"/>
      <c r="AA65" s="3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2"/>
      <c r="O66" s="3"/>
      <c r="P66" s="3"/>
      <c r="Q66" s="1"/>
      <c r="R66" s="1"/>
      <c r="S66" s="1"/>
      <c r="T66" s="1"/>
      <c r="U66" s="1"/>
      <c r="V66" s="1"/>
      <c r="W66" s="1"/>
      <c r="X66" s="1"/>
      <c r="Y66" s="3"/>
      <c r="Z66" s="3"/>
      <c r="AA66" s="3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2"/>
      <c r="O67" s="3"/>
      <c r="P67" s="3"/>
      <c r="Q67" s="1"/>
      <c r="R67" s="1"/>
      <c r="S67" s="1"/>
      <c r="T67" s="1"/>
      <c r="U67" s="1"/>
      <c r="V67" s="1"/>
      <c r="W67" s="1"/>
      <c r="X67" s="1"/>
      <c r="Y67" s="3"/>
      <c r="Z67" s="3"/>
      <c r="AA67" s="3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2"/>
      <c r="O68" s="3"/>
      <c r="P68" s="3"/>
      <c r="Q68" s="1"/>
      <c r="R68" s="1"/>
      <c r="S68" s="1"/>
      <c r="T68" s="1"/>
      <c r="U68" s="1"/>
      <c r="V68" s="1"/>
      <c r="W68" s="1"/>
      <c r="X68" s="1"/>
      <c r="Y68" s="3"/>
      <c r="Z68" s="3"/>
      <c r="AA68" s="3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2"/>
      <c r="O69" s="3"/>
      <c r="P69" s="3"/>
      <c r="Q69" s="1"/>
      <c r="R69" s="1"/>
      <c r="S69" s="1"/>
      <c r="T69" s="1"/>
      <c r="U69" s="1"/>
      <c r="V69" s="1"/>
      <c r="W69" s="1"/>
      <c r="X69" s="1"/>
      <c r="Y69" s="3"/>
      <c r="Z69" s="3"/>
      <c r="AA69" s="3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2"/>
      <c r="O70" s="3"/>
      <c r="P70" s="3"/>
      <c r="Q70" s="1"/>
      <c r="R70" s="1"/>
      <c r="S70" s="1"/>
      <c r="T70" s="1"/>
      <c r="U70" s="1"/>
      <c r="V70" s="1"/>
      <c r="W70" s="1"/>
      <c r="X70" s="1"/>
      <c r="Y70" s="3"/>
      <c r="Z70" s="3"/>
      <c r="AA70" s="3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O71" s="3"/>
      <c r="P71" s="3"/>
      <c r="Q71" s="1"/>
      <c r="R71" s="1"/>
      <c r="S71" s="1"/>
      <c r="T71" s="1"/>
      <c r="U71" s="1"/>
      <c r="V71" s="1"/>
      <c r="W71" s="1"/>
      <c r="X71" s="1"/>
      <c r="Y71" s="3"/>
      <c r="Z71" s="3"/>
      <c r="AA71" s="3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2"/>
      <c r="O72" s="3"/>
      <c r="P72" s="3"/>
      <c r="Q72" s="1"/>
      <c r="R72" s="1"/>
      <c r="S72" s="1"/>
      <c r="T72" s="1"/>
      <c r="U72" s="1"/>
      <c r="V72" s="1"/>
      <c r="W72" s="1"/>
      <c r="X72" s="1"/>
      <c r="Y72" s="3"/>
      <c r="Z72" s="3"/>
      <c r="AA72" s="3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2"/>
      <c r="O73" s="3"/>
      <c r="P73" s="3"/>
      <c r="Q73" s="1"/>
      <c r="R73" s="1"/>
      <c r="S73" s="1"/>
      <c r="T73" s="1"/>
      <c r="U73" s="1"/>
      <c r="V73" s="1"/>
      <c r="W73" s="1"/>
      <c r="X73" s="1"/>
      <c r="Y73" s="3"/>
      <c r="Z73" s="3"/>
      <c r="AA73" s="3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2"/>
      <c r="O74" s="3"/>
      <c r="P74" s="3"/>
      <c r="Q74" s="1"/>
      <c r="R74" s="1"/>
      <c r="S74" s="1"/>
      <c r="T74" s="1"/>
      <c r="U74" s="1"/>
      <c r="V74" s="1"/>
      <c r="W74" s="1"/>
      <c r="X74" s="1"/>
      <c r="Y74" s="3"/>
      <c r="Z74" s="3"/>
      <c r="AA74" s="3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2"/>
      <c r="O75" s="3"/>
      <c r="P75" s="3"/>
      <c r="Q75" s="1"/>
      <c r="R75" s="1"/>
      <c r="S75" s="1"/>
      <c r="T75" s="1"/>
      <c r="U75" s="1"/>
      <c r="V75" s="1"/>
      <c r="W75" s="1"/>
      <c r="X75" s="1"/>
      <c r="Y75" s="3"/>
      <c r="Z75" s="3"/>
      <c r="AA75" s="3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2"/>
      <c r="O76" s="3"/>
      <c r="P76" s="3"/>
      <c r="Q76" s="1"/>
      <c r="R76" s="1"/>
      <c r="S76" s="1"/>
      <c r="T76" s="1"/>
      <c r="U76" s="1"/>
      <c r="V76" s="1"/>
      <c r="W76" s="1"/>
      <c r="X76" s="1"/>
      <c r="Y76" s="3"/>
      <c r="Z76" s="3"/>
      <c r="AA76" s="3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2"/>
      <c r="O77" s="3"/>
      <c r="P77" s="3"/>
      <c r="Q77" s="1"/>
      <c r="R77" s="1"/>
      <c r="S77" s="1"/>
      <c r="T77" s="1"/>
      <c r="U77" s="1"/>
      <c r="V77" s="1"/>
      <c r="W77" s="1"/>
      <c r="X77" s="1"/>
      <c r="Y77" s="3"/>
      <c r="Z77" s="3"/>
      <c r="AA77" s="3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2"/>
      <c r="O78" s="3"/>
      <c r="P78" s="3"/>
      <c r="Q78" s="1"/>
      <c r="R78" s="1"/>
      <c r="S78" s="1"/>
      <c r="T78" s="1"/>
      <c r="U78" s="1"/>
      <c r="V78" s="1"/>
      <c r="W78" s="1"/>
      <c r="X78" s="1"/>
      <c r="Y78" s="3"/>
      <c r="Z78" s="3"/>
      <c r="AA78" s="3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2"/>
      <c r="O79" s="3"/>
      <c r="P79" s="3"/>
      <c r="Q79" s="1"/>
      <c r="R79" s="1"/>
      <c r="S79" s="1"/>
      <c r="T79" s="1"/>
      <c r="U79" s="1"/>
      <c r="V79" s="1"/>
      <c r="W79" s="1"/>
      <c r="X79" s="1"/>
      <c r="Y79" s="3"/>
      <c r="Z79" s="3"/>
      <c r="AA79" s="3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2"/>
      <c r="O80" s="3"/>
      <c r="P80" s="3"/>
      <c r="Q80" s="1"/>
      <c r="R80" s="1"/>
      <c r="S80" s="1"/>
      <c r="T80" s="1"/>
      <c r="U80" s="1"/>
      <c r="V80" s="1"/>
      <c r="W80" s="1"/>
      <c r="X80" s="1"/>
      <c r="Y80" s="3"/>
      <c r="Z80" s="3"/>
      <c r="AA80" s="3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2"/>
      <c r="O81" s="3"/>
      <c r="P81" s="3"/>
      <c r="Q81" s="1"/>
      <c r="R81" s="1"/>
      <c r="S81" s="1"/>
      <c r="T81" s="1"/>
      <c r="U81" s="1"/>
      <c r="V81" s="1"/>
      <c r="W81" s="1"/>
      <c r="X81" s="1"/>
      <c r="Y81" s="3"/>
      <c r="Z81" s="3"/>
      <c r="AA81" s="3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2"/>
      <c r="O82" s="3"/>
      <c r="P82" s="3"/>
      <c r="Q82" s="1"/>
      <c r="R82" s="1"/>
      <c r="S82" s="1"/>
      <c r="T82" s="1"/>
      <c r="U82" s="1"/>
      <c r="V82" s="1"/>
      <c r="W82" s="1"/>
      <c r="X82" s="1"/>
      <c r="Y82" s="3"/>
      <c r="Z82" s="3"/>
      <c r="AA82" s="3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2"/>
      <c r="O83" s="3"/>
      <c r="P83" s="3"/>
      <c r="Q83" s="1"/>
      <c r="R83" s="1"/>
      <c r="S83" s="1"/>
      <c r="T83" s="1"/>
      <c r="U83" s="1"/>
      <c r="V83" s="1"/>
      <c r="W83" s="1"/>
      <c r="X83" s="1"/>
      <c r="Y83" s="3"/>
      <c r="Z83" s="3"/>
      <c r="AA83" s="3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2"/>
      <c r="O84" s="3"/>
      <c r="P84" s="3"/>
      <c r="Q84" s="1"/>
      <c r="R84" s="1"/>
      <c r="S84" s="1"/>
      <c r="T84" s="1"/>
      <c r="U84" s="1"/>
      <c r="V84" s="1"/>
      <c r="W84" s="1"/>
      <c r="X84" s="1"/>
      <c r="Y84" s="3"/>
      <c r="Z84" s="3"/>
      <c r="AA84" s="3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2"/>
      <c r="O85" s="3"/>
      <c r="P85" s="3"/>
      <c r="Q85" s="1"/>
      <c r="R85" s="1"/>
      <c r="S85" s="1"/>
      <c r="T85" s="1"/>
      <c r="U85" s="1"/>
      <c r="V85" s="1"/>
      <c r="W85" s="1"/>
      <c r="X85" s="1"/>
      <c r="Y85" s="3"/>
      <c r="Z85" s="3"/>
      <c r="AA85" s="3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2"/>
      <c r="O86" s="3"/>
      <c r="P86" s="3"/>
      <c r="Q86" s="1"/>
      <c r="R86" s="1"/>
      <c r="S86" s="1"/>
      <c r="T86" s="1"/>
      <c r="U86" s="1"/>
      <c r="V86" s="1"/>
      <c r="W86" s="1"/>
      <c r="X86" s="1"/>
      <c r="Y86" s="3"/>
      <c r="Z86" s="3"/>
      <c r="AA86" s="3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2"/>
      <c r="O87" s="3"/>
      <c r="P87" s="3"/>
      <c r="Q87" s="1"/>
      <c r="R87" s="1"/>
      <c r="S87" s="1"/>
      <c r="T87" s="1"/>
      <c r="U87" s="1"/>
      <c r="V87" s="1"/>
      <c r="W87" s="1"/>
      <c r="X87" s="1"/>
      <c r="Y87" s="3"/>
      <c r="Z87" s="3"/>
      <c r="AA87" s="3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2"/>
      <c r="O88" s="3"/>
      <c r="P88" s="3"/>
      <c r="Q88" s="1"/>
      <c r="R88" s="1"/>
      <c r="S88" s="1"/>
      <c r="T88" s="1"/>
      <c r="U88" s="1"/>
      <c r="V88" s="1"/>
      <c r="W88" s="1"/>
      <c r="X88" s="1"/>
      <c r="Y88" s="3"/>
      <c r="Z88" s="3"/>
      <c r="AA88" s="3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2"/>
      <c r="O89" s="3"/>
      <c r="P89" s="3"/>
      <c r="Q89" s="1"/>
      <c r="R89" s="1"/>
      <c r="S89" s="1"/>
      <c r="T89" s="1"/>
      <c r="U89" s="1"/>
      <c r="V89" s="1"/>
      <c r="W89" s="1"/>
      <c r="X89" s="1"/>
      <c r="Y89" s="3"/>
      <c r="Z89" s="3"/>
      <c r="AA89" s="3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2"/>
      <c r="O90" s="3"/>
      <c r="P90" s="3"/>
      <c r="Q90" s="1"/>
      <c r="R90" s="1"/>
      <c r="S90" s="1"/>
      <c r="T90" s="1"/>
      <c r="U90" s="1"/>
      <c r="V90" s="1"/>
      <c r="W90" s="1"/>
      <c r="X90" s="1"/>
      <c r="Y90" s="3"/>
      <c r="Z90" s="3"/>
      <c r="AA90" s="3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2"/>
      <c r="O91" s="3"/>
      <c r="P91" s="3"/>
      <c r="Q91" s="1"/>
      <c r="R91" s="1"/>
      <c r="S91" s="1"/>
      <c r="T91" s="1"/>
      <c r="U91" s="1"/>
      <c r="V91" s="1"/>
      <c r="W91" s="1"/>
      <c r="X91" s="1"/>
      <c r="Y91" s="3"/>
      <c r="Z91" s="3"/>
      <c r="AA91" s="3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2"/>
      <c r="O92" s="3"/>
      <c r="P92" s="3"/>
      <c r="Q92" s="1"/>
      <c r="R92" s="1"/>
      <c r="S92" s="1"/>
      <c r="T92" s="1"/>
      <c r="U92" s="1"/>
      <c r="V92" s="1"/>
      <c r="W92" s="1"/>
      <c r="X92" s="1"/>
      <c r="Y92" s="3"/>
      <c r="Z92" s="3"/>
      <c r="AA92" s="3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2"/>
      <c r="O93" s="3"/>
      <c r="P93" s="3"/>
      <c r="Q93" s="1"/>
      <c r="R93" s="1"/>
      <c r="S93" s="1"/>
      <c r="T93" s="1"/>
      <c r="U93" s="1"/>
      <c r="V93" s="1"/>
      <c r="W93" s="1"/>
      <c r="X93" s="1"/>
      <c r="Y93" s="3"/>
      <c r="Z93" s="3"/>
      <c r="AA93" s="3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2"/>
      <c r="O94" s="3"/>
      <c r="P94" s="3"/>
      <c r="Q94" s="1"/>
      <c r="R94" s="1"/>
      <c r="S94" s="1"/>
      <c r="T94" s="1"/>
      <c r="U94" s="1"/>
      <c r="V94" s="1"/>
      <c r="W94" s="1"/>
      <c r="X94" s="1"/>
      <c r="Y94" s="3"/>
      <c r="Z94" s="3"/>
      <c r="AA94" s="3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2"/>
      <c r="O95" s="3"/>
      <c r="P95" s="3"/>
      <c r="Q95" s="1"/>
      <c r="R95" s="1"/>
      <c r="S95" s="1"/>
      <c r="T95" s="1"/>
      <c r="U95" s="1"/>
      <c r="V95" s="1"/>
      <c r="W95" s="1"/>
      <c r="X95" s="1"/>
      <c r="Y95" s="3"/>
      <c r="Z95" s="3"/>
      <c r="AA95" s="3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2"/>
      <c r="O96" s="3"/>
      <c r="P96" s="3"/>
      <c r="Q96" s="1"/>
      <c r="R96" s="1"/>
      <c r="S96" s="1"/>
      <c r="T96" s="1"/>
      <c r="U96" s="1"/>
      <c r="V96" s="1"/>
      <c r="W96" s="1"/>
      <c r="X96" s="1"/>
      <c r="Y96" s="3"/>
      <c r="Z96" s="3"/>
      <c r="AA96" s="3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2"/>
      <c r="O97" s="3"/>
      <c r="P97" s="3"/>
      <c r="Q97" s="1"/>
      <c r="R97" s="1"/>
      <c r="S97" s="1"/>
      <c r="T97" s="1"/>
      <c r="U97" s="1"/>
      <c r="V97" s="1"/>
      <c r="W97" s="1"/>
      <c r="X97" s="1"/>
      <c r="Y97" s="3"/>
      <c r="Z97" s="3"/>
      <c r="AA97" s="3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2"/>
      <c r="O98" s="3"/>
      <c r="P98" s="3"/>
      <c r="Q98" s="1"/>
      <c r="R98" s="1"/>
      <c r="S98" s="1"/>
      <c r="T98" s="1"/>
      <c r="U98" s="1"/>
      <c r="V98" s="1"/>
      <c r="W98" s="1"/>
      <c r="X98" s="1"/>
      <c r="Y98" s="3"/>
      <c r="Z98" s="3"/>
      <c r="AA98" s="3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2"/>
      <c r="O99" s="3"/>
      <c r="P99" s="3"/>
      <c r="Q99" s="1"/>
      <c r="R99" s="1"/>
      <c r="S99" s="1"/>
      <c r="T99" s="1"/>
      <c r="U99" s="1"/>
      <c r="V99" s="1"/>
      <c r="W99" s="1"/>
      <c r="X99" s="1"/>
      <c r="Y99" s="3"/>
      <c r="Z99" s="3"/>
      <c r="AA99" s="3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2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3"/>
      <c r="Z100" s="3"/>
      <c r="AA100" s="3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2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3"/>
      <c r="Z101" s="3"/>
      <c r="AA101" s="3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2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3"/>
      <c r="Z102" s="3"/>
      <c r="AA102" s="3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2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3"/>
      <c r="Z103" s="3"/>
      <c r="AA103" s="3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2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3"/>
      <c r="Z104" s="3"/>
      <c r="AA104" s="3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2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3"/>
      <c r="Z105" s="3"/>
      <c r="AA105" s="3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2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3"/>
      <c r="Z106" s="3"/>
      <c r="AA106" s="3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2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3"/>
      <c r="Z107" s="3"/>
      <c r="AA107" s="3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2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3"/>
      <c r="Z108" s="3"/>
      <c r="AA108" s="3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2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3"/>
      <c r="Z109" s="3"/>
      <c r="AA109" s="3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2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3"/>
      <c r="Z110" s="3"/>
      <c r="AA110" s="3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2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3"/>
      <c r="Z111" s="3"/>
      <c r="AA111" s="3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2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3"/>
      <c r="Z112" s="3"/>
      <c r="AA112" s="3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2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3"/>
      <c r="Z113" s="3"/>
      <c r="AA113" s="3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2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3"/>
      <c r="Z114" s="3"/>
      <c r="AA114" s="3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2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3"/>
      <c r="Z115" s="3"/>
      <c r="AA115" s="3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2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3"/>
      <c r="Z116" s="3"/>
      <c r="AA116" s="3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2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3"/>
      <c r="Z117" s="3"/>
      <c r="AA117" s="3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2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3"/>
      <c r="Z118" s="3"/>
      <c r="AA118" s="3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2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3"/>
      <c r="Z119" s="3"/>
      <c r="AA119" s="3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2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3"/>
      <c r="Z120" s="3"/>
      <c r="AA120" s="3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2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3"/>
      <c r="Z121" s="3"/>
      <c r="AA121" s="3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2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3"/>
      <c r="Z122" s="3"/>
      <c r="AA122" s="3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2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3"/>
      <c r="Z123" s="3"/>
      <c r="AA123" s="3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2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3"/>
      <c r="Z124" s="3"/>
      <c r="AA124" s="3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2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3"/>
      <c r="Z125" s="3"/>
      <c r="AA125" s="3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2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3"/>
      <c r="Z126" s="3"/>
      <c r="AA126" s="3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2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3"/>
      <c r="Z127" s="3"/>
      <c r="AA127" s="3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2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3"/>
      <c r="Z128" s="3"/>
      <c r="AA128" s="3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2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3"/>
      <c r="Z129" s="3"/>
      <c r="AA129" s="3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2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3"/>
      <c r="Z130" s="3"/>
      <c r="AA130" s="3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2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3"/>
      <c r="Z131" s="3"/>
      <c r="AA131" s="3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2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3"/>
      <c r="Z132" s="3"/>
      <c r="AA132" s="3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2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3"/>
      <c r="Z133" s="3"/>
      <c r="AA133" s="3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2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3"/>
      <c r="Z134" s="3"/>
      <c r="AA134" s="3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2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3"/>
      <c r="Z135" s="3"/>
      <c r="AA135" s="3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2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3"/>
      <c r="Z136" s="3"/>
      <c r="AA136" s="3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2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3"/>
      <c r="Z137" s="3"/>
      <c r="AA137" s="3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2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3"/>
      <c r="Z138" s="3"/>
      <c r="AA138" s="3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2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3"/>
      <c r="Z139" s="3"/>
      <c r="AA139" s="3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2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3"/>
      <c r="Z140" s="3"/>
      <c r="AA140" s="3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2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3"/>
      <c r="Z141" s="3"/>
      <c r="AA141" s="3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2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3"/>
      <c r="Z142" s="3"/>
      <c r="AA142" s="3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2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3"/>
      <c r="Z143" s="3"/>
      <c r="AA143" s="3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2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3"/>
      <c r="Z144" s="3"/>
      <c r="AA144" s="3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2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3"/>
      <c r="Z145" s="3"/>
      <c r="AA145" s="3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2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3"/>
      <c r="Z146" s="3"/>
      <c r="AA146" s="3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2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3"/>
      <c r="Z147" s="3"/>
      <c r="AA147" s="3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2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3"/>
      <c r="Z148" s="3"/>
      <c r="AA148" s="3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2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3"/>
      <c r="Z149" s="3"/>
      <c r="AA149" s="3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2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3"/>
      <c r="Z150" s="3"/>
      <c r="AA150" s="3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2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3"/>
      <c r="Z151" s="3"/>
      <c r="AA151" s="3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2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3"/>
      <c r="Z152" s="3"/>
      <c r="AA152" s="3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2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3"/>
      <c r="Z153" s="3"/>
      <c r="AA153" s="3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2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3"/>
      <c r="Z154" s="3"/>
      <c r="AA154" s="3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3"/>
      <c r="Z155" s="3"/>
      <c r="AA155" s="3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2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3"/>
      <c r="Z156" s="3"/>
      <c r="AA156" s="3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2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3"/>
      <c r="Z157" s="3"/>
      <c r="AA157" s="3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2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3"/>
      <c r="Z158" s="3"/>
      <c r="AA158" s="3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2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3"/>
      <c r="Z159" s="3"/>
      <c r="AA159" s="3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2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3"/>
      <c r="Z160" s="3"/>
      <c r="AA160" s="3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2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3"/>
      <c r="Z161" s="3"/>
      <c r="AA161" s="3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2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3"/>
      <c r="Z162" s="3"/>
      <c r="AA162" s="3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2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3"/>
      <c r="Z163" s="3"/>
      <c r="AA163" s="3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2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3"/>
      <c r="Z164" s="3"/>
      <c r="AA164" s="3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2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3"/>
      <c r="Z165" s="3"/>
      <c r="AA165" s="3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2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3"/>
      <c r="Z166" s="3"/>
      <c r="AA166" s="3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2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3"/>
      <c r="Z167" s="3"/>
      <c r="AA167" s="3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2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3"/>
      <c r="Z168" s="3"/>
      <c r="AA168" s="3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2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3"/>
      <c r="Z169" s="3"/>
      <c r="AA169" s="3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2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3"/>
      <c r="Z170" s="3"/>
      <c r="AA170" s="3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2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3"/>
      <c r="Z171" s="3"/>
      <c r="AA171" s="3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2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3"/>
      <c r="Z172" s="3"/>
      <c r="AA172" s="3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2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3"/>
      <c r="Z173" s="3"/>
      <c r="AA173" s="3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2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3"/>
      <c r="Z174" s="3"/>
      <c r="AA174" s="3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2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3"/>
      <c r="Z175" s="3"/>
      <c r="AA175" s="3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3"/>
      <c r="Z176" s="3"/>
      <c r="AA176" s="3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2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3"/>
      <c r="Z177" s="3"/>
      <c r="AA177" s="3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2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3"/>
      <c r="Z178" s="3"/>
      <c r="AA178" s="3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2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3"/>
      <c r="Z179" s="3"/>
      <c r="AA179" s="3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2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3"/>
      <c r="Z180" s="3"/>
      <c r="AA180" s="3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2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3"/>
      <c r="Z181" s="3"/>
      <c r="AA181" s="3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2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3"/>
      <c r="Z182" s="3"/>
      <c r="AA182" s="3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2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3"/>
      <c r="Z183" s="3"/>
      <c r="AA183" s="3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2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3"/>
      <c r="Z184" s="3"/>
      <c r="AA184" s="3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2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3"/>
      <c r="Z185" s="3"/>
      <c r="AA185" s="3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2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3"/>
      <c r="Z186" s="3"/>
      <c r="AA186" s="3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2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3"/>
      <c r="Z187" s="3"/>
      <c r="AA187" s="3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2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3"/>
      <c r="Z188" s="3"/>
      <c r="AA188" s="3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2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3"/>
      <c r="Z189" s="3"/>
      <c r="AA189" s="3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2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3"/>
      <c r="Z190" s="3"/>
      <c r="AA190" s="3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2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3"/>
      <c r="Z191" s="3"/>
      <c r="AA191" s="3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2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3"/>
      <c r="Z192" s="3"/>
      <c r="AA192" s="3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2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3"/>
      <c r="Z193" s="3"/>
      <c r="AA193" s="3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2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3"/>
      <c r="Z194" s="3"/>
      <c r="AA194" s="3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2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3"/>
      <c r="Z195" s="3"/>
      <c r="AA195" s="3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2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3"/>
      <c r="Z196" s="3"/>
      <c r="AA196" s="3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2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3"/>
      <c r="Z197" s="3"/>
      <c r="AA197" s="3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2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3"/>
      <c r="Z198" s="3"/>
      <c r="AA198" s="3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2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3"/>
      <c r="Z199" s="3"/>
      <c r="AA199" s="3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2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3"/>
      <c r="Z200" s="3"/>
      <c r="AA200" s="3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2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3"/>
      <c r="Z201" s="3"/>
      <c r="AA201" s="3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2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3"/>
      <c r="Z202" s="3"/>
      <c r="AA202" s="3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2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3"/>
      <c r="Z203" s="3"/>
      <c r="AA203" s="3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2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3"/>
      <c r="Z204" s="3"/>
      <c r="AA204" s="3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2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3"/>
      <c r="Z205" s="3"/>
      <c r="AA205" s="3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2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3"/>
      <c r="Z206" s="3"/>
      <c r="AA206" s="3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2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3"/>
      <c r="Z207" s="3"/>
      <c r="AA207" s="3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2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3"/>
      <c r="Z208" s="3"/>
      <c r="AA208" s="3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2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3"/>
      <c r="Z209" s="3"/>
      <c r="AA209" s="3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2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3"/>
      <c r="Z210" s="3"/>
      <c r="AA210" s="3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2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3"/>
      <c r="Z211" s="3"/>
      <c r="AA211" s="3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2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3"/>
      <c r="Z212" s="3"/>
      <c r="AA212" s="3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2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3"/>
      <c r="Z213" s="3"/>
      <c r="AA213" s="3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2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3"/>
      <c r="Z214" s="3"/>
      <c r="AA214" s="3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2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3"/>
      <c r="Z215" s="3"/>
      <c r="AA215" s="3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2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3"/>
      <c r="Z216" s="3"/>
      <c r="AA216" s="3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2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3"/>
      <c r="Z217" s="3"/>
      <c r="AA217" s="3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2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3"/>
      <c r="Z218" s="3"/>
      <c r="AA218" s="3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2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3"/>
      <c r="Z219" s="3"/>
      <c r="AA219" s="3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2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3"/>
      <c r="Z220" s="3"/>
      <c r="AA220" s="3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2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3"/>
      <c r="Z221" s="3"/>
      <c r="AA221" s="3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2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3"/>
      <c r="Z222" s="3"/>
      <c r="AA222" s="3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2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3"/>
      <c r="Z223" s="3"/>
      <c r="AA223" s="3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2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3"/>
      <c r="Z224" s="3"/>
      <c r="AA224" s="3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2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3"/>
      <c r="Z225" s="3"/>
      <c r="AA225" s="3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2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3"/>
      <c r="Z226" s="3"/>
      <c r="AA226" s="3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2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3"/>
      <c r="Z227" s="3"/>
      <c r="AA227" s="3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2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3"/>
      <c r="Z228" s="3"/>
      <c r="AA228" s="3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2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3"/>
      <c r="Z229" s="3"/>
      <c r="AA229" s="3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2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3"/>
      <c r="Z230" s="3"/>
      <c r="AA230" s="3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2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3"/>
      <c r="Z231" s="3"/>
      <c r="AA231" s="3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2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3"/>
      <c r="Z232" s="3"/>
      <c r="AA232" s="3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"/>
      <c r="N233" s="2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3"/>
      <c r="Z233" s="3"/>
      <c r="AA233" s="3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"/>
      <c r="N234" s="2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3"/>
      <c r="Z234" s="3"/>
      <c r="AA234" s="3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"/>
      <c r="N235" s="2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3"/>
      <c r="Z235" s="3"/>
      <c r="AA235" s="3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"/>
      <c r="N236" s="2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3"/>
      <c r="Z236" s="3"/>
      <c r="AA236" s="3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"/>
      <c r="N237" s="2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3"/>
      <c r="Z237" s="3"/>
      <c r="AA237" s="3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"/>
      <c r="N238" s="2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3"/>
      <c r="Z238" s="3"/>
      <c r="AA238" s="3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"/>
      <c r="N239" s="2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3"/>
      <c r="Z239" s="3"/>
      <c r="AA239" s="3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"/>
      <c r="N240" s="2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3"/>
      <c r="Z240" s="3"/>
      <c r="AA240" s="3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"/>
      <c r="N241" s="2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3"/>
      <c r="Z241" s="3"/>
      <c r="AA241" s="3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"/>
      <c r="N242" s="2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3"/>
      <c r="Z242" s="3"/>
      <c r="AA242" s="3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"/>
      <c r="N243" s="2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3"/>
      <c r="Z243" s="3"/>
      <c r="AA243" s="3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"/>
      <c r="N244" s="2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3"/>
      <c r="Z244" s="3"/>
      <c r="AA244" s="3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"/>
      <c r="N245" s="2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3"/>
      <c r="Z245" s="3"/>
      <c r="AA245" s="3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"/>
      <c r="N246" s="2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3"/>
      <c r="Z246" s="3"/>
      <c r="AA246" s="3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"/>
      <c r="N247" s="2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3"/>
      <c r="Z247" s="3"/>
      <c r="AA247" s="3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"/>
      <c r="N248" s="2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3"/>
      <c r="Z248" s="3"/>
      <c r="AA248" s="3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"/>
      <c r="N249" s="2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3"/>
      <c r="Z249" s="3"/>
      <c r="AA249" s="3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"/>
      <c r="N250" s="2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3"/>
      <c r="Z250" s="3"/>
      <c r="AA250" s="3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"/>
      <c r="N251" s="2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3"/>
      <c r="Z251" s="3"/>
      <c r="AA251" s="3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"/>
      <c r="N252" s="2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3"/>
      <c r="Z252" s="3"/>
      <c r="AA252" s="3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"/>
      <c r="N253" s="2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3"/>
      <c r="Z253" s="3"/>
      <c r="AA253" s="3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"/>
      <c r="N254" s="2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3"/>
      <c r="Z254" s="3"/>
      <c r="AA254" s="3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"/>
      <c r="N255" s="2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3"/>
      <c r="Z255" s="3"/>
      <c r="AA255" s="3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"/>
      <c r="N256" s="2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3"/>
      <c r="Z256" s="3"/>
      <c r="AA256" s="3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"/>
      <c r="N257" s="2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3"/>
      <c r="Z257" s="3"/>
      <c r="AA257" s="3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"/>
      <c r="N258" s="2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3"/>
      <c r="Z258" s="3"/>
      <c r="AA258" s="3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"/>
      <c r="N259" s="2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3"/>
      <c r="Z259" s="3"/>
      <c r="AA259" s="3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"/>
      <c r="N260" s="2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3"/>
      <c r="Z260" s="3"/>
      <c r="AA260" s="3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"/>
      <c r="N261" s="2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3"/>
      <c r="Z261" s="3"/>
      <c r="AA261" s="3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"/>
      <c r="N262" s="2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3"/>
      <c r="Z262" s="3"/>
      <c r="AA262" s="3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"/>
      <c r="N263" s="2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3"/>
      <c r="Z263" s="3"/>
      <c r="AA263" s="3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"/>
      <c r="N264" s="2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3"/>
      <c r="Z264" s="3"/>
      <c r="AA264" s="3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"/>
      <c r="N265" s="2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3"/>
      <c r="Z265" s="3"/>
      <c r="AA265" s="3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"/>
      <c r="N266" s="2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3"/>
      <c r="Z266" s="3"/>
      <c r="AA266" s="3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"/>
      <c r="N267" s="2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3"/>
      <c r="Z267" s="3"/>
      <c r="AA267" s="3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"/>
      <c r="N268" s="2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3"/>
      <c r="Z268" s="3"/>
      <c r="AA268" s="3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"/>
      <c r="N269" s="2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3"/>
      <c r="Z269" s="3"/>
      <c r="AA269" s="3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"/>
      <c r="N270" s="2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3"/>
      <c r="Z270" s="3"/>
      <c r="AA270" s="3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"/>
      <c r="N271" s="2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3"/>
      <c r="Z271" s="3"/>
      <c r="AA271" s="3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"/>
      <c r="N272" s="2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3"/>
      <c r="Z272" s="3"/>
      <c r="AA272" s="3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"/>
      <c r="N273" s="2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3"/>
      <c r="Z273" s="3"/>
      <c r="AA273" s="3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"/>
      <c r="N274" s="2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3"/>
      <c r="Z274" s="3"/>
      <c r="AA274" s="3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"/>
      <c r="N275" s="2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3"/>
      <c r="Z275" s="3"/>
      <c r="AA275" s="3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"/>
      <c r="N276" s="2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3"/>
      <c r="Z276" s="3"/>
      <c r="AA276" s="3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"/>
      <c r="N277" s="2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3"/>
      <c r="Z277" s="3"/>
      <c r="AA277" s="3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"/>
      <c r="N278" s="2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3"/>
      <c r="Z278" s="3"/>
      <c r="AA278" s="3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"/>
      <c r="N279" s="2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3"/>
      <c r="Z279" s="3"/>
      <c r="AA279" s="3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"/>
      <c r="N280" s="2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3"/>
      <c r="Z280" s="3"/>
      <c r="AA280" s="3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"/>
      <c r="N281" s="2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3"/>
      <c r="Z281" s="3"/>
      <c r="AA281" s="3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"/>
      <c r="N282" s="2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3"/>
      <c r="Z282" s="3"/>
      <c r="AA282" s="3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"/>
      <c r="N283" s="2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3"/>
      <c r="Z283" s="3"/>
      <c r="AA283" s="3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"/>
      <c r="N284" s="2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3"/>
      <c r="Z284" s="3"/>
      <c r="AA284" s="3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"/>
      <c r="N285" s="2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3"/>
      <c r="Z285" s="3"/>
      <c r="AA285" s="3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"/>
      <c r="N286" s="2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3"/>
      <c r="Z286" s="3"/>
      <c r="AA286" s="3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"/>
      <c r="N287" s="2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3"/>
      <c r="Z287" s="3"/>
      <c r="AA287" s="3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"/>
      <c r="N288" s="2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3"/>
      <c r="Z288" s="3"/>
      <c r="AA288" s="3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"/>
      <c r="N289" s="2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3"/>
      <c r="Z289" s="3"/>
      <c r="AA289" s="3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"/>
      <c r="N290" s="2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3"/>
      <c r="Z290" s="3"/>
      <c r="AA290" s="3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"/>
      <c r="N291" s="2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3"/>
      <c r="Z291" s="3"/>
      <c r="AA291" s="3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"/>
      <c r="N292" s="2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3"/>
      <c r="Z292" s="3"/>
      <c r="AA292" s="3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"/>
      <c r="N293" s="2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3"/>
      <c r="Z293" s="3"/>
      <c r="AA293" s="3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"/>
      <c r="N294" s="2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3"/>
      <c r="Z294" s="3"/>
      <c r="AA294" s="3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"/>
      <c r="N295" s="2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3"/>
      <c r="Z295" s="3"/>
      <c r="AA295" s="3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2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3"/>
      <c r="Z296" s="3"/>
      <c r="AA296" s="3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"/>
      <c r="N297" s="2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3"/>
      <c r="Z297" s="3"/>
      <c r="AA297" s="3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2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3"/>
      <c r="Z298" s="3"/>
      <c r="AA298" s="3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"/>
      <c r="N299" s="2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3"/>
      <c r="Z299" s="3"/>
      <c r="AA299" s="3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2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3"/>
      <c r="Z300" s="3"/>
      <c r="AA300" s="3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"/>
      <c r="N301" s="2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3"/>
      <c r="Z301" s="3"/>
      <c r="AA301" s="3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2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3"/>
      <c r="Z302" s="3"/>
      <c r="AA302" s="3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"/>
      <c r="N303" s="2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3"/>
      <c r="Z303" s="3"/>
      <c r="AA303" s="3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2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3"/>
      <c r="Z304" s="3"/>
      <c r="AA304" s="3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"/>
      <c r="N305" s="2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3"/>
      <c r="Z305" s="3"/>
      <c r="AA305" s="3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2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3"/>
      <c r="Z306" s="3"/>
      <c r="AA306" s="3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"/>
      <c r="N307" s="2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3"/>
      <c r="Z307" s="3"/>
      <c r="AA307" s="3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2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3"/>
      <c r="Z308" s="3"/>
      <c r="AA308" s="3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"/>
      <c r="N309" s="2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3"/>
      <c r="Z309" s="3"/>
      <c r="AA309" s="3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2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3"/>
      <c r="Z310" s="3"/>
      <c r="AA310" s="3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"/>
      <c r="N311" s="2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3"/>
      <c r="Z311" s="3"/>
      <c r="AA311" s="3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2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3"/>
      <c r="Z312" s="3"/>
      <c r="AA312" s="3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"/>
      <c r="N313" s="2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3"/>
      <c r="Z313" s="3"/>
      <c r="AA313" s="3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2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3"/>
      <c r="Z314" s="3"/>
      <c r="AA314" s="3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"/>
      <c r="N315" s="2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3"/>
      <c r="Z315" s="3"/>
      <c r="AA315" s="3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2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3"/>
      <c r="Z316" s="3"/>
      <c r="AA316" s="3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"/>
      <c r="N317" s="2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3"/>
      <c r="Z317" s="3"/>
      <c r="AA317" s="3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2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3"/>
      <c r="Z318" s="3"/>
      <c r="AA318" s="3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"/>
      <c r="N319" s="2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3"/>
      <c r="Z319" s="3"/>
      <c r="AA319" s="3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2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3"/>
      <c r="Z320" s="3"/>
      <c r="AA320" s="3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"/>
      <c r="N321" s="2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3"/>
      <c r="Z321" s="3"/>
      <c r="AA321" s="3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2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3"/>
      <c r="Z322" s="3"/>
      <c r="AA322" s="3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"/>
      <c r="N323" s="2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3"/>
      <c r="Z323" s="3"/>
      <c r="AA323" s="3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2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3"/>
      <c r="Z324" s="3"/>
      <c r="AA324" s="3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"/>
      <c r="N325" s="2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3"/>
      <c r="Z325" s="3"/>
      <c r="AA325" s="3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2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3"/>
      <c r="Z326" s="3"/>
      <c r="AA326" s="3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"/>
      <c r="N327" s="2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3"/>
      <c r="Z327" s="3"/>
      <c r="AA327" s="3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2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3"/>
      <c r="Z328" s="3"/>
      <c r="AA328" s="3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"/>
      <c r="N329" s="2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3"/>
      <c r="Z329" s="3"/>
      <c r="AA329" s="3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"/>
      <c r="N330" s="2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3"/>
      <c r="Z330" s="3"/>
      <c r="AA330" s="3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"/>
      <c r="N331" s="2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3"/>
      <c r="Z331" s="3"/>
      <c r="AA331" s="3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"/>
      <c r="N332" s="2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3"/>
      <c r="Z332" s="3"/>
      <c r="AA332" s="3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"/>
      <c r="N333" s="2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3"/>
      <c r="Z333" s="3"/>
      <c r="AA333" s="3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"/>
      <c r="N334" s="2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3"/>
      <c r="Z334" s="3"/>
      <c r="AA334" s="3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"/>
      <c r="N335" s="2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3"/>
      <c r="Z335" s="3"/>
      <c r="AA335" s="3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"/>
      <c r="N336" s="2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3"/>
      <c r="Z336" s="3"/>
      <c r="AA336" s="3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"/>
      <c r="N337" s="2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3"/>
      <c r="Z337" s="3"/>
      <c r="AA337" s="3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"/>
      <c r="N338" s="2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3"/>
      <c r="Z338" s="3"/>
      <c r="AA338" s="3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"/>
      <c r="N339" s="2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3"/>
      <c r="Z339" s="3"/>
      <c r="AA339" s="3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"/>
      <c r="N340" s="2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3"/>
      <c r="Z340" s="3"/>
      <c r="AA340" s="3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"/>
      <c r="N341" s="2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3"/>
      <c r="Z341" s="3"/>
      <c r="AA341" s="3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"/>
      <c r="N342" s="2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3"/>
      <c r="Z342" s="3"/>
      <c r="AA342" s="3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"/>
      <c r="N343" s="2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3"/>
      <c r="Z343" s="3"/>
      <c r="AA343" s="3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"/>
      <c r="N344" s="2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3"/>
      <c r="Z344" s="3"/>
      <c r="AA344" s="3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"/>
      <c r="N345" s="2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3"/>
      <c r="Z345" s="3"/>
      <c r="AA345" s="3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"/>
      <c r="N346" s="2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3"/>
      <c r="Z346" s="3"/>
      <c r="AA346" s="3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"/>
      <c r="N347" s="2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3"/>
      <c r="Z347" s="3"/>
      <c r="AA347" s="3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"/>
      <c r="N348" s="2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3"/>
      <c r="Z348" s="3"/>
      <c r="AA348" s="3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"/>
      <c r="N349" s="2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3"/>
      <c r="Z349" s="3"/>
      <c r="AA349" s="3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"/>
      <c r="N350" s="2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3"/>
      <c r="Z350" s="3"/>
      <c r="AA350" s="3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"/>
      <c r="N351" s="2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3"/>
      <c r="Z351" s="3"/>
      <c r="AA351" s="3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"/>
      <c r="N352" s="2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3"/>
      <c r="Z352" s="3"/>
      <c r="AA352" s="3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"/>
      <c r="N353" s="2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3"/>
      <c r="Z353" s="3"/>
      <c r="AA353" s="3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"/>
      <c r="N354" s="2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3"/>
      <c r="Z354" s="3"/>
      <c r="AA354" s="3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"/>
      <c r="N355" s="2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3"/>
      <c r="Z355" s="3"/>
      <c r="AA355" s="3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"/>
      <c r="N356" s="2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3"/>
      <c r="Z356" s="3"/>
      <c r="AA356" s="3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"/>
      <c r="N357" s="2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3"/>
      <c r="Z357" s="3"/>
      <c r="AA357" s="3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"/>
      <c r="N358" s="2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3"/>
      <c r="Z358" s="3"/>
      <c r="AA358" s="3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"/>
      <c r="N359" s="2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3"/>
      <c r="Z359" s="3"/>
      <c r="AA359" s="3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"/>
      <c r="N360" s="2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3"/>
      <c r="Z360" s="3"/>
      <c r="AA360" s="3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"/>
      <c r="N361" s="2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3"/>
      <c r="Z361" s="3"/>
      <c r="AA361" s="3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"/>
      <c r="N362" s="2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3"/>
      <c r="Z362" s="3"/>
      <c r="AA362" s="3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"/>
      <c r="N363" s="2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3"/>
      <c r="Z363" s="3"/>
      <c r="AA363" s="3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"/>
      <c r="N364" s="2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3"/>
      <c r="Z364" s="3"/>
      <c r="AA364" s="3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"/>
      <c r="N365" s="2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3"/>
      <c r="Z365" s="3"/>
      <c r="AA365" s="3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"/>
      <c r="N366" s="2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3"/>
      <c r="Z366" s="3"/>
      <c r="AA366" s="3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2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3"/>
      <c r="Z367" s="3"/>
      <c r="AA367" s="3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2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3"/>
      <c r="Z368" s="3"/>
      <c r="AA368" s="3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2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3"/>
      <c r="Z369" s="3"/>
      <c r="AA369" s="3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2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3"/>
      <c r="Z370" s="3"/>
      <c r="AA370" s="3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2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3"/>
      <c r="Z371" s="3"/>
      <c r="AA371" s="3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2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3"/>
      <c r="Z372" s="3"/>
      <c r="AA372" s="3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2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3"/>
      <c r="Z373" s="3"/>
      <c r="AA373" s="3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2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3"/>
      <c r="Z374" s="3"/>
      <c r="AA374" s="3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2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3"/>
      <c r="Z375" s="3"/>
      <c r="AA375" s="3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2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3"/>
      <c r="Z376" s="3"/>
      <c r="AA376" s="3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2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3"/>
      <c r="Z377" s="3"/>
      <c r="AA377" s="3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2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3"/>
      <c r="Z378" s="3"/>
      <c r="AA378" s="3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2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3"/>
      <c r="Z379" s="3"/>
      <c r="AA379" s="3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2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3"/>
      <c r="Z380" s="3"/>
      <c r="AA380" s="3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2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3"/>
      <c r="Z381" s="3"/>
      <c r="AA381" s="3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2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3"/>
      <c r="Z382" s="3"/>
      <c r="AA382" s="3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2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3"/>
      <c r="Z383" s="3"/>
      <c r="AA383" s="3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2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3"/>
      <c r="Z384" s="3"/>
      <c r="AA384" s="3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2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3"/>
      <c r="Z385" s="3"/>
      <c r="AA385" s="3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2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3"/>
      <c r="Z386" s="3"/>
      <c r="AA386" s="3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2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3"/>
      <c r="Z387" s="3"/>
      <c r="AA387" s="3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2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3"/>
      <c r="Z388" s="3"/>
      <c r="AA388" s="3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2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3"/>
      <c r="Z389" s="3"/>
      <c r="AA389" s="3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2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3"/>
      <c r="Z390" s="3"/>
      <c r="AA390" s="3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2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3"/>
      <c r="Z391" s="3"/>
      <c r="AA391" s="3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2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3"/>
      <c r="Z392" s="3"/>
      <c r="AA392" s="3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2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3"/>
      <c r="Z393" s="3"/>
      <c r="AA393" s="3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2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3"/>
      <c r="Z394" s="3"/>
      <c r="AA394" s="3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2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3"/>
      <c r="Z395" s="3"/>
      <c r="AA395" s="3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2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3"/>
      <c r="Z396" s="3"/>
      <c r="AA396" s="3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2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3"/>
      <c r="Z397" s="3"/>
      <c r="AA397" s="3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2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3"/>
      <c r="Z398" s="3"/>
      <c r="AA398" s="3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2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3"/>
      <c r="Z399" s="3"/>
      <c r="AA399" s="3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2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3"/>
      <c r="Z400" s="3"/>
      <c r="AA400" s="3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2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3"/>
      <c r="Z401" s="3"/>
      <c r="AA401" s="3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2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3"/>
      <c r="Z402" s="3"/>
      <c r="AA402" s="3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2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3"/>
      <c r="Z403" s="3"/>
      <c r="AA403" s="3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2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3"/>
      <c r="Z404" s="3"/>
      <c r="AA404" s="3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2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3"/>
      <c r="Z405" s="3"/>
      <c r="AA405" s="3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2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3"/>
      <c r="Z406" s="3"/>
      <c r="AA406" s="3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2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3"/>
      <c r="Z407" s="3"/>
      <c r="AA407" s="3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2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3"/>
      <c r="Z408" s="3"/>
      <c r="AA408" s="3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2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3"/>
      <c r="Z409" s="3"/>
      <c r="AA409" s="3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2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3"/>
      <c r="Z410" s="3"/>
      <c r="AA410" s="3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2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3"/>
      <c r="Z411" s="3"/>
      <c r="AA411" s="3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2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3"/>
      <c r="Z412" s="3"/>
      <c r="AA412" s="3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2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3"/>
      <c r="Z413" s="3"/>
      <c r="AA413" s="3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2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3"/>
      <c r="Z414" s="3"/>
      <c r="AA414" s="3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2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3"/>
      <c r="Z415" s="3"/>
      <c r="AA415" s="3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2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3"/>
      <c r="Z416" s="3"/>
      <c r="AA416" s="3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2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3"/>
      <c r="Z417" s="3"/>
      <c r="AA417" s="3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2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3"/>
      <c r="Z418" s="3"/>
      <c r="AA418" s="3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2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3"/>
      <c r="Z419" s="3"/>
      <c r="AA419" s="3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2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3"/>
      <c r="Z420" s="3"/>
      <c r="AA420" s="3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2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3"/>
      <c r="Z421" s="3"/>
      <c r="AA421" s="3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2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3"/>
      <c r="Z422" s="3"/>
      <c r="AA422" s="3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2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3"/>
      <c r="Z423" s="3"/>
      <c r="AA423" s="3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2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3"/>
      <c r="Z424" s="3"/>
      <c r="AA424" s="3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2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3"/>
      <c r="Z425" s="3"/>
      <c r="AA425" s="3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2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3"/>
      <c r="Z426" s="3"/>
      <c r="AA426" s="3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2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3"/>
      <c r="Z427" s="3"/>
      <c r="AA427" s="3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2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3"/>
      <c r="Z428" s="3"/>
      <c r="AA428" s="3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2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3"/>
      <c r="Z429" s="3"/>
      <c r="AA429" s="3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2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3"/>
      <c r="Z430" s="3"/>
      <c r="AA430" s="3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2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3"/>
      <c r="Z431" s="3"/>
      <c r="AA431" s="3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2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3"/>
      <c r="Z432" s="3"/>
      <c r="AA432" s="3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2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3"/>
      <c r="Z433" s="3"/>
      <c r="AA433" s="3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2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3"/>
      <c r="Z434" s="3"/>
      <c r="AA434" s="3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2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3"/>
      <c r="Z435" s="3"/>
      <c r="AA435" s="3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2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3"/>
      <c r="Z436" s="3"/>
      <c r="AA436" s="3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2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3"/>
      <c r="Z437" s="3"/>
      <c r="AA437" s="3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2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3"/>
      <c r="Z438" s="3"/>
      <c r="AA438" s="3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2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3"/>
      <c r="Z439" s="3"/>
      <c r="AA439" s="3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2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3"/>
      <c r="Z440" s="3"/>
      <c r="AA440" s="3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2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3"/>
      <c r="Z441" s="3"/>
      <c r="AA441" s="3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2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3"/>
      <c r="Z442" s="3"/>
      <c r="AA442" s="3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2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3"/>
      <c r="Z443" s="3"/>
      <c r="AA443" s="3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2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3"/>
      <c r="Z444" s="3"/>
      <c r="AA444" s="3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2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3"/>
      <c r="Z445" s="3"/>
      <c r="AA445" s="3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2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3"/>
      <c r="Z446" s="3"/>
      <c r="AA446" s="3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2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3"/>
      <c r="Z447" s="3"/>
      <c r="AA447" s="3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2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3"/>
      <c r="Z448" s="3"/>
      <c r="AA448" s="3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2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3"/>
      <c r="Z449" s="3"/>
      <c r="AA449" s="3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2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3"/>
      <c r="Z450" s="3"/>
      <c r="AA450" s="3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2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3"/>
      <c r="Z451" s="3"/>
      <c r="AA451" s="3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2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3"/>
      <c r="Z452" s="3"/>
      <c r="AA452" s="3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2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3"/>
      <c r="Z453" s="3"/>
      <c r="AA453" s="3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2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3"/>
      <c r="Z454" s="3"/>
      <c r="AA454" s="3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2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3"/>
      <c r="Z455" s="3"/>
      <c r="AA455" s="3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2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3"/>
      <c r="Z456" s="3"/>
      <c r="AA456" s="3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2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3"/>
      <c r="Z457" s="3"/>
      <c r="AA457" s="3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2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3"/>
      <c r="Z458" s="3"/>
      <c r="AA458" s="3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2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3"/>
      <c r="Z459" s="3"/>
      <c r="AA459" s="3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2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3"/>
      <c r="Z460" s="3"/>
      <c r="AA460" s="3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2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3"/>
      <c r="Z461" s="3"/>
      <c r="AA461" s="3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2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3"/>
      <c r="Z462" s="3"/>
      <c r="AA462" s="3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2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3"/>
      <c r="Z463" s="3"/>
      <c r="AA463" s="3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2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3"/>
      <c r="Z464" s="3"/>
      <c r="AA464" s="3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2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3"/>
      <c r="Z465" s="3"/>
      <c r="AA465" s="3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2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3"/>
      <c r="Z466" s="3"/>
      <c r="AA466" s="3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2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3"/>
      <c r="Z467" s="3"/>
      <c r="AA467" s="3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2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3"/>
      <c r="Z468" s="3"/>
      <c r="AA468" s="3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2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3"/>
      <c r="Z469" s="3"/>
      <c r="AA469" s="3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2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3"/>
      <c r="Z470" s="3"/>
      <c r="AA470" s="3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2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3"/>
      <c r="Z471" s="3"/>
      <c r="AA471" s="3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2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3"/>
      <c r="Z472" s="3"/>
      <c r="AA472" s="3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2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3"/>
      <c r="Z473" s="3"/>
      <c r="AA473" s="3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2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3"/>
      <c r="Z474" s="3"/>
      <c r="AA474" s="3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2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3"/>
      <c r="Z475" s="3"/>
      <c r="AA475" s="3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2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3"/>
      <c r="Z476" s="3"/>
      <c r="AA476" s="3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2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3"/>
      <c r="Z477" s="3"/>
      <c r="AA477" s="3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2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3"/>
      <c r="Z478" s="3"/>
      <c r="AA478" s="3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2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3"/>
      <c r="Z479" s="3"/>
      <c r="AA479" s="3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2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3"/>
      <c r="Z480" s="3"/>
      <c r="AA480" s="3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2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3"/>
      <c r="Z481" s="3"/>
      <c r="AA481" s="3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2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3"/>
      <c r="Z482" s="3"/>
      <c r="AA482" s="3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2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3"/>
      <c r="Z483" s="3"/>
      <c r="AA483" s="3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2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3"/>
      <c r="Z484" s="3"/>
      <c r="AA484" s="3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2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3"/>
      <c r="Z485" s="3"/>
      <c r="AA485" s="3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2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3"/>
      <c r="Z486" s="3"/>
      <c r="AA486" s="3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2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3"/>
      <c r="Z487" s="3"/>
      <c r="AA487" s="3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2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3"/>
      <c r="Z488" s="3"/>
      <c r="AA488" s="3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2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3"/>
      <c r="Z489" s="3"/>
      <c r="AA489" s="3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2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3"/>
      <c r="Z490" s="3"/>
      <c r="AA490" s="3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2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3"/>
      <c r="Z491" s="3"/>
      <c r="AA491" s="3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2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3"/>
      <c r="Z492" s="3"/>
      <c r="AA492" s="3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2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3"/>
      <c r="Z493" s="3"/>
      <c r="AA493" s="3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2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3"/>
      <c r="Z494" s="3"/>
      <c r="AA494" s="3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2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3"/>
      <c r="Z495" s="3"/>
      <c r="AA495" s="3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2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3"/>
      <c r="Z496" s="3"/>
      <c r="AA496" s="3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2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3"/>
      <c r="Z497" s="3"/>
      <c r="AA497" s="3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2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3"/>
      <c r="Z498" s="3"/>
      <c r="AA498" s="3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2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3"/>
      <c r="Z499" s="3"/>
      <c r="AA499" s="3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2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3"/>
      <c r="Z500" s="3"/>
      <c r="AA500" s="3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2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3"/>
      <c r="Z501" s="3"/>
      <c r="AA501" s="3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2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3"/>
      <c r="Z502" s="3"/>
      <c r="AA502" s="3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2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3"/>
      <c r="Z503" s="3"/>
      <c r="AA503" s="3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2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3"/>
      <c r="Z504" s="3"/>
      <c r="AA504" s="3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2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3"/>
      <c r="Z505" s="3"/>
      <c r="AA505" s="3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2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3"/>
      <c r="Z506" s="3"/>
      <c r="AA506" s="3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2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3"/>
      <c r="Z507" s="3"/>
      <c r="AA507" s="3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2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3"/>
      <c r="Z508" s="3"/>
      <c r="AA508" s="3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2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3"/>
      <c r="Z509" s="3"/>
      <c r="AA509" s="3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2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3"/>
      <c r="Z510" s="3"/>
      <c r="AA510" s="3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2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3"/>
      <c r="Z511" s="3"/>
      <c r="AA511" s="3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2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3"/>
      <c r="Z512" s="3"/>
      <c r="AA512" s="3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2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3"/>
      <c r="Z513" s="3"/>
      <c r="AA513" s="3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2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3"/>
      <c r="Z514" s="3"/>
      <c r="AA514" s="3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2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3"/>
      <c r="Z515" s="3"/>
      <c r="AA515" s="3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2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3"/>
      <c r="Z516" s="3"/>
      <c r="AA516" s="3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2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3"/>
      <c r="Z517" s="3"/>
      <c r="AA517" s="3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2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3"/>
      <c r="Z518" s="3"/>
      <c r="AA518" s="3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2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3"/>
      <c r="Z519" s="3"/>
      <c r="AA519" s="3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2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3"/>
      <c r="Z520" s="3"/>
      <c r="AA520" s="3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2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3"/>
      <c r="Z521" s="3"/>
      <c r="AA521" s="3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2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3"/>
      <c r="Z522" s="3"/>
      <c r="AA522" s="3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2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3"/>
      <c r="Z523" s="3"/>
      <c r="AA523" s="3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2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3"/>
      <c r="Z524" s="3"/>
      <c r="AA524" s="3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2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3"/>
      <c r="Z525" s="3"/>
      <c r="AA525" s="3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2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3"/>
      <c r="Z526" s="3"/>
      <c r="AA526" s="3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2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3"/>
      <c r="Z527" s="3"/>
      <c r="AA527" s="3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2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3"/>
      <c r="Z528" s="3"/>
      <c r="AA528" s="3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2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3"/>
      <c r="Z529" s="3"/>
      <c r="AA529" s="3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2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3"/>
      <c r="Z530" s="3"/>
      <c r="AA530" s="3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2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3"/>
      <c r="Z531" s="3"/>
      <c r="AA531" s="3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2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3"/>
      <c r="Z532" s="3"/>
      <c r="AA532" s="3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2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3"/>
      <c r="Z533" s="3"/>
      <c r="AA533" s="3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2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3"/>
      <c r="Z534" s="3"/>
      <c r="AA534" s="3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2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3"/>
      <c r="Z535" s="3"/>
      <c r="AA535" s="3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2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3"/>
      <c r="Z536" s="3"/>
      <c r="AA536" s="3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2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3"/>
      <c r="Z537" s="3"/>
      <c r="AA537" s="3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2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3"/>
      <c r="Z538" s="3"/>
      <c r="AA538" s="3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2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3"/>
      <c r="Z539" s="3"/>
      <c r="AA539" s="3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2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3"/>
      <c r="Z540" s="3"/>
      <c r="AA540" s="3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2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3"/>
      <c r="Z541" s="3"/>
      <c r="AA541" s="3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2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3"/>
      <c r="Z542" s="3"/>
      <c r="AA542" s="3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2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3"/>
      <c r="Z543" s="3"/>
      <c r="AA543" s="3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2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3"/>
      <c r="Z544" s="3"/>
      <c r="AA544" s="3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2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3"/>
      <c r="Z545" s="3"/>
      <c r="AA545" s="3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2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3"/>
      <c r="Z546" s="3"/>
      <c r="AA546" s="3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2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3"/>
      <c r="Z547" s="3"/>
      <c r="AA547" s="3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2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3"/>
      <c r="Z548" s="3"/>
      <c r="AA548" s="3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2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3"/>
      <c r="Z549" s="3"/>
      <c r="AA549" s="3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2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3"/>
      <c r="Z550" s="3"/>
      <c r="AA550" s="3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2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3"/>
      <c r="Z551" s="3"/>
      <c r="AA551" s="3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2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3"/>
      <c r="Z552" s="3"/>
      <c r="AA552" s="3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2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3"/>
      <c r="Z553" s="3"/>
      <c r="AA553" s="3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2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3"/>
      <c r="Z554" s="3"/>
      <c r="AA554" s="3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2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3"/>
      <c r="Z555" s="3"/>
      <c r="AA555" s="3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2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3"/>
      <c r="Z556" s="3"/>
      <c r="AA556" s="3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2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3"/>
      <c r="Z557" s="3"/>
      <c r="AA557" s="3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2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3"/>
      <c r="Z558" s="3"/>
      <c r="AA558" s="3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2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3"/>
      <c r="Z559" s="3"/>
      <c r="AA559" s="3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2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3"/>
      <c r="Z560" s="3"/>
      <c r="AA560" s="3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2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3"/>
      <c r="Z561" s="3"/>
      <c r="AA561" s="3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2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3"/>
      <c r="Z562" s="3"/>
      <c r="AA562" s="3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2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3"/>
      <c r="Z563" s="3"/>
      <c r="AA563" s="3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2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3"/>
      <c r="Z564" s="3"/>
      <c r="AA564" s="3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2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3"/>
      <c r="Z565" s="3"/>
      <c r="AA565" s="3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2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3"/>
      <c r="Z566" s="3"/>
      <c r="AA566" s="3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2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3"/>
      <c r="Z567" s="3"/>
      <c r="AA567" s="3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2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3"/>
      <c r="Z568" s="3"/>
      <c r="AA568" s="3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2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3"/>
      <c r="Z569" s="3"/>
      <c r="AA569" s="3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2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3"/>
      <c r="Z570" s="3"/>
      <c r="AA570" s="3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2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3"/>
      <c r="Z571" s="3"/>
      <c r="AA571" s="3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2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3"/>
      <c r="Z572" s="3"/>
      <c r="AA572" s="3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2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3"/>
      <c r="Z573" s="3"/>
      <c r="AA573" s="3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2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3"/>
      <c r="Z574" s="3"/>
      <c r="AA574" s="3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2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3"/>
      <c r="Z575" s="3"/>
      <c r="AA575" s="3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2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3"/>
      <c r="Z576" s="3"/>
      <c r="AA576" s="3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2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3"/>
      <c r="Z577" s="3"/>
      <c r="AA577" s="3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2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3"/>
      <c r="Z578" s="3"/>
      <c r="AA578" s="3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2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3"/>
      <c r="Z579" s="3"/>
      <c r="AA579" s="3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2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3"/>
      <c r="Z580" s="3"/>
      <c r="AA580" s="3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2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3"/>
      <c r="Z581" s="3"/>
      <c r="AA581" s="3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2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3"/>
      <c r="Z582" s="3"/>
      <c r="AA582" s="3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2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3"/>
      <c r="Z583" s="3"/>
      <c r="AA583" s="3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2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3"/>
      <c r="Z584" s="3"/>
      <c r="AA584" s="3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2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3"/>
      <c r="Z585" s="3"/>
      <c r="AA585" s="3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"/>
      <c r="N586" s="2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3"/>
      <c r="Z586" s="3"/>
      <c r="AA586" s="3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"/>
      <c r="N587" s="2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3"/>
      <c r="Z587" s="3"/>
      <c r="AA587" s="3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"/>
      <c r="N588" s="2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3"/>
      <c r="Z588" s="3"/>
      <c r="AA588" s="3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"/>
      <c r="N589" s="2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3"/>
      <c r="Z589" s="3"/>
      <c r="AA589" s="3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"/>
      <c r="N590" s="2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3"/>
      <c r="Z590" s="3"/>
      <c r="AA590" s="3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"/>
      <c r="N591" s="2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3"/>
      <c r="Z591" s="3"/>
      <c r="AA591" s="3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"/>
      <c r="N592" s="2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3"/>
      <c r="Z592" s="3"/>
      <c r="AA592" s="3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"/>
      <c r="N593" s="2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3"/>
      <c r="Z593" s="3"/>
      <c r="AA593" s="3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"/>
      <c r="N594" s="2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3"/>
      <c r="Z594" s="3"/>
      <c r="AA594" s="3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"/>
      <c r="N595" s="2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3"/>
      <c r="Z595" s="3"/>
      <c r="AA595" s="3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"/>
      <c r="N596" s="2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3"/>
      <c r="Z596" s="3"/>
      <c r="AA596" s="3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"/>
      <c r="N597" s="2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3"/>
      <c r="Z597" s="3"/>
      <c r="AA597" s="3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"/>
      <c r="N598" s="2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3"/>
      <c r="Z598" s="3"/>
      <c r="AA598" s="3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"/>
      <c r="N599" s="2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3"/>
      <c r="Z599" s="3"/>
      <c r="AA599" s="3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2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3"/>
      <c r="Z600" s="3"/>
      <c r="AA600" s="3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"/>
      <c r="N601" s="2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3"/>
      <c r="Z601" s="3"/>
      <c r="AA601" s="3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"/>
      <c r="N602" s="2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3"/>
      <c r="Z602" s="3"/>
      <c r="AA602" s="3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"/>
      <c r="N603" s="2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3"/>
      <c r="Z603" s="3"/>
      <c r="AA603" s="3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"/>
      <c r="N604" s="2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3"/>
      <c r="Z604" s="3"/>
      <c r="AA604" s="3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"/>
      <c r="N605" s="2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3"/>
      <c r="Z605" s="3"/>
      <c r="AA605" s="3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"/>
      <c r="N606" s="2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3"/>
      <c r="Z606" s="3"/>
      <c r="AA606" s="3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"/>
      <c r="N607" s="2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3"/>
      <c r="Z607" s="3"/>
      <c r="AA607" s="3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"/>
      <c r="N608" s="2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3"/>
      <c r="Z608" s="3"/>
      <c r="AA608" s="3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"/>
      <c r="N609" s="2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3"/>
      <c r="Z609" s="3"/>
      <c r="AA609" s="3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"/>
      <c r="N610" s="2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3"/>
      <c r="Z610" s="3"/>
      <c r="AA610" s="3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"/>
      <c r="N611" s="2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3"/>
      <c r="Z611" s="3"/>
      <c r="AA611" s="3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"/>
      <c r="N612" s="2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3"/>
      <c r="Z612" s="3"/>
      <c r="AA612" s="3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"/>
      <c r="N613" s="2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3"/>
      <c r="Z613" s="3"/>
      <c r="AA613" s="3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"/>
      <c r="N614" s="2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3"/>
      <c r="Z614" s="3"/>
      <c r="AA614" s="3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"/>
      <c r="N615" s="2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3"/>
      <c r="Z615" s="3"/>
      <c r="AA615" s="3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"/>
      <c r="N616" s="2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3"/>
      <c r="Z616" s="3"/>
      <c r="AA616" s="3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"/>
      <c r="N617" s="2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3"/>
      <c r="Z617" s="3"/>
      <c r="AA617" s="3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"/>
      <c r="N618" s="2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3"/>
      <c r="Z618" s="3"/>
      <c r="AA618" s="3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"/>
      <c r="N619" s="2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3"/>
      <c r="Z619" s="3"/>
      <c r="AA619" s="3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"/>
      <c r="N620" s="2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3"/>
      <c r="Z620" s="3"/>
      <c r="AA620" s="3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"/>
      <c r="N621" s="2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3"/>
      <c r="Z621" s="3"/>
      <c r="AA621" s="3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"/>
      <c r="N622" s="2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3"/>
      <c r="Z622" s="3"/>
      <c r="AA622" s="3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"/>
      <c r="N623" s="2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3"/>
      <c r="Z623" s="3"/>
      <c r="AA623" s="3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"/>
      <c r="N624" s="2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3"/>
      <c r="Z624" s="3"/>
      <c r="AA624" s="3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"/>
      <c r="N625" s="2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3"/>
      <c r="Z625" s="3"/>
      <c r="AA625" s="3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"/>
      <c r="N626" s="2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3"/>
      <c r="Z626" s="3"/>
      <c r="AA626" s="3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"/>
      <c r="N627" s="2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3"/>
      <c r="Z627" s="3"/>
      <c r="AA627" s="3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"/>
      <c r="N628" s="2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3"/>
      <c r="Z628" s="3"/>
      <c r="AA628" s="3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"/>
      <c r="N629" s="2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3"/>
      <c r="Z629" s="3"/>
      <c r="AA629" s="3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"/>
      <c r="N630" s="2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3"/>
      <c r="Z630" s="3"/>
      <c r="AA630" s="3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"/>
      <c r="N631" s="2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3"/>
      <c r="Z631" s="3"/>
      <c r="AA631" s="3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"/>
      <c r="N632" s="2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3"/>
      <c r="Z632" s="3"/>
      <c r="AA632" s="3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"/>
      <c r="N633" s="2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3"/>
      <c r="Z633" s="3"/>
      <c r="AA633" s="3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"/>
      <c r="N634" s="2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3"/>
      <c r="Z634" s="3"/>
      <c r="AA634" s="3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"/>
      <c r="N635" s="2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3"/>
      <c r="Z635" s="3"/>
      <c r="AA635" s="3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"/>
      <c r="N636" s="2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3"/>
      <c r="Z636" s="3"/>
      <c r="AA636" s="3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"/>
      <c r="N637" s="2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3"/>
      <c r="Z637" s="3"/>
      <c r="AA637" s="3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"/>
      <c r="N638" s="2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3"/>
      <c r="Z638" s="3"/>
      <c r="AA638" s="3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"/>
      <c r="N639" s="2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3"/>
      <c r="Z639" s="3"/>
      <c r="AA639" s="3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"/>
      <c r="N640" s="2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3"/>
      <c r="Z640" s="3"/>
      <c r="AA640" s="3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"/>
      <c r="N641" s="2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3"/>
      <c r="Z641" s="3"/>
      <c r="AA641" s="3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"/>
      <c r="N642" s="2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3"/>
      <c r="Z642" s="3"/>
      <c r="AA642" s="3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"/>
      <c r="N643" s="2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3"/>
      <c r="Z643" s="3"/>
      <c r="AA643" s="3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"/>
      <c r="N644" s="2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3"/>
      <c r="Z644" s="3"/>
      <c r="AA644" s="3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2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3"/>
      <c r="Z645" s="3"/>
      <c r="AA645" s="3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2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3"/>
      <c r="Z646" s="3"/>
      <c r="AA646" s="3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2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3"/>
      <c r="Z647" s="3"/>
      <c r="AA647" s="3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2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3"/>
      <c r="Z648" s="3"/>
      <c r="AA648" s="3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2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3"/>
      <c r="Z649" s="3"/>
      <c r="AA649" s="3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2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3"/>
      <c r="Z650" s="3"/>
      <c r="AA650" s="3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2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3"/>
      <c r="Z651" s="3"/>
      <c r="AA651" s="3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2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3"/>
      <c r="Z652" s="3"/>
      <c r="AA652" s="3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2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3"/>
      <c r="Z653" s="3"/>
      <c r="AA653" s="3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2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3"/>
      <c r="Z654" s="3"/>
      <c r="AA654" s="3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2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3"/>
      <c r="Z655" s="3"/>
      <c r="AA655" s="3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2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3"/>
      <c r="Z656" s="3"/>
      <c r="AA656" s="3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2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3"/>
      <c r="Z657" s="3"/>
      <c r="AA657" s="3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2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3"/>
      <c r="Z658" s="3"/>
      <c r="AA658" s="3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2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3"/>
      <c r="Z659" s="3"/>
      <c r="AA659" s="3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2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3"/>
      <c r="Z660" s="3"/>
      <c r="AA660" s="3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2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3"/>
      <c r="Z661" s="3"/>
      <c r="AA661" s="3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2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3"/>
      <c r="Z662" s="3"/>
      <c r="AA662" s="3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2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3"/>
      <c r="Z663" s="3"/>
      <c r="AA663" s="3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2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3"/>
      <c r="Z664" s="3"/>
      <c r="AA664" s="3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2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3"/>
      <c r="Z665" s="3"/>
      <c r="AA665" s="3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2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3"/>
      <c r="Z666" s="3"/>
      <c r="AA666" s="3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2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3"/>
      <c r="Z667" s="3"/>
      <c r="AA667" s="3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2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3"/>
      <c r="Z668" s="3"/>
      <c r="AA668" s="3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2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3"/>
      <c r="Z669" s="3"/>
      <c r="AA669" s="3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2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3"/>
      <c r="Z670" s="3"/>
      <c r="AA670" s="3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2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3"/>
      <c r="Z671" s="3"/>
      <c r="AA671" s="3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2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3"/>
      <c r="Z672" s="3"/>
      <c r="AA672" s="3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2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3"/>
      <c r="Z673" s="3"/>
      <c r="AA673" s="3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2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3"/>
      <c r="Z674" s="3"/>
      <c r="AA674" s="3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2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3"/>
      <c r="Z675" s="3"/>
      <c r="AA675" s="3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2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3"/>
      <c r="Z676" s="3"/>
      <c r="AA676" s="3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2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3"/>
      <c r="Z677" s="3"/>
      <c r="AA677" s="3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2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3"/>
      <c r="Z678" s="3"/>
      <c r="AA678" s="3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2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3"/>
      <c r="Z679" s="3"/>
      <c r="AA679" s="3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2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3"/>
      <c r="Z680" s="3"/>
      <c r="AA680" s="3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2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3"/>
      <c r="Z681" s="3"/>
      <c r="AA681" s="3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2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3"/>
      <c r="Z682" s="3"/>
      <c r="AA682" s="3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2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3"/>
      <c r="Z683" s="3"/>
      <c r="AA683" s="3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2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3"/>
      <c r="Z684" s="3"/>
      <c r="AA684" s="3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2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3"/>
      <c r="Z685" s="3"/>
      <c r="AA685" s="3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2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3"/>
      <c r="Z686" s="3"/>
      <c r="AA686" s="3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2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3"/>
      <c r="Z687" s="3"/>
      <c r="AA687" s="3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2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3"/>
      <c r="Z688" s="3"/>
      <c r="AA688" s="3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2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3"/>
      <c r="Z689" s="3"/>
      <c r="AA689" s="3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2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3"/>
      <c r="Z690" s="3"/>
      <c r="AA690" s="3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2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3"/>
      <c r="Z691" s="3"/>
      <c r="AA691" s="3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2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3"/>
      <c r="Z692" s="3"/>
      <c r="AA692" s="3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2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3"/>
      <c r="Z693" s="3"/>
      <c r="AA693" s="3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2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3"/>
      <c r="Z694" s="3"/>
      <c r="AA694" s="3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2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3"/>
      <c r="Z695" s="3"/>
      <c r="AA695" s="3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2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3"/>
      <c r="Z696" s="3"/>
      <c r="AA696" s="3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2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3"/>
      <c r="Z697" s="3"/>
      <c r="AA697" s="3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2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3"/>
      <c r="Z698" s="3"/>
      <c r="AA698" s="3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2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3"/>
      <c r="Z699" s="3"/>
      <c r="AA699" s="3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2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3"/>
      <c r="Z700" s="3"/>
      <c r="AA700" s="3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2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3"/>
      <c r="Z701" s="3"/>
      <c r="AA701" s="3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2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3"/>
      <c r="Z702" s="3"/>
      <c r="AA702" s="3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2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3"/>
      <c r="Z703" s="3"/>
      <c r="AA703" s="3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2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3"/>
      <c r="Z704" s="3"/>
      <c r="AA704" s="3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2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3"/>
      <c r="Z705" s="3"/>
      <c r="AA705" s="3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2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3"/>
      <c r="Z706" s="3"/>
      <c r="AA706" s="3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2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3"/>
      <c r="Z707" s="3"/>
      <c r="AA707" s="3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2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3"/>
      <c r="Z708" s="3"/>
      <c r="AA708" s="3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2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3"/>
      <c r="Z709" s="3"/>
      <c r="AA709" s="3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2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3"/>
      <c r="Z710" s="3"/>
      <c r="AA710" s="3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2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3"/>
      <c r="Z711" s="3"/>
      <c r="AA711" s="3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2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3"/>
      <c r="Z712" s="3"/>
      <c r="AA712" s="3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2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3"/>
      <c r="Z713" s="3"/>
      <c r="AA713" s="3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2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3"/>
      <c r="Z714" s="3"/>
      <c r="AA714" s="3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2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3"/>
      <c r="Z715" s="3"/>
      <c r="AA715" s="3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2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3"/>
      <c r="Z716" s="3"/>
      <c r="AA716" s="3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2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3"/>
      <c r="Z717" s="3"/>
      <c r="AA717" s="3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2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3"/>
      <c r="Z718" s="3"/>
      <c r="AA718" s="3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2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3"/>
      <c r="Z719" s="3"/>
      <c r="AA719" s="3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2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3"/>
      <c r="Z720" s="3"/>
      <c r="AA720" s="3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2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3"/>
      <c r="Z721" s="3"/>
      <c r="AA721" s="3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2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3"/>
      <c r="Z722" s="3"/>
      <c r="AA722" s="3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2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3"/>
      <c r="Z723" s="3"/>
      <c r="AA723" s="3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2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3"/>
      <c r="Z724" s="3"/>
      <c r="AA724" s="3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2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3"/>
      <c r="Z725" s="3"/>
      <c r="AA725" s="3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2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3"/>
      <c r="Z726" s="3"/>
      <c r="AA726" s="3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2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3"/>
      <c r="Z727" s="3"/>
      <c r="AA727" s="3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2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3"/>
      <c r="Z728" s="3"/>
      <c r="AA728" s="3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2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3"/>
      <c r="Z729" s="3"/>
      <c r="AA729" s="3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2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3"/>
      <c r="Z730" s="3"/>
      <c r="AA730" s="3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2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3"/>
      <c r="Z731" s="3"/>
      <c r="AA731" s="3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2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3"/>
      <c r="Z732" s="3"/>
      <c r="AA732" s="3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2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3"/>
      <c r="Z733" s="3"/>
      <c r="AA733" s="3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2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3"/>
      <c r="Z734" s="3"/>
      <c r="AA734" s="3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2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3"/>
      <c r="Z735" s="3"/>
      <c r="AA735" s="3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2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3"/>
      <c r="Z736" s="3"/>
      <c r="AA736" s="3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2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3"/>
      <c r="Z737" s="3"/>
      <c r="AA737" s="3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2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3"/>
      <c r="Z738" s="3"/>
      <c r="AA738" s="3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2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3"/>
      <c r="Z739" s="3"/>
      <c r="AA739" s="3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2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3"/>
      <c r="Z740" s="3"/>
      <c r="AA740" s="3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2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3"/>
      <c r="Z741" s="3"/>
      <c r="AA741" s="3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2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3"/>
      <c r="Z742" s="3"/>
      <c r="AA742" s="3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2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3"/>
      <c r="Z743" s="3"/>
      <c r="AA743" s="3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2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3"/>
      <c r="Z744" s="3"/>
      <c r="AA744" s="3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2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3"/>
      <c r="Z745" s="3"/>
      <c r="AA745" s="3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2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3"/>
      <c r="Z746" s="3"/>
      <c r="AA746" s="3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2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3"/>
      <c r="Z747" s="3"/>
      <c r="AA747" s="3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2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3"/>
      <c r="Z748" s="3"/>
      <c r="AA748" s="3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2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3"/>
      <c r="Z749" s="3"/>
      <c r="AA749" s="3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2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3"/>
      <c r="Z750" s="3"/>
      <c r="AA750" s="3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2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3"/>
      <c r="Z751" s="3"/>
      <c r="AA751" s="3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2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3"/>
      <c r="Z752" s="3"/>
      <c r="AA752" s="3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2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3"/>
      <c r="Z753" s="3"/>
      <c r="AA753" s="3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2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3"/>
      <c r="Z754" s="3"/>
      <c r="AA754" s="3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2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3"/>
      <c r="Z755" s="3"/>
      <c r="AA755" s="3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2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3"/>
      <c r="Z756" s="3"/>
      <c r="AA756" s="3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2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3"/>
      <c r="Z757" s="3"/>
      <c r="AA757" s="3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2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3"/>
      <c r="Z758" s="3"/>
      <c r="AA758" s="3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2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3"/>
      <c r="Z759" s="3"/>
      <c r="AA759" s="3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2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3"/>
      <c r="Z760" s="3"/>
      <c r="AA760" s="3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2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3"/>
      <c r="Z761" s="3"/>
      <c r="AA761" s="3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2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3"/>
      <c r="Z762" s="3"/>
      <c r="AA762" s="3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2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3"/>
      <c r="Z763" s="3"/>
      <c r="AA763" s="3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2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3"/>
      <c r="Z764" s="3"/>
      <c r="AA764" s="3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2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3"/>
      <c r="Z765" s="3"/>
      <c r="AA765" s="3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2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3"/>
      <c r="Z766" s="3"/>
      <c r="AA766" s="3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2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3"/>
      <c r="Z767" s="3"/>
      <c r="AA767" s="3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2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3"/>
      <c r="Z768" s="3"/>
      <c r="AA768" s="3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2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3"/>
      <c r="Z769" s="3"/>
      <c r="AA769" s="3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2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3"/>
      <c r="Z770" s="3"/>
      <c r="AA770" s="3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2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3"/>
      <c r="Z771" s="3"/>
      <c r="AA771" s="3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2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3"/>
      <c r="Z772" s="3"/>
      <c r="AA772" s="3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2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3"/>
      <c r="Z773" s="3"/>
      <c r="AA773" s="3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2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3"/>
      <c r="Z774" s="3"/>
      <c r="AA774" s="3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2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3"/>
      <c r="Z775" s="3"/>
      <c r="AA775" s="3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2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3"/>
      <c r="Z776" s="3"/>
      <c r="AA776" s="3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2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3"/>
      <c r="Z777" s="3"/>
      <c r="AA777" s="3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2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3"/>
      <c r="Z778" s="3"/>
      <c r="AA778" s="3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2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3"/>
      <c r="Z779" s="3"/>
      <c r="AA779" s="3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2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3"/>
      <c r="Z780" s="3"/>
      <c r="AA780" s="3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2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3"/>
      <c r="Z781" s="3"/>
      <c r="AA781" s="3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2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3"/>
      <c r="Z782" s="3"/>
      <c r="AA782" s="3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2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3"/>
      <c r="Z783" s="3"/>
      <c r="AA783" s="3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2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3"/>
      <c r="Z784" s="3"/>
      <c r="AA784" s="3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2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3"/>
      <c r="Z785" s="3"/>
      <c r="AA785" s="3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2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3"/>
      <c r="Z786" s="3"/>
      <c r="AA786" s="3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2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3"/>
      <c r="Z787" s="3"/>
      <c r="AA787" s="3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2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3"/>
      <c r="Z788" s="3"/>
      <c r="AA788" s="3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2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3"/>
      <c r="Z789" s="3"/>
      <c r="AA789" s="3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2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3"/>
      <c r="Z790" s="3"/>
      <c r="AA790" s="3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2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3"/>
      <c r="Z791" s="3"/>
      <c r="AA791" s="3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2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3"/>
      <c r="Z792" s="3"/>
      <c r="AA792" s="3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2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3"/>
      <c r="Z793" s="3"/>
      <c r="AA793" s="3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2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3"/>
      <c r="Z794" s="3"/>
      <c r="AA794" s="3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2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3"/>
      <c r="Z795" s="3"/>
      <c r="AA795" s="3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2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3"/>
      <c r="Z796" s="3"/>
      <c r="AA796" s="3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2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3"/>
      <c r="Z797" s="3"/>
      <c r="AA797" s="3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2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3"/>
      <c r="Z798" s="3"/>
      <c r="AA798" s="3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2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3"/>
      <c r="Z799" s="3"/>
      <c r="AA799" s="3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2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3"/>
      <c r="Z800" s="3"/>
      <c r="AA800" s="3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2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3"/>
      <c r="Z801" s="3"/>
      <c r="AA801" s="3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2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3"/>
      <c r="Z802" s="3"/>
      <c r="AA802" s="3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2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3"/>
      <c r="Z803" s="3"/>
      <c r="AA803" s="3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2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3"/>
      <c r="Z804" s="3"/>
      <c r="AA804" s="3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2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3"/>
      <c r="Z805" s="3"/>
      <c r="AA805" s="3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2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3"/>
      <c r="Z806" s="3"/>
      <c r="AA806" s="3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2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3"/>
      <c r="Z807" s="3"/>
      <c r="AA807" s="3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2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3"/>
      <c r="Z808" s="3"/>
      <c r="AA808" s="3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2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3"/>
      <c r="Z809" s="3"/>
      <c r="AA809" s="3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2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3"/>
      <c r="Z810" s="3"/>
      <c r="AA810" s="3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2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3"/>
      <c r="Z811" s="3"/>
      <c r="AA811" s="3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2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3"/>
      <c r="Z812" s="3"/>
      <c r="AA812" s="3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2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3"/>
      <c r="Z813" s="3"/>
      <c r="AA813" s="3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2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3"/>
      <c r="Z814" s="3"/>
      <c r="AA814" s="3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2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3"/>
      <c r="Z815" s="3"/>
      <c r="AA815" s="3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2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3"/>
      <c r="Z816" s="3"/>
      <c r="AA816" s="3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2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3"/>
      <c r="Z817" s="3"/>
      <c r="AA817" s="3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2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3"/>
      <c r="Z818" s="3"/>
      <c r="AA818" s="3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2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3"/>
      <c r="Z819" s="3"/>
      <c r="AA819" s="3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2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3"/>
      <c r="Z820" s="3"/>
      <c r="AA820" s="3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2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3"/>
      <c r="Z821" s="3"/>
      <c r="AA821" s="3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2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3"/>
      <c r="Z822" s="3"/>
      <c r="AA822" s="3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2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3"/>
      <c r="Z823" s="3"/>
      <c r="AA823" s="3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2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3"/>
      <c r="Z824" s="3"/>
      <c r="AA824" s="3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2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3"/>
      <c r="Z825" s="3"/>
      <c r="AA825" s="3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2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3"/>
      <c r="Z826" s="3"/>
      <c r="AA826" s="3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2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3"/>
      <c r="Z827" s="3"/>
      <c r="AA827" s="3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2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3"/>
      <c r="Z828" s="3"/>
      <c r="AA828" s="3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2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3"/>
      <c r="Z829" s="3"/>
      <c r="AA829" s="3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2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3"/>
      <c r="Z830" s="3"/>
      <c r="AA830" s="3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2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3"/>
      <c r="Z831" s="3"/>
      <c r="AA831" s="3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2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3"/>
      <c r="Z832" s="3"/>
      <c r="AA832" s="3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2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3"/>
      <c r="Z833" s="3"/>
      <c r="AA833" s="3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2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3"/>
      <c r="Z834" s="3"/>
      <c r="AA834" s="3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2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3"/>
      <c r="Z835" s="3"/>
      <c r="AA835" s="3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2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3"/>
      <c r="Z836" s="3"/>
      <c r="AA836" s="3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2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3"/>
      <c r="Z837" s="3"/>
      <c r="AA837" s="3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2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3"/>
      <c r="Z838" s="3"/>
      <c r="AA838" s="3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2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3"/>
      <c r="Z839" s="3"/>
      <c r="AA839" s="3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2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3"/>
      <c r="Z840" s="3"/>
      <c r="AA840" s="3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2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3"/>
      <c r="Z841" s="3"/>
      <c r="AA841" s="3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2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3"/>
      <c r="Z842" s="3"/>
      <c r="AA842" s="3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2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3"/>
      <c r="Z843" s="3"/>
      <c r="AA843" s="3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2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3"/>
      <c r="Z844" s="3"/>
      <c r="AA844" s="3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2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3"/>
      <c r="Z845" s="3"/>
      <c r="AA845" s="3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2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3"/>
      <c r="Z846" s="3"/>
      <c r="AA846" s="3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2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3"/>
      <c r="Z847" s="3"/>
      <c r="AA847" s="3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2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3"/>
      <c r="Z848" s="3"/>
      <c r="AA848" s="3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2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3"/>
      <c r="Z849" s="3"/>
      <c r="AA849" s="3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2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3"/>
      <c r="Z850" s="3"/>
      <c r="AA850" s="3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2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3"/>
      <c r="Z851" s="3"/>
      <c r="AA851" s="3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2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3"/>
      <c r="Z852" s="3"/>
      <c r="AA852" s="3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2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3"/>
      <c r="Z853" s="3"/>
      <c r="AA853" s="3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2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3"/>
      <c r="Z854" s="3"/>
      <c r="AA854" s="3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2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3"/>
      <c r="Z855" s="3"/>
      <c r="AA855" s="3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2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3"/>
      <c r="Z856" s="3"/>
      <c r="AA856" s="3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2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3"/>
      <c r="Z857" s="3"/>
      <c r="AA857" s="3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2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3"/>
      <c r="Z858" s="3"/>
      <c r="AA858" s="3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2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3"/>
      <c r="Z859" s="3"/>
      <c r="AA859" s="3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2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3"/>
      <c r="Z860" s="3"/>
      <c r="AA860" s="3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2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3"/>
      <c r="Z861" s="3"/>
      <c r="AA861" s="3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2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3"/>
      <c r="Z862" s="3"/>
      <c r="AA862" s="3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2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3"/>
      <c r="Z863" s="3"/>
      <c r="AA863" s="3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2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3"/>
      <c r="Z864" s="3"/>
      <c r="AA864" s="3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2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3"/>
      <c r="Z865" s="3"/>
      <c r="AA865" s="3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2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3"/>
      <c r="Z866" s="3"/>
      <c r="AA866" s="3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2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3"/>
      <c r="Z867" s="3"/>
      <c r="AA867" s="3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2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3"/>
      <c r="Z868" s="3"/>
      <c r="AA868" s="3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2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3"/>
      <c r="Z869" s="3"/>
      <c r="AA869" s="3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2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3"/>
      <c r="Z870" s="3"/>
      <c r="AA870" s="3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2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3"/>
      <c r="Z871" s="3"/>
      <c r="AA871" s="3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2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3"/>
      <c r="Z872" s="3"/>
      <c r="AA872" s="3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2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3"/>
      <c r="Z873" s="3"/>
      <c r="AA873" s="3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2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3"/>
      <c r="Z874" s="3"/>
      <c r="AA874" s="3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2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3"/>
      <c r="Z875" s="3"/>
      <c r="AA875" s="3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2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3"/>
      <c r="Z876" s="3"/>
      <c r="AA876" s="3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2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3"/>
      <c r="Z877" s="3"/>
      <c r="AA877" s="3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2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3"/>
      <c r="Z878" s="3"/>
      <c r="AA878" s="3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2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3"/>
      <c r="Z879" s="3"/>
      <c r="AA879" s="3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2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3"/>
      <c r="Z880" s="3"/>
      <c r="AA880" s="3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2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3"/>
      <c r="Z881" s="3"/>
      <c r="AA881" s="3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2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3"/>
      <c r="Z882" s="3"/>
      <c r="AA882" s="3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2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3"/>
      <c r="Z883" s="3"/>
      <c r="AA883" s="3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2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3"/>
      <c r="Z884" s="3"/>
      <c r="AA884" s="3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2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3"/>
      <c r="Z885" s="3"/>
      <c r="AA885" s="3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2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3"/>
      <c r="Z886" s="3"/>
      <c r="AA886" s="3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2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3"/>
      <c r="Z887" s="3"/>
      <c r="AA887" s="3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2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3"/>
      <c r="Z888" s="3"/>
      <c r="AA888" s="3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2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3"/>
      <c r="Z889" s="3"/>
      <c r="AA889" s="3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2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3"/>
      <c r="Z890" s="3"/>
      <c r="AA890" s="3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2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3"/>
      <c r="Z891" s="3"/>
      <c r="AA891" s="3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2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3"/>
      <c r="Z892" s="3"/>
      <c r="AA892" s="3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2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3"/>
      <c r="Z893" s="3"/>
      <c r="AA893" s="3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2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3"/>
      <c r="Z894" s="3"/>
      <c r="AA894" s="3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2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3"/>
      <c r="Z895" s="3"/>
      <c r="AA895" s="3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2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3"/>
      <c r="Z896" s="3"/>
      <c r="AA896" s="3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2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3"/>
      <c r="Z897" s="3"/>
      <c r="AA897" s="3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2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3"/>
      <c r="Z898" s="3"/>
      <c r="AA898" s="3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2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3"/>
      <c r="Z899" s="3"/>
      <c r="AA899" s="3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2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3"/>
      <c r="Z900" s="3"/>
      <c r="AA900" s="3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2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3"/>
      <c r="Z901" s="3"/>
      <c r="AA901" s="3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2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3"/>
      <c r="Z902" s="3"/>
      <c r="AA902" s="3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2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3"/>
      <c r="Z903" s="3"/>
      <c r="AA903" s="3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2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3"/>
      <c r="Z904" s="3"/>
      <c r="AA904" s="3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2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3"/>
      <c r="Z905" s="3"/>
      <c r="AA905" s="3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2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3"/>
      <c r="Z906" s="3"/>
      <c r="AA906" s="3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2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3"/>
      <c r="Z907" s="3"/>
      <c r="AA907" s="3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2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3"/>
      <c r="Z908" s="3"/>
      <c r="AA908" s="3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2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3"/>
      <c r="Z909" s="3"/>
      <c r="AA909" s="3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2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3"/>
      <c r="Z910" s="3"/>
      <c r="AA910" s="3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2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3"/>
      <c r="Z911" s="3"/>
      <c r="AA911" s="3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2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3"/>
      <c r="Z912" s="3"/>
      <c r="AA912" s="3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2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3"/>
      <c r="Z913" s="3"/>
      <c r="AA913" s="3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2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3"/>
      <c r="Z914" s="3"/>
      <c r="AA914" s="3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2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3"/>
      <c r="Z915" s="3"/>
      <c r="AA915" s="3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2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3"/>
      <c r="Z916" s="3"/>
      <c r="AA916" s="3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2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3"/>
      <c r="Z917" s="3"/>
      <c r="AA917" s="3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2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3"/>
      <c r="Z918" s="3"/>
      <c r="AA918" s="3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2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3"/>
      <c r="Z919" s="3"/>
      <c r="AA919" s="3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2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3"/>
      <c r="Z920" s="3"/>
      <c r="AA920" s="3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2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3"/>
      <c r="Z921" s="3"/>
      <c r="AA921" s="3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2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3"/>
      <c r="Z922" s="3"/>
      <c r="AA922" s="3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2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3"/>
      <c r="Z923" s="3"/>
      <c r="AA923" s="3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2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3"/>
      <c r="Z924" s="3"/>
      <c r="AA924" s="3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2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3"/>
      <c r="Z925" s="3"/>
      <c r="AA925" s="3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2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3"/>
      <c r="Z926" s="3"/>
      <c r="AA926" s="3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2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3"/>
      <c r="Z927" s="3"/>
      <c r="AA927" s="3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2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3"/>
      <c r="Z928" s="3"/>
      <c r="AA928" s="3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2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3"/>
      <c r="Z929" s="3"/>
      <c r="AA929" s="3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2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3"/>
      <c r="Z930" s="3"/>
      <c r="AA930" s="3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2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3"/>
      <c r="Z931" s="3"/>
      <c r="AA931" s="3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2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3"/>
      <c r="Z932" s="3"/>
      <c r="AA932" s="3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2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3"/>
      <c r="Z933" s="3"/>
      <c r="AA933" s="3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2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3"/>
      <c r="Z934" s="3"/>
      <c r="AA934" s="3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2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3"/>
      <c r="Z935" s="3"/>
      <c r="AA935" s="3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2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3"/>
      <c r="Z936" s="3"/>
      <c r="AA936" s="3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2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3"/>
      <c r="Z937" s="3"/>
      <c r="AA937" s="3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2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3"/>
      <c r="Z938" s="3"/>
      <c r="AA938" s="3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2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3"/>
      <c r="Z939" s="3"/>
      <c r="AA939" s="3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2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3"/>
      <c r="Z940" s="3"/>
      <c r="AA940" s="3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2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3"/>
      <c r="Z941" s="3"/>
      <c r="AA941" s="3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2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3"/>
      <c r="Z942" s="3"/>
      <c r="AA942" s="3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2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3"/>
      <c r="Z943" s="3"/>
      <c r="AA943" s="3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2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3"/>
      <c r="Z944" s="3"/>
      <c r="AA944" s="3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2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3"/>
      <c r="Z945" s="3"/>
      <c r="AA945" s="3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2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3"/>
      <c r="Z946" s="3"/>
      <c r="AA946" s="3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2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3"/>
      <c r="Z947" s="3"/>
      <c r="AA947" s="3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2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3"/>
      <c r="Z948" s="3"/>
      <c r="AA948" s="3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2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3"/>
      <c r="Z949" s="3"/>
      <c r="AA949" s="3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2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3"/>
      <c r="Z950" s="3"/>
      <c r="AA950" s="3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2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3"/>
      <c r="Z951" s="3"/>
      <c r="AA951" s="3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2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3"/>
      <c r="Z952" s="3"/>
      <c r="AA952" s="3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2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3"/>
      <c r="Z953" s="3"/>
      <c r="AA953" s="3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2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3"/>
      <c r="Z954" s="3"/>
      <c r="AA954" s="3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2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3"/>
      <c r="Z955" s="3"/>
      <c r="AA955" s="3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2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3"/>
      <c r="Z956" s="3"/>
      <c r="AA956" s="3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2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3"/>
      <c r="Z957" s="3"/>
      <c r="AA957" s="3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2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3"/>
      <c r="Z958" s="3"/>
      <c r="AA958" s="3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2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3"/>
      <c r="Z959" s="3"/>
      <c r="AA959" s="3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2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3"/>
      <c r="Z960" s="3"/>
      <c r="AA960" s="3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2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3"/>
      <c r="Z961" s="3"/>
      <c r="AA961" s="3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2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3"/>
      <c r="Z962" s="3"/>
      <c r="AA962" s="3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2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3"/>
      <c r="Z963" s="3"/>
      <c r="AA963" s="3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2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3"/>
      <c r="Z964" s="3"/>
      <c r="AA964" s="3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2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3"/>
      <c r="Z965" s="3"/>
      <c r="AA965" s="3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2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3"/>
      <c r="Z966" s="3"/>
      <c r="AA966" s="3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2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3"/>
      <c r="Z967" s="3"/>
      <c r="AA967" s="3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2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3"/>
      <c r="Z968" s="3"/>
      <c r="AA968" s="3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2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3"/>
      <c r="Z969" s="3"/>
      <c r="AA969" s="3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"/>
      <c r="N970" s="2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3"/>
      <c r="Z970" s="3"/>
      <c r="AA970" s="3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"/>
      <c r="N971" s="2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3"/>
      <c r="Z971" s="3"/>
      <c r="AA971" s="3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"/>
      <c r="N972" s="2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3"/>
      <c r="Z972" s="3"/>
      <c r="AA972" s="3"/>
    </row>
  </sheetData>
  <mergeCells count="129">
    <mergeCell ref="D3:G3"/>
    <mergeCell ref="H3:K3"/>
    <mergeCell ref="U4:V5"/>
    <mergeCell ref="W4:X5"/>
    <mergeCell ref="B2:C5"/>
    <mergeCell ref="D2:K2"/>
    <mergeCell ref="L2:N3"/>
    <mergeCell ref="O2:P3"/>
    <mergeCell ref="Q2:R3"/>
    <mergeCell ref="S2:X3"/>
    <mergeCell ref="Y2:Y3"/>
    <mergeCell ref="L4:L5"/>
    <mergeCell ref="M4:M5"/>
    <mergeCell ref="L7:L8"/>
    <mergeCell ref="M7:M8"/>
    <mergeCell ref="N7:N8"/>
    <mergeCell ref="M9:M10"/>
    <mergeCell ref="N9:N10"/>
    <mergeCell ref="L17:L18"/>
    <mergeCell ref="M17:M18"/>
    <mergeCell ref="N17:N18"/>
    <mergeCell ref="L20:L21"/>
    <mergeCell ref="M20:M21"/>
    <mergeCell ref="N20:N21"/>
    <mergeCell ref="L9:L10"/>
    <mergeCell ref="L11:L12"/>
    <mergeCell ref="M11:M12"/>
    <mergeCell ref="N11:N12"/>
    <mergeCell ref="L15:L16"/>
    <mergeCell ref="M15:M16"/>
    <mergeCell ref="N15:N16"/>
    <mergeCell ref="D4:E4"/>
    <mergeCell ref="F4:G4"/>
    <mergeCell ref="B7:B8"/>
    <mergeCell ref="D7:E8"/>
    <mergeCell ref="H7:I8"/>
    <mergeCell ref="D9:E10"/>
    <mergeCell ref="H9:I10"/>
    <mergeCell ref="B9:B10"/>
    <mergeCell ref="B11:B12"/>
    <mergeCell ref="D11:E12"/>
    <mergeCell ref="B13:B14"/>
    <mergeCell ref="D13:E14"/>
    <mergeCell ref="D15:E16"/>
    <mergeCell ref="H15:I16"/>
    <mergeCell ref="D26:E26"/>
    <mergeCell ref="D28:E28"/>
    <mergeCell ref="D30:E30"/>
    <mergeCell ref="D31:E31"/>
    <mergeCell ref="D32:E32"/>
    <mergeCell ref="D33:E33"/>
    <mergeCell ref="D34:E34"/>
    <mergeCell ref="D35:E35"/>
    <mergeCell ref="B15:B16"/>
    <mergeCell ref="B17:B18"/>
    <mergeCell ref="D17:E18"/>
    <mergeCell ref="B20:B21"/>
    <mergeCell ref="D20:E21"/>
    <mergeCell ref="D22:E22"/>
    <mergeCell ref="D25:E25"/>
    <mergeCell ref="H31:I31"/>
    <mergeCell ref="H32:I32"/>
    <mergeCell ref="H33:I33"/>
    <mergeCell ref="H34:I34"/>
    <mergeCell ref="H35:I35"/>
    <mergeCell ref="H17:I18"/>
    <mergeCell ref="H20:I21"/>
    <mergeCell ref="H22:I22"/>
    <mergeCell ref="H25:I25"/>
    <mergeCell ref="H26:I26"/>
    <mergeCell ref="H28:I28"/>
    <mergeCell ref="H30:I30"/>
    <mergeCell ref="B34:C34"/>
    <mergeCell ref="B35:C35"/>
    <mergeCell ref="B36:C36"/>
    <mergeCell ref="B25:C25"/>
    <mergeCell ref="B26:C26"/>
    <mergeCell ref="B28:C28"/>
    <mergeCell ref="B30:C30"/>
    <mergeCell ref="B31:C31"/>
    <mergeCell ref="B32:C32"/>
    <mergeCell ref="B33:C33"/>
    <mergeCell ref="H11:I12"/>
    <mergeCell ref="H13:I14"/>
    <mergeCell ref="L13:L14"/>
    <mergeCell ref="M13:M14"/>
    <mergeCell ref="N13:N14"/>
    <mergeCell ref="S13:X14"/>
    <mergeCell ref="Y13:Y14"/>
    <mergeCell ref="S15:X16"/>
    <mergeCell ref="Y15:Y16"/>
    <mergeCell ref="S17:X18"/>
    <mergeCell ref="Y17:Y18"/>
    <mergeCell ref="B19:AA19"/>
    <mergeCell ref="S35:X35"/>
    <mergeCell ref="S36:X36"/>
    <mergeCell ref="S26:X26"/>
    <mergeCell ref="S28:X28"/>
    <mergeCell ref="S30:X30"/>
    <mergeCell ref="S31:X31"/>
    <mergeCell ref="S32:X32"/>
    <mergeCell ref="S33:X33"/>
    <mergeCell ref="S34:X34"/>
    <mergeCell ref="Z2:Z3"/>
    <mergeCell ref="AA2:AA3"/>
    <mergeCell ref="H4:I4"/>
    <mergeCell ref="J4:K4"/>
    <mergeCell ref="N4:N5"/>
    <mergeCell ref="O4:O5"/>
    <mergeCell ref="R4:R5"/>
    <mergeCell ref="S4:T5"/>
    <mergeCell ref="B6:AA6"/>
    <mergeCell ref="V11:X12"/>
    <mergeCell ref="Y11:Y12"/>
    <mergeCell ref="P4:P5"/>
    <mergeCell ref="Q4:Q5"/>
    <mergeCell ref="S7:X8"/>
    <mergeCell ref="Y7:Y8"/>
    <mergeCell ref="S9:X10"/>
    <mergeCell ref="Y9:Y10"/>
    <mergeCell ref="S11:U12"/>
    <mergeCell ref="S20:X21"/>
    <mergeCell ref="Y20:Y21"/>
    <mergeCell ref="S22:X22"/>
    <mergeCell ref="B23:AA23"/>
    <mergeCell ref="B24:AA24"/>
    <mergeCell ref="S25:X25"/>
    <mergeCell ref="B27:AA27"/>
    <mergeCell ref="B29:AA29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11" width="5.13"/>
    <col customWidth="1" min="12" max="18" width="6.38"/>
    <col customWidth="1" min="19" max="24" width="1.38"/>
    <col customWidth="1" min="25" max="27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3"/>
      <c r="P1" s="3"/>
      <c r="Q1" s="1"/>
      <c r="R1" s="1"/>
      <c r="S1" s="1"/>
      <c r="T1" s="1"/>
      <c r="U1" s="1"/>
      <c r="V1" s="1"/>
      <c r="W1" s="1"/>
      <c r="X1" s="1"/>
      <c r="Y1" s="3"/>
      <c r="Z1" s="3"/>
      <c r="AA1" s="3"/>
    </row>
    <row r="2">
      <c r="A2" s="1"/>
      <c r="B2" s="4" t="s">
        <v>1</v>
      </c>
      <c r="C2" s="5"/>
      <c r="D2" s="6" t="s">
        <v>3</v>
      </c>
      <c r="E2" s="7"/>
      <c r="F2" s="7"/>
      <c r="G2" s="7"/>
      <c r="H2" s="7"/>
      <c r="I2" s="7"/>
      <c r="J2" s="7"/>
      <c r="K2" s="8"/>
      <c r="L2" s="9" t="s">
        <v>4</v>
      </c>
      <c r="M2" s="10"/>
      <c r="N2" s="5"/>
      <c r="O2" s="11" t="s">
        <v>5</v>
      </c>
      <c r="P2" s="5"/>
      <c r="Q2" s="12" t="s">
        <v>6</v>
      </c>
      <c r="R2" s="5"/>
      <c r="S2" s="9" t="s">
        <v>7</v>
      </c>
      <c r="T2" s="10"/>
      <c r="U2" s="10"/>
      <c r="V2" s="10"/>
      <c r="W2" s="10"/>
      <c r="X2" s="5"/>
      <c r="Y2" s="13" t="s">
        <v>8</v>
      </c>
      <c r="Z2" s="13" t="s">
        <v>9</v>
      </c>
      <c r="AA2" s="14" t="s">
        <v>10</v>
      </c>
    </row>
    <row r="3">
      <c r="A3" s="1"/>
      <c r="B3" s="15"/>
      <c r="C3" s="16"/>
      <c r="D3" s="17" t="s">
        <v>11</v>
      </c>
      <c r="E3" s="18"/>
      <c r="F3" s="18"/>
      <c r="G3" s="19"/>
      <c r="H3" s="20" t="s">
        <v>13</v>
      </c>
      <c r="I3" s="18"/>
      <c r="J3" s="18"/>
      <c r="K3" s="19"/>
      <c r="L3" s="21"/>
      <c r="M3" s="22"/>
      <c r="N3" s="23"/>
      <c r="O3" s="21"/>
      <c r="P3" s="23"/>
      <c r="Q3" s="21"/>
      <c r="R3" s="23"/>
      <c r="S3" s="21"/>
      <c r="T3" s="22"/>
      <c r="U3" s="22"/>
      <c r="V3" s="22"/>
      <c r="W3" s="22"/>
      <c r="X3" s="23"/>
      <c r="Y3" s="24"/>
      <c r="Z3" s="24"/>
      <c r="AA3" s="25"/>
    </row>
    <row r="4">
      <c r="A4" s="1"/>
      <c r="B4" s="15"/>
      <c r="C4" s="16"/>
      <c r="D4" s="17" t="s">
        <v>14</v>
      </c>
      <c r="E4" s="19"/>
      <c r="F4" s="26" t="s">
        <v>15</v>
      </c>
      <c r="G4" s="19"/>
      <c r="H4" s="20" t="s">
        <v>14</v>
      </c>
      <c r="I4" s="19"/>
      <c r="J4" s="27" t="s">
        <v>15</v>
      </c>
      <c r="K4" s="19"/>
      <c r="L4" s="28" t="s">
        <v>16</v>
      </c>
      <c r="M4" s="29" t="s">
        <v>17</v>
      </c>
      <c r="N4" s="30" t="s">
        <v>18</v>
      </c>
      <c r="O4" s="31" t="s">
        <v>19</v>
      </c>
      <c r="P4" s="32" t="s">
        <v>20</v>
      </c>
      <c r="Q4" s="33" t="s">
        <v>21</v>
      </c>
      <c r="R4" s="33" t="s">
        <v>22</v>
      </c>
      <c r="S4" s="34" t="s">
        <v>23</v>
      </c>
      <c r="T4" s="35"/>
      <c r="U4" s="36" t="s">
        <v>24</v>
      </c>
      <c r="V4" s="35"/>
      <c r="W4" s="37" t="s">
        <v>25</v>
      </c>
      <c r="X4" s="35"/>
      <c r="Y4" s="38" t="s">
        <v>26</v>
      </c>
      <c r="Z4" s="38" t="s">
        <v>26</v>
      </c>
      <c r="AA4" s="39" t="s">
        <v>26</v>
      </c>
    </row>
    <row r="5">
      <c r="A5" s="1"/>
      <c r="B5" s="40"/>
      <c r="C5" s="23"/>
      <c r="D5" s="41" t="s">
        <v>27</v>
      </c>
      <c r="E5" s="42" t="s">
        <v>28</v>
      </c>
      <c r="F5" s="43" t="s">
        <v>27</v>
      </c>
      <c r="G5" s="44" t="s">
        <v>28</v>
      </c>
      <c r="H5" s="45" t="s">
        <v>27</v>
      </c>
      <c r="I5" s="46" t="s">
        <v>28</v>
      </c>
      <c r="J5" s="47" t="s">
        <v>27</v>
      </c>
      <c r="K5" s="48" t="s">
        <v>28</v>
      </c>
      <c r="L5" s="24"/>
      <c r="M5" s="24"/>
      <c r="N5" s="24"/>
      <c r="O5" s="24"/>
      <c r="P5" s="24"/>
      <c r="Q5" s="24"/>
      <c r="R5" s="24"/>
      <c r="S5" s="21"/>
      <c r="T5" s="23"/>
      <c r="U5" s="21"/>
      <c r="V5" s="23"/>
      <c r="W5" s="21"/>
      <c r="X5" s="23"/>
      <c r="Y5" s="57">
        <v>1.0</v>
      </c>
      <c r="Z5" s="57">
        <v>1.0</v>
      </c>
      <c r="AA5" s="59">
        <v>1.0</v>
      </c>
    </row>
    <row r="6">
      <c r="A6" s="1"/>
      <c r="B6" s="51" t="s">
        <v>35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3"/>
    </row>
    <row r="7">
      <c r="A7" s="1"/>
      <c r="B7" s="66" t="s">
        <v>39</v>
      </c>
      <c r="C7" s="89" t="s">
        <v>40</v>
      </c>
      <c r="D7" s="56">
        <v>3.0</v>
      </c>
      <c r="E7" s="93">
        <v>7.0</v>
      </c>
      <c r="F7" s="95">
        <v>4.0</v>
      </c>
      <c r="G7" s="108">
        <v>8.0</v>
      </c>
      <c r="H7" s="109">
        <v>3.0</v>
      </c>
      <c r="I7" s="111">
        <v>7.0</v>
      </c>
      <c r="J7" s="112">
        <v>4.0</v>
      </c>
      <c r="K7" s="114">
        <v>10.0</v>
      </c>
      <c r="L7" s="117">
        <v>780.0</v>
      </c>
      <c r="M7" s="104">
        <f>L7/60</f>
        <v>13</v>
      </c>
      <c r="N7" s="106">
        <f>60/L7</f>
        <v>0.07692307692</v>
      </c>
      <c r="O7" s="115">
        <f>IFS(OR(G7="-",ISBLANK(G7)),"-",G7&lt;1,"one-hit",G7&lt;=3,60/L7,OR(G7=4,G7=7,G7=9),"manual",G7&lt;7,2*60/L7,G7&lt;9,3*60/L7,G7&lt;=11,4*60/L7,G7&gt;11,"???")</f>
        <v>0.2307692308</v>
      </c>
      <c r="P7" s="124">
        <f>IFS(OR(K7="-",ISBLANK(K7)),"-",K7&lt;1,"one-hit",K7&lt;=3,60/L7,OR(K7=4,K7=7,K7=9),"manual",K7&lt;7,2*60/L7,K7&lt;9,3*60/L7,K7&lt;=11,4*60/L7,K7&gt;11,"???")</f>
        <v>0.3076923077</v>
      </c>
      <c r="Q7" s="89" t="s">
        <v>41</v>
      </c>
      <c r="R7" s="167" t="s">
        <v>41</v>
      </c>
      <c r="S7" s="130">
        <v>20.0</v>
      </c>
      <c r="U7" s="16"/>
      <c r="V7" s="171">
        <v>30.0</v>
      </c>
      <c r="X7" s="16"/>
      <c r="Y7" s="135">
        <v>1.72</v>
      </c>
      <c r="Z7" s="137" t="s">
        <v>41</v>
      </c>
      <c r="AA7" s="174" t="s">
        <v>41</v>
      </c>
    </row>
    <row r="8">
      <c r="A8" s="1"/>
      <c r="B8" s="141"/>
      <c r="C8" s="177" t="s">
        <v>42</v>
      </c>
      <c r="D8" s="178">
        <v>3.0</v>
      </c>
      <c r="E8" s="180">
        <v>6.0</v>
      </c>
      <c r="F8" s="181">
        <v>4.0</v>
      </c>
      <c r="G8" s="182">
        <v>8.0</v>
      </c>
      <c r="H8" s="183">
        <v>3.0</v>
      </c>
      <c r="I8" s="184">
        <v>7.0</v>
      </c>
      <c r="J8" s="185">
        <v>4.0</v>
      </c>
      <c r="K8" s="186">
        <v>9.0</v>
      </c>
      <c r="L8" s="155"/>
      <c r="M8" s="155"/>
      <c r="N8" s="155"/>
      <c r="O8" s="175">
        <f>IFS(OR(G8="-",ISBLANK(G8)),"-",G8&lt;1,"one-hit",G8&lt;=3,60/L7,OR(G8=4,G8=7,G8=9),"manual",G8&lt;7,2*60/L7,G8&lt;9,3*60/L7,G8&lt;=11,4*60/L7,G8&gt;11,"???")</f>
        <v>0.2307692308</v>
      </c>
      <c r="P8" s="189" t="str">
        <f>IFS(OR(K8="-",ISBLANK(K8)),"-",K8&lt;1,"one-hit",K8&lt;=3,60/L7,OR(K8=4,K8=7,K8=9),"manual",K8&lt;7,2*60/L7,K8&lt;9,3*60/L7,K8&lt;=11,4*60/L7,K8&gt;11,"???")</f>
        <v>manual</v>
      </c>
      <c r="Q8" s="144" t="s">
        <v>41</v>
      </c>
      <c r="R8" s="197" t="s">
        <v>41</v>
      </c>
      <c r="S8" s="159"/>
      <c r="T8" s="160"/>
      <c r="U8" s="155"/>
      <c r="V8" s="160"/>
      <c r="W8" s="160"/>
      <c r="X8" s="155"/>
      <c r="Y8" s="24"/>
      <c r="Z8" s="203" t="s">
        <v>41</v>
      </c>
      <c r="AA8" s="205" t="s">
        <v>41</v>
      </c>
    </row>
    <row r="9">
      <c r="A9" s="1"/>
      <c r="B9" s="212" t="s">
        <v>49</v>
      </c>
      <c r="C9" s="213" t="s">
        <v>31</v>
      </c>
      <c r="D9" s="169">
        <v>2.0</v>
      </c>
      <c r="E9" s="73">
        <v>4.0</v>
      </c>
      <c r="F9" s="214">
        <v>3.0</v>
      </c>
      <c r="G9" s="215">
        <v>5.0</v>
      </c>
      <c r="H9" s="216">
        <v>2.0</v>
      </c>
      <c r="I9" s="217">
        <v>5.0</v>
      </c>
      <c r="J9" s="218">
        <v>3.0</v>
      </c>
      <c r="K9" s="219">
        <v>6.0</v>
      </c>
      <c r="L9" s="87">
        <v>590.0</v>
      </c>
      <c r="M9" s="97">
        <f>L9/60</f>
        <v>9.833333333</v>
      </c>
      <c r="N9" s="105">
        <f>60/L9</f>
        <v>0.1016949153</v>
      </c>
      <c r="O9" s="107">
        <f>IFS(OR(G9="-",ISBLANK(G9)),"-",G9&lt;1,"one-hit",G9&lt;=3,60/L9,OR(G9=4,G9=7,G9=9),"manual",G9&lt;7,2*60/L9,G9&lt;9,3*60/L9,G9&lt;=11,4*60/L9,G9&gt;11,"???")</f>
        <v>0.2033898305</v>
      </c>
      <c r="P9" s="121">
        <f>IFS(OR(K9="-",ISBLANK(K9)),"-",K9&lt;1,"one-hit",K9&lt;=3,60/L9,OR(K9=4,K9=7,K9=9),"manual",K9&lt;7,2*60/L9,K9&lt;9,3*60/L9,K9&lt;=11,4*60/L9,K9&gt;11,"???")</f>
        <v>0.2033898305</v>
      </c>
      <c r="Q9" s="123" t="s">
        <v>41</v>
      </c>
      <c r="R9" s="126" t="s">
        <v>41</v>
      </c>
      <c r="S9" s="90">
        <v>20.0</v>
      </c>
      <c r="T9" s="91"/>
      <c r="U9" s="92"/>
      <c r="V9" s="94">
        <v>30.0</v>
      </c>
      <c r="W9" s="91"/>
      <c r="X9" s="92"/>
      <c r="Y9" s="202">
        <v>1.47</v>
      </c>
      <c r="Z9" s="136" t="s">
        <v>41</v>
      </c>
      <c r="AA9" s="138" t="s">
        <v>41</v>
      </c>
    </row>
    <row r="10">
      <c r="A10" s="1"/>
      <c r="B10" s="141"/>
      <c r="C10" s="144" t="s">
        <v>40</v>
      </c>
      <c r="D10" s="178">
        <v>2.0</v>
      </c>
      <c r="E10" s="180">
        <v>4.0</v>
      </c>
      <c r="F10" s="181">
        <v>2.0</v>
      </c>
      <c r="G10" s="182">
        <v>5.0</v>
      </c>
      <c r="H10" s="183">
        <v>2.0</v>
      </c>
      <c r="I10" s="184">
        <v>5.0</v>
      </c>
      <c r="J10" s="185">
        <v>3.0</v>
      </c>
      <c r="K10" s="186">
        <v>5.0</v>
      </c>
      <c r="L10" s="155"/>
      <c r="M10" s="155"/>
      <c r="N10" s="155"/>
      <c r="O10" s="175">
        <f>IFS(OR(G10="-",ISBLANK(G10)),"-",G10&lt;1,"one-hit",G10&lt;=3,60/L9,OR(G10=4,G10=7,G10=9),"manual",G10&lt;7,2*60/L9,G10&lt;9,3*60/L9,G10&lt;=11,4*60/L9,G10&gt;11,"???")</f>
        <v>0.2033898305</v>
      </c>
      <c r="P10" s="189">
        <f>IFS(OR(K10="-",ISBLANK(K10)),"-",K10&lt;1,"one-hit",K10&lt;=3,60/L9,OR(K10=4,K10=7,K10=9),"manual",K10&lt;7,2*60/L9,K10&lt;9,3*60/L9,K10&lt;=11,4*60/L9,K10&gt;11,"???")</f>
        <v>0.2033898305</v>
      </c>
      <c r="Q10" s="144" t="s">
        <v>41</v>
      </c>
      <c r="R10" s="197" t="s">
        <v>41</v>
      </c>
      <c r="S10" s="159"/>
      <c r="T10" s="160"/>
      <c r="U10" s="155"/>
      <c r="V10" s="160"/>
      <c r="W10" s="160"/>
      <c r="X10" s="155"/>
      <c r="Y10" s="24"/>
      <c r="Z10" s="203" t="s">
        <v>41</v>
      </c>
      <c r="AA10" s="205" t="s">
        <v>41</v>
      </c>
    </row>
    <row r="11">
      <c r="A11" s="1"/>
      <c r="B11" s="212" t="s">
        <v>61</v>
      </c>
      <c r="C11" s="123" t="s">
        <v>40</v>
      </c>
      <c r="D11" s="169">
        <v>3.0</v>
      </c>
      <c r="E11" s="73">
        <v>6.0</v>
      </c>
      <c r="F11" s="214">
        <v>3.0</v>
      </c>
      <c r="G11" s="215">
        <v>7.0</v>
      </c>
      <c r="H11" s="216">
        <v>3.0</v>
      </c>
      <c r="I11" s="217">
        <v>7.0</v>
      </c>
      <c r="J11" s="218">
        <v>4.0</v>
      </c>
      <c r="K11" s="219">
        <v>8.0</v>
      </c>
      <c r="L11" s="87">
        <v>878.0</v>
      </c>
      <c r="M11" s="97">
        <f>L11/60</f>
        <v>14.63333333</v>
      </c>
      <c r="N11" s="105">
        <f>60/L11</f>
        <v>0.06833712984</v>
      </c>
      <c r="O11" s="107">
        <f>60*3/L11</f>
        <v>0.2050113895</v>
      </c>
      <c r="P11" s="121">
        <f>IFS(OR(K11="-",ISBLANK(K11)),"-",K11&lt;1,"one-hit",K11&lt;=3,60/L11,OR(K11=4,K11=7,K11=9),"manual",K11&lt;7,2*60/L11,K11&lt;9,3*60/L11,K11&lt;=11,4*60/L11,K11&gt;11,"???")</f>
        <v>0.2050113895</v>
      </c>
      <c r="Q11" s="123" t="s">
        <v>41</v>
      </c>
      <c r="R11" s="126" t="s">
        <v>41</v>
      </c>
      <c r="S11" s="243">
        <v>50.0</v>
      </c>
      <c r="X11" s="16"/>
      <c r="Y11" s="202">
        <v>2.27</v>
      </c>
      <c r="Z11" s="136" t="s">
        <v>41</v>
      </c>
      <c r="AA11" s="138" t="s">
        <v>41</v>
      </c>
    </row>
    <row r="12">
      <c r="A12" s="1"/>
      <c r="B12" s="141"/>
      <c r="C12" s="177" t="s">
        <v>42</v>
      </c>
      <c r="D12" s="178">
        <v>3.0</v>
      </c>
      <c r="E12" s="180">
        <v>5.0</v>
      </c>
      <c r="F12" s="181">
        <v>3.0</v>
      </c>
      <c r="G12" s="182">
        <v>6.0</v>
      </c>
      <c r="H12" s="183">
        <v>3.0</v>
      </c>
      <c r="I12" s="184">
        <v>6.0</v>
      </c>
      <c r="J12" s="185">
        <v>3.0</v>
      </c>
      <c r="K12" s="186">
        <v>7.0</v>
      </c>
      <c r="L12" s="155"/>
      <c r="M12" s="155"/>
      <c r="N12" s="155"/>
      <c r="O12" s="175">
        <f>IFS(OR(G12="-",ISBLANK(G12)),"-",G12&lt;1,"one-hit",G12&lt;=3,60/L11,OR(G12=4,G12=7,G12=9),"manual",G12&lt;7,2*60/L11,G12&lt;9,3*60/L11,G12&lt;=11,4*60/L11,G12&gt;11,"???")</f>
        <v>0.1366742597</v>
      </c>
      <c r="P12" s="189" t="str">
        <f>IFS(OR(K12="-",ISBLANK(K12)),"-",K12&lt;1,"one-hit",K12&lt;=3,60/L11,OR(K12=4,K12=7,K12=9),"manual",K12&lt;7,2*60/L11,K12&lt;9,3*60/L11,K12&lt;=11,4*60/L11,K12&gt;11,"???")</f>
        <v>manual</v>
      </c>
      <c r="Q12" s="144" t="s">
        <v>41</v>
      </c>
      <c r="R12" s="197" t="s">
        <v>41</v>
      </c>
      <c r="S12" s="160"/>
      <c r="T12" s="160"/>
      <c r="U12" s="160"/>
      <c r="V12" s="160"/>
      <c r="W12" s="160"/>
      <c r="X12" s="155"/>
      <c r="Y12" s="24"/>
      <c r="Z12" s="203" t="s">
        <v>41</v>
      </c>
      <c r="AA12" s="205" t="s">
        <v>41</v>
      </c>
    </row>
    <row r="13">
      <c r="A13" s="1"/>
      <c r="B13" s="212" t="s">
        <v>66</v>
      </c>
      <c r="C13" s="123" t="s">
        <v>40</v>
      </c>
      <c r="D13" s="169">
        <v>3.0</v>
      </c>
      <c r="E13" s="73">
        <v>6.0</v>
      </c>
      <c r="F13" s="214">
        <v>3.0</v>
      </c>
      <c r="G13" s="215">
        <v>7.0</v>
      </c>
      <c r="H13" s="216">
        <v>3.0</v>
      </c>
      <c r="I13" s="217">
        <v>7.0</v>
      </c>
      <c r="J13" s="218">
        <v>4.0</v>
      </c>
      <c r="K13" s="219">
        <v>8.0</v>
      </c>
      <c r="L13" s="87">
        <v>685.0</v>
      </c>
      <c r="M13" s="97">
        <f>L13/60</f>
        <v>11.41666667</v>
      </c>
      <c r="N13" s="105">
        <f>60/L13</f>
        <v>0.08759124088</v>
      </c>
      <c r="O13" s="107">
        <f>60*3/L13</f>
        <v>0.2627737226</v>
      </c>
      <c r="P13" s="121">
        <f>IFS(OR(K13="-",ISBLANK(K13)),"-",K13&lt;1,"one-hit",K13&lt;=3,60/L13,OR(K13=4,K13=7,K13=9),"manual",K13&lt;7,2*60/L13,K13&lt;9,3*60/L13,K13&lt;=11,4*60/L13,K13&gt;11,"???")</f>
        <v>0.2627737226</v>
      </c>
      <c r="Q13" s="123" t="s">
        <v>41</v>
      </c>
      <c r="R13" s="126" t="s">
        <v>41</v>
      </c>
      <c r="S13" s="90">
        <v>64.0</v>
      </c>
      <c r="T13" s="91"/>
      <c r="U13" s="91"/>
      <c r="V13" s="91"/>
      <c r="W13" s="91"/>
      <c r="X13" s="92"/>
      <c r="Y13" s="202">
        <v>2.27</v>
      </c>
      <c r="Z13" s="136" t="s">
        <v>41</v>
      </c>
      <c r="AA13" s="138" t="s">
        <v>41</v>
      </c>
    </row>
    <row r="14">
      <c r="A14" s="1"/>
      <c r="B14" s="141"/>
      <c r="C14" s="177" t="s">
        <v>42</v>
      </c>
      <c r="D14" s="178">
        <v>3.0</v>
      </c>
      <c r="E14" s="180">
        <v>5.0</v>
      </c>
      <c r="F14" s="181">
        <v>3.0</v>
      </c>
      <c r="G14" s="182">
        <v>6.0</v>
      </c>
      <c r="H14" s="183">
        <v>3.0</v>
      </c>
      <c r="I14" s="184">
        <v>6.0</v>
      </c>
      <c r="J14" s="185">
        <v>3.0</v>
      </c>
      <c r="K14" s="186">
        <v>7.0</v>
      </c>
      <c r="L14" s="155"/>
      <c r="M14" s="155"/>
      <c r="N14" s="155"/>
      <c r="O14" s="175">
        <f>IFS(OR(G14="-",ISBLANK(G14)),"-",G14&lt;1,"one-hit",G14&lt;=3,60/L13,OR(G14=4,G14=7,G14=9),"manual",G14&lt;7,2*60/L13,G14&lt;9,3*60/L13,G14&lt;=11,4*60/L13,G14&gt;11,"???")</f>
        <v>0.1751824818</v>
      </c>
      <c r="P14" s="189" t="str">
        <f>IFS(OR(K14="-",ISBLANK(K14)),"-",K14&lt;1,"one-hit",K14&lt;=3,60/L13,OR(K14=4,K14=7,K14=9),"manual",K14&lt;7,2*60/L13,K14&lt;9,3*60/L13,K14&lt;=11,4*60/L13,K14&gt;11,"???")</f>
        <v>manual</v>
      </c>
      <c r="Q14" s="144" t="s">
        <v>41</v>
      </c>
      <c r="R14" s="197" t="s">
        <v>41</v>
      </c>
      <c r="S14" s="159"/>
      <c r="T14" s="160"/>
      <c r="U14" s="160"/>
      <c r="V14" s="160"/>
      <c r="W14" s="160"/>
      <c r="X14" s="155"/>
      <c r="Y14" s="24"/>
      <c r="Z14" s="203" t="s">
        <v>41</v>
      </c>
      <c r="AA14" s="205" t="s">
        <v>41</v>
      </c>
    </row>
    <row r="15">
      <c r="A15" s="1"/>
      <c r="B15" s="212" t="s">
        <v>72</v>
      </c>
      <c r="C15" s="123" t="s">
        <v>40</v>
      </c>
      <c r="D15" s="169">
        <v>3.0</v>
      </c>
      <c r="E15" s="73">
        <v>7.0</v>
      </c>
      <c r="F15" s="214">
        <v>4.0</v>
      </c>
      <c r="G15" s="215">
        <v>9.0</v>
      </c>
      <c r="H15" s="216">
        <v>4.0</v>
      </c>
      <c r="I15" s="217">
        <v>8.0</v>
      </c>
      <c r="J15" s="218">
        <v>5.0</v>
      </c>
      <c r="K15" s="219">
        <v>10.0</v>
      </c>
      <c r="L15" s="179">
        <v>923.0</v>
      </c>
      <c r="M15" s="97">
        <f>L15/60</f>
        <v>15.38333333</v>
      </c>
      <c r="N15" s="105">
        <f>60/L15</f>
        <v>0.06500541712</v>
      </c>
      <c r="O15" s="107">
        <f>60*3/L15</f>
        <v>0.1950162514</v>
      </c>
      <c r="P15" s="121">
        <f>IFS(OR(K15="-",ISBLANK(K15)),"-",K15&lt;1,"one-hit",K15&lt;=3,60/L15,OR(K15=4,K15=7,K15=9),"manual",K15&lt;7,2*60/L15,K15&lt;9,3*60/L15,K15&lt;=11,4*60/L15,K15&gt;11,"???")</f>
        <v>0.2600216685</v>
      </c>
      <c r="Q15" s="168" t="s">
        <v>41</v>
      </c>
      <c r="R15" s="194" t="s">
        <v>41</v>
      </c>
      <c r="S15" s="221">
        <v>20.0</v>
      </c>
      <c r="T15" s="91"/>
      <c r="U15" s="92"/>
      <c r="V15" s="222">
        <v>30.0</v>
      </c>
      <c r="W15" s="91"/>
      <c r="X15" s="92"/>
      <c r="Y15" s="202">
        <v>1.97</v>
      </c>
      <c r="Z15" s="136" t="s">
        <v>41</v>
      </c>
      <c r="AA15" s="138" t="s">
        <v>41</v>
      </c>
    </row>
    <row r="16">
      <c r="A16" s="1"/>
      <c r="B16" s="141"/>
      <c r="C16" s="269" t="s">
        <v>42</v>
      </c>
      <c r="D16" s="271">
        <v>3.0</v>
      </c>
      <c r="E16" s="273">
        <v>7.0</v>
      </c>
      <c r="F16" s="274">
        <v>4.0</v>
      </c>
      <c r="G16" s="275">
        <v>8.0</v>
      </c>
      <c r="H16" s="276">
        <v>3.0</v>
      </c>
      <c r="I16" s="277">
        <v>7.0</v>
      </c>
      <c r="J16" s="278">
        <v>4.0</v>
      </c>
      <c r="K16" s="279">
        <v>10.0</v>
      </c>
      <c r="L16" s="163"/>
      <c r="M16" s="155"/>
      <c r="N16" s="155"/>
      <c r="O16" s="175">
        <f>IFS(OR(G16="-",ISBLANK(G16)),"-",G16&lt;1,"one-hit",G16&lt;=3,60/L15,OR(G16=4,G16=7,G16=9),"manual",G16&lt;7,2*60/L15,G16&lt;9,3*60/L15,G16&lt;=11,4*60/L15,G16&gt;11,"???")</f>
        <v>0.1950162514</v>
      </c>
      <c r="P16" s="189">
        <f>IFS(OR(K16="-",ISBLANK(K16)),"-",K16&lt;1,"one-hit",K16&lt;=3,60/L15,OR(K16=4,K16=7,K16=9),"manual",K16&lt;7,2*60/L15,K16&lt;9,3*60/L15,K16&lt;=11,4*60/L15,K16&gt;11,"???")</f>
        <v>0.2600216685</v>
      </c>
      <c r="Q16" s="145" t="s">
        <v>41</v>
      </c>
      <c r="R16" s="157" t="s">
        <v>41</v>
      </c>
      <c r="S16" s="159"/>
      <c r="T16" s="160"/>
      <c r="U16" s="155"/>
      <c r="V16" s="160"/>
      <c r="W16" s="160"/>
      <c r="X16" s="155"/>
      <c r="Y16" s="163"/>
      <c r="Z16" s="122" t="s">
        <v>41</v>
      </c>
      <c r="AA16" s="125" t="s">
        <v>41</v>
      </c>
    </row>
    <row r="17">
      <c r="A17" s="1"/>
      <c r="B17" s="212" t="s">
        <v>77</v>
      </c>
      <c r="C17" s="168" t="s">
        <v>40</v>
      </c>
      <c r="D17" s="169">
        <v>3.0</v>
      </c>
      <c r="E17" s="170">
        <v>6.0</v>
      </c>
      <c r="F17" s="75">
        <v>3.0</v>
      </c>
      <c r="G17" s="198">
        <v>7.0</v>
      </c>
      <c r="H17" s="216">
        <v>3.0</v>
      </c>
      <c r="I17" s="284">
        <v>7.0</v>
      </c>
      <c r="J17" s="200">
        <v>4.0</v>
      </c>
      <c r="K17" s="201">
        <v>8.0</v>
      </c>
      <c r="L17" s="288">
        <v>828.0</v>
      </c>
      <c r="M17" s="97">
        <f>L17/60</f>
        <v>13.8</v>
      </c>
      <c r="N17" s="105">
        <f>60/L17</f>
        <v>0.07246376812</v>
      </c>
      <c r="O17" s="107">
        <f>60*3/L17</f>
        <v>0.2173913043</v>
      </c>
      <c r="P17" s="121">
        <f>IFS(OR(K17="-",ISBLANK(K17)),"-",K17&lt;1,"one-hit",K17&lt;=3,60/L17,OR(K17=4,K17=7,K17=9),"manual",K17&lt;7,2*60/L17,K17&lt;9,3*60/L17,K17&lt;=11,4*60/L17,K17&gt;11,"???")</f>
        <v>0.2173913043</v>
      </c>
      <c r="Q17" s="168" t="s">
        <v>41</v>
      </c>
      <c r="R17" s="194" t="s">
        <v>41</v>
      </c>
      <c r="S17" s="221">
        <v>20.0</v>
      </c>
      <c r="T17" s="91"/>
      <c r="U17" s="92"/>
      <c r="V17" s="222">
        <v>30.0</v>
      </c>
      <c r="W17" s="91"/>
      <c r="X17" s="92"/>
      <c r="Y17" s="202">
        <v>1.97</v>
      </c>
      <c r="Z17" s="282" t="s">
        <v>41</v>
      </c>
      <c r="AA17" s="298" t="s">
        <v>41</v>
      </c>
    </row>
    <row r="18">
      <c r="A18" s="1"/>
      <c r="B18" s="141"/>
      <c r="C18" s="129" t="s">
        <v>42</v>
      </c>
      <c r="D18" s="132">
        <v>3.0</v>
      </c>
      <c r="E18" s="133">
        <v>6.0</v>
      </c>
      <c r="F18" s="149">
        <v>3.0</v>
      </c>
      <c r="G18" s="158">
        <v>7.0</v>
      </c>
      <c r="H18" s="304">
        <v>3.0</v>
      </c>
      <c r="I18" s="305">
        <v>6.0</v>
      </c>
      <c r="J18" s="161">
        <v>3.0</v>
      </c>
      <c r="K18" s="162">
        <v>7.0</v>
      </c>
      <c r="L18" s="163"/>
      <c r="M18" s="155"/>
      <c r="N18" s="155"/>
      <c r="O18" s="175">
        <f>60*3/L17</f>
        <v>0.2173913043</v>
      </c>
      <c r="P18" s="189" t="str">
        <f>IFS(OR(K18="-",ISBLANK(K18)),"-",K18&lt;1,"one-hit",K18&lt;=3,60/L17,OR(K18=4,K18=7,K18=9),"manual",K18&lt;7,2*60/L17,K18&lt;9,3*60/L17,K18&lt;=11,4*60/L17,K18&gt;11,"???")</f>
        <v>manual</v>
      </c>
      <c r="Q18" s="145" t="s">
        <v>41</v>
      </c>
      <c r="R18" s="157" t="s">
        <v>41</v>
      </c>
      <c r="S18" s="159"/>
      <c r="T18" s="160"/>
      <c r="U18" s="155"/>
      <c r="V18" s="160"/>
      <c r="W18" s="160"/>
      <c r="X18" s="155"/>
      <c r="Y18" s="163"/>
      <c r="Z18" s="164" t="s">
        <v>41</v>
      </c>
      <c r="AA18" s="165" t="s">
        <v>41</v>
      </c>
    </row>
    <row r="19">
      <c r="A19" s="1"/>
      <c r="B19" s="212" t="s">
        <v>96</v>
      </c>
      <c r="C19" s="168" t="s">
        <v>40</v>
      </c>
      <c r="D19" s="169">
        <v>3.0</v>
      </c>
      <c r="E19" s="170">
        <v>6.0</v>
      </c>
      <c r="F19" s="75">
        <v>3.0</v>
      </c>
      <c r="G19" s="198">
        <v>7.0</v>
      </c>
      <c r="H19" s="216">
        <v>3.0</v>
      </c>
      <c r="I19" s="284">
        <v>6.0</v>
      </c>
      <c r="J19" s="200">
        <v>4.0</v>
      </c>
      <c r="K19" s="201">
        <v>8.0</v>
      </c>
      <c r="L19" s="179">
        <v>780.0</v>
      </c>
      <c r="M19" s="97">
        <f>L19/60</f>
        <v>13</v>
      </c>
      <c r="N19" s="105">
        <f>60/L19</f>
        <v>0.07692307692</v>
      </c>
      <c r="O19" s="107">
        <f>60*3/L19</f>
        <v>0.2307692308</v>
      </c>
      <c r="P19" s="121">
        <f>IFS(OR(K19="-",ISBLANK(K19)),"-",K19&lt;1,"one-hit",K19&lt;=3,60/L19,OR(K19=4,K19=7,K19=9),"manual",K19&lt;7,2*60/L19,K19&lt;9,3*60/L19,K19&lt;=11,4*60/L19,K19&gt;11,"???")</f>
        <v>0.2307692308</v>
      </c>
      <c r="Q19" s="168" t="s">
        <v>41</v>
      </c>
      <c r="R19" s="194" t="s">
        <v>41</v>
      </c>
      <c r="S19" s="221">
        <v>20.0</v>
      </c>
      <c r="T19" s="91"/>
      <c r="U19" s="92"/>
      <c r="V19" s="222">
        <v>30.0</v>
      </c>
      <c r="W19" s="91"/>
      <c r="X19" s="92"/>
      <c r="Y19" s="202">
        <v>2.27</v>
      </c>
      <c r="Z19" s="282" t="s">
        <v>41</v>
      </c>
      <c r="AA19" s="298" t="s">
        <v>41</v>
      </c>
    </row>
    <row r="20">
      <c r="A20" s="1"/>
      <c r="B20" s="141"/>
      <c r="C20" s="129" t="s">
        <v>42</v>
      </c>
      <c r="D20" s="132">
        <v>3.0</v>
      </c>
      <c r="E20" s="133">
        <v>5.0</v>
      </c>
      <c r="F20" s="149">
        <v>3.0</v>
      </c>
      <c r="G20" s="158">
        <v>6.0</v>
      </c>
      <c r="H20" s="304">
        <v>3.0</v>
      </c>
      <c r="I20" s="305">
        <v>6.0</v>
      </c>
      <c r="J20" s="161">
        <v>3.0</v>
      </c>
      <c r="K20" s="162">
        <v>7.0</v>
      </c>
      <c r="L20" s="116"/>
      <c r="M20" s="155"/>
      <c r="N20" s="155"/>
      <c r="O20" s="175">
        <f>IFS(OR(G20="-",ISBLANK(G20)),"-",G20&lt;1,"one-hit",G20&lt;=3,60/L19,OR(G20=4,G20=7,G20=9),"manual",G20&lt;7,2*60/L19,G20&lt;9,3*60/L19,G20&lt;=11,4*60/L19,G20&gt;11,"???")</f>
        <v>0.1538461538</v>
      </c>
      <c r="P20" s="189" t="str">
        <f>IFS(OR(K20="-",ISBLANK(K20)),"-",K20&lt;1,"one-hit",K20&lt;=3,60/L19,OR(K20=4,K20=7,K20=9),"manual",K20&lt;7,2*60/L19,K20&lt;9,3*60/L19,K20&lt;=11,4*60/L19,K20&gt;11,"???")</f>
        <v>manual</v>
      </c>
      <c r="Q20" s="145" t="s">
        <v>41</v>
      </c>
      <c r="R20" s="157" t="s">
        <v>41</v>
      </c>
      <c r="S20" s="159"/>
      <c r="T20" s="160"/>
      <c r="U20" s="155"/>
      <c r="V20" s="160"/>
      <c r="W20" s="160"/>
      <c r="X20" s="155"/>
      <c r="Y20" s="163"/>
      <c r="Z20" s="164" t="s">
        <v>41</v>
      </c>
      <c r="AA20" s="165" t="s">
        <v>41</v>
      </c>
    </row>
    <row r="21">
      <c r="A21" s="1"/>
      <c r="B21" s="366" t="s">
        <v>103</v>
      </c>
      <c r="C21" s="168" t="s">
        <v>40</v>
      </c>
      <c r="D21" s="195" t="s">
        <v>32</v>
      </c>
      <c r="E21" s="92"/>
      <c r="F21" s="75">
        <v>2.0</v>
      </c>
      <c r="G21" s="198">
        <v>4.0</v>
      </c>
      <c r="H21" s="199" t="s">
        <v>32</v>
      </c>
      <c r="I21" s="92"/>
      <c r="J21" s="200">
        <v>2.0</v>
      </c>
      <c r="K21" s="201">
        <v>5.0</v>
      </c>
      <c r="L21" s="179">
        <v>538.0</v>
      </c>
      <c r="M21" s="97">
        <f>L21/60</f>
        <v>8.966666667</v>
      </c>
      <c r="N21" s="105">
        <f>60/L21</f>
        <v>0.1115241636</v>
      </c>
      <c r="O21" s="107">
        <f>60*2/L21</f>
        <v>0.2230483271</v>
      </c>
      <c r="P21" s="121">
        <f>IFS(OR(K21="-",ISBLANK(K21)),"-",K21&lt;1,"one-hit",K21&lt;=3,60/L21,OR(K21=4,K21=7,K21=9),"manual",K21&lt;7,2*60/L21,K21&lt;9,3*60/L21,K21&lt;=11,4*60/L21,K21&gt;11,"???")</f>
        <v>0.2230483271</v>
      </c>
      <c r="Q21" s="168" t="s">
        <v>41</v>
      </c>
      <c r="R21" s="194" t="s">
        <v>41</v>
      </c>
      <c r="S21" s="90">
        <v>34.0</v>
      </c>
      <c r="T21" s="91"/>
      <c r="U21" s="91"/>
      <c r="V21" s="91"/>
      <c r="W21" s="91"/>
      <c r="X21" s="92"/>
      <c r="Y21" s="202">
        <v>2.27</v>
      </c>
      <c r="Z21" s="282" t="s">
        <v>41</v>
      </c>
      <c r="AA21" s="298" t="s">
        <v>41</v>
      </c>
    </row>
    <row r="22">
      <c r="A22" s="1"/>
      <c r="B22" s="141"/>
      <c r="C22" s="129" t="s">
        <v>42</v>
      </c>
      <c r="D22" s="159"/>
      <c r="E22" s="155"/>
      <c r="F22" s="149">
        <v>2.0</v>
      </c>
      <c r="G22" s="158">
        <v>4.0</v>
      </c>
      <c r="H22" s="159"/>
      <c r="I22" s="155"/>
      <c r="J22" s="161">
        <v>2.0</v>
      </c>
      <c r="K22" s="162">
        <v>5.0</v>
      </c>
      <c r="L22" s="24"/>
      <c r="M22" s="155"/>
      <c r="N22" s="155"/>
      <c r="O22" s="175">
        <f>60*2/L21</f>
        <v>0.2230483271</v>
      </c>
      <c r="P22" s="189">
        <f>IFS(OR(K22="-",ISBLANK(K22)),"-",K22&lt;1,"one-hit",K22&lt;=3,60/L21,OR(K22=4,K22=7,K22=9),"manual",K22&lt;7,2*60/L21,K22&lt;9,3*60/L21,K22&lt;=11,4*60/L21,K22&gt;11,"???")</f>
        <v>0.2230483271</v>
      </c>
      <c r="Q22" s="145" t="s">
        <v>41</v>
      </c>
      <c r="R22" s="157" t="s">
        <v>41</v>
      </c>
      <c r="S22" s="159"/>
      <c r="T22" s="160"/>
      <c r="U22" s="160"/>
      <c r="V22" s="160"/>
      <c r="W22" s="160"/>
      <c r="X22" s="155"/>
      <c r="Y22" s="24"/>
      <c r="Z22" s="122" t="s">
        <v>41</v>
      </c>
      <c r="AA22" s="125" t="s">
        <v>41</v>
      </c>
    </row>
    <row r="23">
      <c r="A23" s="1"/>
      <c r="B23" s="212" t="s">
        <v>112</v>
      </c>
      <c r="C23" s="168" t="s">
        <v>40</v>
      </c>
      <c r="D23" s="169">
        <v>2.0</v>
      </c>
      <c r="E23" s="170">
        <v>5.0</v>
      </c>
      <c r="F23" s="75">
        <v>3.0</v>
      </c>
      <c r="G23" s="198">
        <v>6.0</v>
      </c>
      <c r="H23" s="216">
        <v>3.0</v>
      </c>
      <c r="I23" s="284">
        <v>6.0</v>
      </c>
      <c r="J23" s="200">
        <v>3.0</v>
      </c>
      <c r="K23" s="201">
        <v>7.0</v>
      </c>
      <c r="L23" s="179">
        <v>682.0</v>
      </c>
      <c r="M23" s="97">
        <f>L23/60</f>
        <v>11.36666667</v>
      </c>
      <c r="N23" s="105">
        <f>60/L23</f>
        <v>0.08797653959</v>
      </c>
      <c r="O23" s="107">
        <f>IFS(OR(G23="-",ISBLANK(G23)),"-",G23&lt;1,"one-hit",G23&lt;=3,60/L23,OR(G23=4,G23=7,G23=9),"manual",G23&lt;7,2*60/L23,G23&lt;9,3*60/L23,G23&lt;=11,4*60/L23,G23&gt;11,"???")</f>
        <v>0.1759530792</v>
      </c>
      <c r="P23" s="121" t="str">
        <f>IFS(OR(K23="-",ISBLANK(K23)),"-",K23&lt;1,"one-hit",K23&lt;=3,60/L23,OR(K23=4,K23=7,K23=9),"manual",K23&lt;7,2*60/L23,K23&lt;9,3*60/L23,K23&lt;=11,4*60/L23,K23&gt;11,"???")</f>
        <v>manual</v>
      </c>
      <c r="Q23" s="168" t="s">
        <v>41</v>
      </c>
      <c r="R23" s="194" t="s">
        <v>41</v>
      </c>
      <c r="S23" s="221">
        <v>20.0</v>
      </c>
      <c r="T23" s="91"/>
      <c r="U23" s="92"/>
      <c r="V23" s="222">
        <v>30.0</v>
      </c>
      <c r="W23" s="91"/>
      <c r="X23" s="92"/>
      <c r="Y23" s="202">
        <v>2.48</v>
      </c>
      <c r="Z23" s="136" t="s">
        <v>41</v>
      </c>
      <c r="AA23" s="138" t="s">
        <v>41</v>
      </c>
    </row>
    <row r="24">
      <c r="A24" s="1"/>
      <c r="B24" s="141"/>
      <c r="C24" s="129" t="s">
        <v>42</v>
      </c>
      <c r="D24" s="132">
        <v>2.0</v>
      </c>
      <c r="E24" s="133">
        <v>5.0</v>
      </c>
      <c r="F24" s="149">
        <v>3.0</v>
      </c>
      <c r="G24" s="158">
        <v>6.0</v>
      </c>
      <c r="H24" s="304">
        <v>3.0</v>
      </c>
      <c r="I24" s="305">
        <v>5.0</v>
      </c>
      <c r="J24" s="161">
        <v>3.0</v>
      </c>
      <c r="K24" s="162">
        <v>7.0</v>
      </c>
      <c r="L24" s="163"/>
      <c r="M24" s="155"/>
      <c r="N24" s="155"/>
      <c r="O24" s="175">
        <f>IFS(OR(G24="-",ISBLANK(G24)),"-",G24&lt;1,"one-hit",G24&lt;=3,60/L23,OR(G24=4,G24=7,G24=9),"manual",G24&lt;7,2*60/L23,G24&lt;9,3*60/L23,G24&lt;=11,4*60/L23,G24&gt;11,"???")</f>
        <v>0.1759530792</v>
      </c>
      <c r="P24" s="189" t="str">
        <f>IFS(OR(K24="-",ISBLANK(K24)),"-",K24&lt;1,"one-hit",K24&lt;=3,60/L23,OR(K24=4,K24=7,K24=9),"manual",K24&lt;7,2*60/L23,K24&lt;9,3*60/L23,K24&lt;=11,4*60/L23,K24&gt;11,"???")</f>
        <v>manual</v>
      </c>
      <c r="Q24" s="145" t="s">
        <v>41</v>
      </c>
      <c r="R24" s="157" t="s">
        <v>41</v>
      </c>
      <c r="S24" s="159"/>
      <c r="T24" s="160"/>
      <c r="U24" s="155"/>
      <c r="V24" s="160"/>
      <c r="W24" s="160"/>
      <c r="X24" s="155"/>
      <c r="Y24" s="163"/>
      <c r="Z24" s="122" t="s">
        <v>41</v>
      </c>
      <c r="AA24" s="125" t="s">
        <v>41</v>
      </c>
    </row>
    <row r="25">
      <c r="A25" s="1"/>
      <c r="B25" s="212" t="s">
        <v>124</v>
      </c>
      <c r="C25" s="168" t="s">
        <v>40</v>
      </c>
      <c r="D25" s="169">
        <v>4.0</v>
      </c>
      <c r="E25" s="170">
        <v>8.0</v>
      </c>
      <c r="F25" s="75">
        <v>5.0</v>
      </c>
      <c r="G25" s="198">
        <v>10.0</v>
      </c>
      <c r="H25" s="216">
        <v>4.0</v>
      </c>
      <c r="I25" s="284">
        <v>10.0</v>
      </c>
      <c r="J25" s="200">
        <v>5.0</v>
      </c>
      <c r="K25" s="201">
        <v>12.0</v>
      </c>
      <c r="L25" s="179">
        <v>1111.0</v>
      </c>
      <c r="M25" s="97">
        <f>L25/60</f>
        <v>18.51666667</v>
      </c>
      <c r="N25" s="105">
        <f>60/L25</f>
        <v>0.05400540054</v>
      </c>
      <c r="O25" s="107">
        <f>IFS(OR(G25="-",ISBLANK(G25)),"-",G25&lt;1,"one-hit",G25&lt;=3,60/L25,OR(G25=4,G25=7,G25=9),"manual",G25&lt;7,2*60/L25,G25&lt;9,3*60/L25,G25&lt;=11,4*60/L25,G25&gt;11,"???")</f>
        <v>0.2160216022</v>
      </c>
      <c r="P25" s="121" t="str">
        <f>IFS(OR(K25="-",ISBLANK(K25)),"-",K25&lt;1,"one-hit",K25&lt;=3,60/L25,OR(K25=4,K25=7,K25=9),"manual",K25&lt;7,2*60/L25,K25&lt;9,3*60/L25,K25&lt;=11,4*60/L25,K25&gt;11,"???")</f>
        <v>???</v>
      </c>
      <c r="Q25" s="168" t="s">
        <v>41</v>
      </c>
      <c r="R25" s="194" t="s">
        <v>41</v>
      </c>
      <c r="S25" s="221">
        <v>20.0</v>
      </c>
      <c r="T25" s="91"/>
      <c r="U25" s="92"/>
      <c r="V25" s="222">
        <v>30.0</v>
      </c>
      <c r="W25" s="91"/>
      <c r="X25" s="92"/>
      <c r="Y25" s="202">
        <v>1.58</v>
      </c>
      <c r="Z25" s="136" t="s">
        <v>41</v>
      </c>
      <c r="AA25" s="138" t="s">
        <v>41</v>
      </c>
    </row>
    <row r="26">
      <c r="A26" s="1"/>
      <c r="B26" s="141"/>
      <c r="C26" s="129" t="s">
        <v>42</v>
      </c>
      <c r="D26" s="132">
        <v>3.0</v>
      </c>
      <c r="E26" s="133">
        <v>7.0</v>
      </c>
      <c r="F26" s="149">
        <v>4.0</v>
      </c>
      <c r="G26" s="158">
        <v>9.0</v>
      </c>
      <c r="H26" s="304">
        <v>4.0</v>
      </c>
      <c r="I26" s="305">
        <v>9.0</v>
      </c>
      <c r="J26" s="161">
        <v>5.0</v>
      </c>
      <c r="K26" s="162">
        <v>10.0</v>
      </c>
      <c r="L26" s="163"/>
      <c r="M26" s="155"/>
      <c r="N26" s="155"/>
      <c r="O26" s="175">
        <f>60*4/L25</f>
        <v>0.2160216022</v>
      </c>
      <c r="P26" s="189">
        <f>IFS(OR(K26="-",ISBLANK(K26)),"-",K26&lt;1,"one-hit",K26&lt;=3,60/L25,OR(K26=4,K26=7,K26=9),"manual",K26&lt;7,2*60/L25,K26&lt;9,3*60/L25,K26&lt;=11,4*60/L25,K26&gt;11,"???")</f>
        <v>0.2160216022</v>
      </c>
      <c r="Q26" s="145" t="s">
        <v>41</v>
      </c>
      <c r="R26" s="157" t="s">
        <v>41</v>
      </c>
      <c r="S26" s="159"/>
      <c r="T26" s="160"/>
      <c r="U26" s="155"/>
      <c r="V26" s="160"/>
      <c r="W26" s="160"/>
      <c r="X26" s="155"/>
      <c r="Y26" s="163"/>
      <c r="Z26" s="122" t="s">
        <v>41</v>
      </c>
      <c r="AA26" s="125" t="s">
        <v>41</v>
      </c>
    </row>
    <row r="27">
      <c r="A27" s="1"/>
      <c r="B27" s="212" t="s">
        <v>137</v>
      </c>
      <c r="C27" s="69" t="s">
        <v>31</v>
      </c>
      <c r="D27" s="169">
        <v>4.0</v>
      </c>
      <c r="E27" s="170">
        <v>8.0</v>
      </c>
      <c r="F27" s="75">
        <v>5.0</v>
      </c>
      <c r="G27" s="198">
        <v>10.0</v>
      </c>
      <c r="H27" s="216">
        <v>4.0</v>
      </c>
      <c r="I27" s="284">
        <v>9.0</v>
      </c>
      <c r="J27" s="200">
        <v>5.0</v>
      </c>
      <c r="K27" s="201">
        <v>12.0</v>
      </c>
      <c r="L27" s="179">
        <v>1137.0</v>
      </c>
      <c r="M27" s="97">
        <f>L27/60</f>
        <v>18.95</v>
      </c>
      <c r="N27" s="105">
        <f>60/L27</f>
        <v>0.05277044855</v>
      </c>
      <c r="O27" s="107">
        <f>IFS(OR(G27="-",ISBLANK(G27)),"-",G27&lt;1,"one-hit",G27&lt;=3,60/L27,OR(G27=4,G27=7,G27=9),"manual",G27&lt;7,2*60/L27,G27&lt;9,3*60/L27,G27&lt;=11,4*60/L27,G27&gt;11,"???")</f>
        <v>0.2110817942</v>
      </c>
      <c r="P27" s="121" t="str">
        <f>IFS(OR(K27="-",ISBLANK(K27)),"-",K27&lt;1,"one-hit",K27&lt;=3,60/L27,OR(K27=4,K27=7,K27=9),"manual",K27&lt;7,2*60/L27,K27&lt;9,3*60/L27,K27&lt;=11,4*60/L27,K27&gt;11,"???")</f>
        <v>???</v>
      </c>
      <c r="Q27" s="168" t="s">
        <v>41</v>
      </c>
      <c r="R27" s="194" t="s">
        <v>41</v>
      </c>
      <c r="S27" s="221">
        <v>20.0</v>
      </c>
      <c r="T27" s="91"/>
      <c r="U27" s="92"/>
      <c r="V27" s="222">
        <v>30.0</v>
      </c>
      <c r="W27" s="91"/>
      <c r="X27" s="92"/>
      <c r="Y27" s="202">
        <v>1.67</v>
      </c>
      <c r="Z27" s="136" t="s">
        <v>41</v>
      </c>
      <c r="AA27" s="138" t="s">
        <v>41</v>
      </c>
    </row>
    <row r="28">
      <c r="A28" s="1"/>
      <c r="B28" s="141"/>
      <c r="C28" s="227" t="s">
        <v>40</v>
      </c>
      <c r="D28" s="206">
        <v>3.0</v>
      </c>
      <c r="E28" s="207">
        <v>7.0</v>
      </c>
      <c r="F28" s="150">
        <v>4.0</v>
      </c>
      <c r="G28" s="285">
        <v>9.0</v>
      </c>
      <c r="H28" s="405">
        <v>4.0</v>
      </c>
      <c r="I28" s="406">
        <v>8.0</v>
      </c>
      <c r="J28" s="286">
        <v>5.0</v>
      </c>
      <c r="K28" s="287">
        <v>10.0</v>
      </c>
      <c r="L28" s="163"/>
      <c r="M28" s="155"/>
      <c r="N28" s="155"/>
      <c r="O28" s="175">
        <f>60*4/L27</f>
        <v>0.2110817942</v>
      </c>
      <c r="P28" s="189">
        <f>IFS(OR(K28="-",ISBLANK(K28)),"-",K28&lt;1,"one-hit",K28&lt;=3,60/L27,OR(K28=4,K28=7,K28=9),"manual",K28&lt;7,2*60/L27,K28&lt;9,3*60/L27,K28&lt;=11,4*60/L27,K28&gt;11,"???")</f>
        <v>0.2110817942</v>
      </c>
      <c r="Q28" s="227" t="s">
        <v>41</v>
      </c>
      <c r="R28" s="211" t="s">
        <v>41</v>
      </c>
      <c r="S28" s="159"/>
      <c r="T28" s="160"/>
      <c r="U28" s="155"/>
      <c r="V28" s="160"/>
      <c r="W28" s="160"/>
      <c r="X28" s="155"/>
      <c r="Y28" s="163"/>
      <c r="Z28" s="203" t="s">
        <v>41</v>
      </c>
      <c r="AA28" s="205" t="s">
        <v>41</v>
      </c>
    </row>
    <row r="29">
      <c r="A29" s="1"/>
      <c r="B29" s="407" t="s">
        <v>67</v>
      </c>
      <c r="AA29" s="408"/>
    </row>
    <row r="30">
      <c r="A30" s="1"/>
      <c r="B30" s="212" t="s">
        <v>139</v>
      </c>
      <c r="C30" s="69" t="s">
        <v>31</v>
      </c>
      <c r="D30" s="169">
        <v>3.0</v>
      </c>
      <c r="E30" s="170">
        <v>7.0</v>
      </c>
      <c r="F30" s="75">
        <v>4.0</v>
      </c>
      <c r="G30" s="198">
        <v>8.0</v>
      </c>
      <c r="H30" s="216">
        <v>4.0</v>
      </c>
      <c r="I30" s="284">
        <v>8.0</v>
      </c>
      <c r="J30" s="200">
        <v>4.0</v>
      </c>
      <c r="K30" s="201">
        <v>10.0</v>
      </c>
      <c r="L30" s="179">
        <v>730.0</v>
      </c>
      <c r="M30" s="97">
        <f>L30/60</f>
        <v>12.16666667</v>
      </c>
      <c r="N30" s="105">
        <f>60/L30</f>
        <v>0.08219178082</v>
      </c>
      <c r="O30" s="107">
        <f>IFS(OR(G30="-",ISBLANK(G30)),"-",G30&lt;1,"one-hit",G30&lt;=3,60/L30,OR(G30=4,G30=7,G30=9),"manual",G30&lt;7,2*60/L30,G30&lt;9,3*60/L30,G30&lt;=11,4*60/L30,G30&gt;11,"???")</f>
        <v>0.2465753425</v>
      </c>
      <c r="P30" s="121">
        <f>IFS(OR(K30="-",ISBLANK(K30)),"-",K30&lt;1,"one-hit",K30&lt;=3,60/L30,OR(K30=4,K30=7,K30=9),"manual",K30&lt;7,2*60/L30,K30&lt;9,3*60/L30,K30&lt;=11,4*60/L30,K30&gt;11,"???")</f>
        <v>0.3287671233</v>
      </c>
      <c r="Q30" s="168" t="s">
        <v>41</v>
      </c>
      <c r="R30" s="194" t="s">
        <v>41</v>
      </c>
      <c r="S30" s="90">
        <v>20.0</v>
      </c>
      <c r="T30" s="91"/>
      <c r="U30" s="92"/>
      <c r="V30" s="131">
        <v>30.0</v>
      </c>
      <c r="W30" s="91"/>
      <c r="X30" s="92"/>
      <c r="Y30" s="202">
        <v>1.47</v>
      </c>
      <c r="Z30" s="136" t="s">
        <v>41</v>
      </c>
      <c r="AA30" s="138" t="s">
        <v>41</v>
      </c>
    </row>
    <row r="31">
      <c r="A31" s="1"/>
      <c r="B31" s="141"/>
      <c r="C31" s="145" t="s">
        <v>40</v>
      </c>
      <c r="D31" s="132">
        <v>3.0</v>
      </c>
      <c r="E31" s="133">
        <v>6.0</v>
      </c>
      <c r="F31" s="149">
        <v>4.0</v>
      </c>
      <c r="G31" s="158">
        <v>8.0</v>
      </c>
      <c r="H31" s="304">
        <v>3.0</v>
      </c>
      <c r="I31" s="305">
        <v>7.0</v>
      </c>
      <c r="J31" s="161">
        <v>4.0</v>
      </c>
      <c r="K31" s="162">
        <v>9.0</v>
      </c>
      <c r="L31" s="163"/>
      <c r="M31" s="155"/>
      <c r="N31" s="155"/>
      <c r="O31" s="324">
        <f>IFS(OR(G31="-",ISBLANK(G31)),"-",G31&lt;1,"one-hit",G31&lt;=3,60/L30,OR(G31=4,G31=7,G31=9),"manual",G31&lt;7,2*60/L30,G31&lt;9,3*60/L30,G31&lt;=11,4*60/L30,G31&gt;11,"???")</f>
        <v>0.2465753425</v>
      </c>
      <c r="P31" s="334" t="str">
        <f>IFS(OR(K31="-",ISBLANK(K31)),"-",K31&lt;1,"one-hit",K31&lt;=3,60/L30,OR(K31=4,K31=7,K31=9),"manual",K31&lt;7,2*60/L30,K31&lt;9,3*60/L30,K31&lt;=11,4*60/L30,K31&gt;11,"???")</f>
        <v>manual</v>
      </c>
      <c r="Q31" s="145" t="s">
        <v>41</v>
      </c>
      <c r="R31" s="157" t="s">
        <v>41</v>
      </c>
      <c r="S31" s="159"/>
      <c r="T31" s="160"/>
      <c r="U31" s="155"/>
      <c r="V31" s="159"/>
      <c r="W31" s="160"/>
      <c r="X31" s="155"/>
      <c r="Y31" s="163"/>
      <c r="Z31" s="122" t="s">
        <v>41</v>
      </c>
      <c r="AA31" s="125" t="s">
        <v>41</v>
      </c>
    </row>
    <row r="32">
      <c r="A32" s="1"/>
      <c r="B32" s="51" t="s">
        <v>141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3"/>
    </row>
    <row r="33">
      <c r="A33" s="1"/>
      <c r="B33" s="411" t="s">
        <v>89</v>
      </c>
      <c r="AA33" s="412"/>
    </row>
    <row r="34">
      <c r="A34" s="1"/>
      <c r="B34" s="370" t="s">
        <v>142</v>
      </c>
      <c r="C34" s="303"/>
      <c r="D34" s="413"/>
      <c r="E34" s="414"/>
      <c r="F34" s="372"/>
      <c r="G34" s="373"/>
      <c r="H34" s="415">
        <v>2.0</v>
      </c>
      <c r="I34" s="416">
        <v>5.0</v>
      </c>
      <c r="J34" s="375">
        <v>3.0</v>
      </c>
      <c r="K34" s="376">
        <v>6.0</v>
      </c>
      <c r="L34" s="261"/>
      <c r="M34" s="377"/>
      <c r="N34" s="378"/>
      <c r="O34" s="379"/>
      <c r="P34" s="380"/>
      <c r="Q34" s="254" t="s">
        <v>41</v>
      </c>
      <c r="R34" s="266" t="s">
        <v>41</v>
      </c>
      <c r="S34" s="267">
        <v>20.0</v>
      </c>
      <c r="T34" s="249"/>
      <c r="U34" s="249"/>
      <c r="V34" s="249"/>
      <c r="W34" s="249"/>
      <c r="X34" s="303"/>
      <c r="Y34" s="268"/>
      <c r="Z34" s="270" t="s">
        <v>41</v>
      </c>
      <c r="AA34" s="307" t="s">
        <v>41</v>
      </c>
    </row>
    <row r="35">
      <c r="A35" s="1"/>
      <c r="B35" s="370" t="s">
        <v>143</v>
      </c>
      <c r="C35" s="303"/>
      <c r="D35" s="401" t="s">
        <v>32</v>
      </c>
      <c r="E35" s="303"/>
      <c r="F35" s="384"/>
      <c r="G35" s="385"/>
      <c r="H35" s="402" t="s">
        <v>32</v>
      </c>
      <c r="I35" s="303"/>
      <c r="J35" s="387">
        <v>2.0</v>
      </c>
      <c r="K35" s="388">
        <v>5.0</v>
      </c>
      <c r="L35" s="261"/>
      <c r="M35" s="377"/>
      <c r="N35" s="378"/>
      <c r="O35" s="379"/>
      <c r="P35" s="380"/>
      <c r="Q35" s="254" t="s">
        <v>41</v>
      </c>
      <c r="R35" s="266" t="s">
        <v>41</v>
      </c>
      <c r="S35" s="267">
        <v>34.0</v>
      </c>
      <c r="T35" s="249"/>
      <c r="U35" s="249"/>
      <c r="V35" s="249"/>
      <c r="W35" s="249"/>
      <c r="X35" s="303"/>
      <c r="Y35" s="268"/>
      <c r="Z35" s="270" t="s">
        <v>41</v>
      </c>
      <c r="AA35" s="307" t="s">
        <v>41</v>
      </c>
    </row>
    <row r="36">
      <c r="A36" s="1"/>
      <c r="B36" s="367" t="s">
        <v>144</v>
      </c>
      <c r="C36" s="303"/>
      <c r="D36" s="401" t="s">
        <v>32</v>
      </c>
      <c r="E36" s="303"/>
      <c r="F36" s="384"/>
      <c r="G36" s="385"/>
      <c r="H36" s="402" t="s">
        <v>32</v>
      </c>
      <c r="I36" s="303"/>
      <c r="J36" s="387">
        <v>4.0</v>
      </c>
      <c r="K36" s="388">
        <v>8.0</v>
      </c>
      <c r="L36" s="261"/>
      <c r="M36" s="377"/>
      <c r="N36" s="378"/>
      <c r="O36" s="379"/>
      <c r="P36" s="380"/>
      <c r="Q36" s="254" t="s">
        <v>41</v>
      </c>
      <c r="R36" s="266" t="s">
        <v>41</v>
      </c>
      <c r="S36" s="369">
        <v>25.0</v>
      </c>
      <c r="T36" s="249"/>
      <c r="U36" s="249"/>
      <c r="V36" s="249"/>
      <c r="W36" s="249"/>
      <c r="X36" s="303"/>
      <c r="Y36" s="268"/>
      <c r="Z36" s="270" t="s">
        <v>41</v>
      </c>
      <c r="AA36" s="307" t="s">
        <v>41</v>
      </c>
    </row>
    <row r="37">
      <c r="A37" s="1"/>
      <c r="B37" s="370" t="s">
        <v>145</v>
      </c>
      <c r="C37" s="303"/>
      <c r="D37" s="362"/>
      <c r="E37" s="363"/>
      <c r="F37" s="384"/>
      <c r="G37" s="385"/>
      <c r="H37" s="364">
        <v>3.0</v>
      </c>
      <c r="I37" s="365">
        <v>6.0</v>
      </c>
      <c r="J37" s="387">
        <v>3.0</v>
      </c>
      <c r="K37" s="388">
        <v>7.0</v>
      </c>
      <c r="L37" s="261"/>
      <c r="M37" s="377"/>
      <c r="N37" s="378"/>
      <c r="O37" s="379"/>
      <c r="P37" s="380"/>
      <c r="Q37" s="254" t="s">
        <v>41</v>
      </c>
      <c r="R37" s="266" t="s">
        <v>41</v>
      </c>
      <c r="S37" s="267">
        <v>64.0</v>
      </c>
      <c r="T37" s="249"/>
      <c r="U37" s="249"/>
      <c r="V37" s="249"/>
      <c r="W37" s="249"/>
      <c r="X37" s="303"/>
      <c r="Y37" s="268"/>
      <c r="Z37" s="270" t="s">
        <v>41</v>
      </c>
      <c r="AA37" s="307" t="s">
        <v>41</v>
      </c>
    </row>
    <row r="38">
      <c r="A38" s="1"/>
      <c r="B38" s="302" t="s">
        <v>67</v>
      </c>
      <c r="C38" s="249"/>
      <c r="D38" s="249"/>
      <c r="E38" s="249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49"/>
      <c r="W38" s="249"/>
      <c r="X38" s="249"/>
      <c r="Y38" s="249"/>
      <c r="Z38" s="249"/>
      <c r="AA38" s="338"/>
    </row>
    <row r="39">
      <c r="A39" s="1"/>
      <c r="B39" s="370" t="s">
        <v>146</v>
      </c>
      <c r="C39" s="303"/>
      <c r="D39" s="362"/>
      <c r="E39" s="363"/>
      <c r="F39" s="384"/>
      <c r="G39" s="385"/>
      <c r="H39" s="364">
        <v>2.0</v>
      </c>
      <c r="I39" s="365">
        <v>5.0</v>
      </c>
      <c r="J39" s="387">
        <v>2.0</v>
      </c>
      <c r="K39" s="388">
        <v>5.0</v>
      </c>
      <c r="L39" s="261"/>
      <c r="M39" s="377"/>
      <c r="N39" s="378"/>
      <c r="O39" s="379"/>
      <c r="P39" s="380"/>
      <c r="Q39" s="254" t="s">
        <v>41</v>
      </c>
      <c r="R39" s="266" t="s">
        <v>41</v>
      </c>
      <c r="S39" s="369">
        <v>30.0</v>
      </c>
      <c r="T39" s="249"/>
      <c r="U39" s="249"/>
      <c r="V39" s="249"/>
      <c r="W39" s="249"/>
      <c r="X39" s="303"/>
      <c r="Y39" s="268"/>
      <c r="Z39" s="270" t="s">
        <v>41</v>
      </c>
      <c r="AA39" s="307" t="s">
        <v>41</v>
      </c>
    </row>
    <row r="40">
      <c r="A40" s="1"/>
      <c r="B40" s="417" t="s">
        <v>147</v>
      </c>
      <c r="C40" s="303"/>
      <c r="D40" s="362"/>
      <c r="E40" s="363"/>
      <c r="F40" s="384"/>
      <c r="G40" s="385"/>
      <c r="H40" s="364">
        <v>2.0</v>
      </c>
      <c r="I40" s="365">
        <v>5.0</v>
      </c>
      <c r="J40" s="387">
        <v>3.0</v>
      </c>
      <c r="K40" s="388">
        <v>6.0</v>
      </c>
      <c r="L40" s="261"/>
      <c r="M40" s="377"/>
      <c r="N40" s="378"/>
      <c r="O40" s="379"/>
      <c r="P40" s="380"/>
      <c r="Q40" s="254" t="s">
        <v>41</v>
      </c>
      <c r="R40" s="266" t="s">
        <v>41</v>
      </c>
      <c r="S40" s="369">
        <v>30.0</v>
      </c>
      <c r="T40" s="249"/>
      <c r="U40" s="249"/>
      <c r="V40" s="249"/>
      <c r="W40" s="249"/>
      <c r="X40" s="303"/>
      <c r="Y40" s="268"/>
      <c r="Z40" s="270" t="s">
        <v>41</v>
      </c>
      <c r="AA40" s="307" t="s">
        <v>41</v>
      </c>
    </row>
    <row r="41">
      <c r="A41" s="1"/>
      <c r="B41" s="302" t="s">
        <v>149</v>
      </c>
      <c r="C41" s="249"/>
      <c r="D41" s="249"/>
      <c r="E41" s="249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  <c r="W41" s="249"/>
      <c r="X41" s="249"/>
      <c r="Y41" s="249"/>
      <c r="Z41" s="249"/>
      <c r="AA41" s="338"/>
    </row>
    <row r="42">
      <c r="A42" s="1"/>
      <c r="B42" s="394" t="s">
        <v>150</v>
      </c>
      <c r="C42" s="303"/>
      <c r="D42" s="401" t="s">
        <v>32</v>
      </c>
      <c r="E42" s="303"/>
      <c r="F42" s="384"/>
      <c r="G42" s="385"/>
      <c r="H42" s="402" t="s">
        <v>32</v>
      </c>
      <c r="I42" s="303"/>
      <c r="J42" s="387">
        <v>4.0</v>
      </c>
      <c r="K42" s="388">
        <v>10.0</v>
      </c>
      <c r="L42" s="261"/>
      <c r="M42" s="377"/>
      <c r="N42" s="378"/>
      <c r="O42" s="379"/>
      <c r="P42" s="380"/>
      <c r="Q42" s="254" t="s">
        <v>41</v>
      </c>
      <c r="R42" s="266" t="s">
        <v>41</v>
      </c>
      <c r="S42" s="369">
        <v>30.0</v>
      </c>
      <c r="T42" s="249"/>
      <c r="U42" s="249"/>
      <c r="V42" s="249"/>
      <c r="W42" s="249"/>
      <c r="X42" s="303"/>
      <c r="Y42" s="268"/>
      <c r="Z42" s="270" t="s">
        <v>41</v>
      </c>
      <c r="AA42" s="307" t="s">
        <v>41</v>
      </c>
    </row>
    <row r="43">
      <c r="A43" s="1"/>
      <c r="B43" s="302" t="s">
        <v>73</v>
      </c>
      <c r="C43" s="249"/>
      <c r="D43" s="249"/>
      <c r="E43" s="249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  <c r="X43" s="249"/>
      <c r="Y43" s="249"/>
      <c r="Z43" s="249"/>
      <c r="AA43" s="338"/>
    </row>
    <row r="44">
      <c r="A44" s="1"/>
      <c r="B44" s="367" t="s">
        <v>151</v>
      </c>
      <c r="C44" s="303"/>
      <c r="D44" s="362"/>
      <c r="E44" s="363"/>
      <c r="F44" s="384"/>
      <c r="G44" s="385"/>
      <c r="H44" s="364">
        <v>3.0</v>
      </c>
      <c r="I44" s="365">
        <v>6.0</v>
      </c>
      <c r="J44" s="387">
        <v>3.0</v>
      </c>
      <c r="K44" s="388">
        <v>7.0</v>
      </c>
      <c r="L44" s="261"/>
      <c r="M44" s="377"/>
      <c r="N44" s="378"/>
      <c r="O44" s="379"/>
      <c r="P44" s="380"/>
      <c r="Q44" s="254" t="s">
        <v>41</v>
      </c>
      <c r="R44" s="266" t="s">
        <v>41</v>
      </c>
      <c r="S44" s="369">
        <v>30.0</v>
      </c>
      <c r="T44" s="249"/>
      <c r="U44" s="249"/>
      <c r="V44" s="249"/>
      <c r="W44" s="249"/>
      <c r="X44" s="303"/>
      <c r="Y44" s="268"/>
      <c r="Z44" s="270" t="s">
        <v>41</v>
      </c>
      <c r="AA44" s="307" t="s">
        <v>41</v>
      </c>
    </row>
    <row r="45">
      <c r="A45" s="1"/>
      <c r="B45" s="370" t="s">
        <v>152</v>
      </c>
      <c r="C45" s="303"/>
      <c r="D45" s="401" t="s">
        <v>32</v>
      </c>
      <c r="E45" s="303"/>
      <c r="F45" s="384"/>
      <c r="G45" s="385"/>
      <c r="H45" s="402" t="s">
        <v>32</v>
      </c>
      <c r="I45" s="303"/>
      <c r="J45" s="387">
        <v>2.0</v>
      </c>
      <c r="K45" s="388">
        <v>5.0</v>
      </c>
      <c r="L45" s="261"/>
      <c r="M45" s="377"/>
      <c r="N45" s="378"/>
      <c r="O45" s="379"/>
      <c r="P45" s="380"/>
      <c r="Q45" s="254" t="s">
        <v>41</v>
      </c>
      <c r="R45" s="266" t="s">
        <v>41</v>
      </c>
      <c r="S45" s="267">
        <v>34.0</v>
      </c>
      <c r="T45" s="249"/>
      <c r="U45" s="249"/>
      <c r="V45" s="249"/>
      <c r="W45" s="249"/>
      <c r="X45" s="303"/>
      <c r="Y45" s="268"/>
      <c r="Z45" s="270" t="s">
        <v>41</v>
      </c>
      <c r="AA45" s="307" t="s">
        <v>41</v>
      </c>
    </row>
    <row r="46">
      <c r="A46" s="1"/>
      <c r="B46" s="367" t="s">
        <v>153</v>
      </c>
      <c r="C46" s="303"/>
      <c r="D46" s="418" t="s">
        <v>41</v>
      </c>
      <c r="E46" s="419" t="s">
        <v>41</v>
      </c>
      <c r="F46" s="420" t="s">
        <v>41</v>
      </c>
      <c r="G46" s="421" t="s">
        <v>41</v>
      </c>
      <c r="H46" s="364" t="s">
        <v>41</v>
      </c>
      <c r="I46" s="365" t="s">
        <v>41</v>
      </c>
      <c r="J46" s="387" t="s">
        <v>41</v>
      </c>
      <c r="K46" s="388" t="s">
        <v>41</v>
      </c>
      <c r="L46" s="261"/>
      <c r="M46" s="377"/>
      <c r="N46" s="378"/>
      <c r="O46" s="379"/>
      <c r="P46" s="380"/>
      <c r="Q46" s="254" t="s">
        <v>41</v>
      </c>
      <c r="R46" s="266" t="s">
        <v>41</v>
      </c>
      <c r="S46" s="369">
        <v>25.0</v>
      </c>
      <c r="T46" s="249"/>
      <c r="U46" s="249"/>
      <c r="V46" s="249"/>
      <c r="W46" s="249"/>
      <c r="X46" s="303"/>
      <c r="Y46" s="268"/>
      <c r="Z46" s="270" t="s">
        <v>41</v>
      </c>
      <c r="AA46" s="307" t="s">
        <v>41</v>
      </c>
    </row>
    <row r="47">
      <c r="A47" s="1"/>
      <c r="B47" s="367" t="s">
        <v>154</v>
      </c>
      <c r="C47" s="303"/>
      <c r="D47" s="362"/>
      <c r="E47" s="363"/>
      <c r="F47" s="384"/>
      <c r="G47" s="385"/>
      <c r="H47" s="364">
        <v>3.0</v>
      </c>
      <c r="I47" s="365">
        <v>7.0</v>
      </c>
      <c r="J47" s="387">
        <v>4.0</v>
      </c>
      <c r="K47" s="388">
        <v>10.0</v>
      </c>
      <c r="L47" s="261"/>
      <c r="M47" s="377"/>
      <c r="N47" s="378"/>
      <c r="O47" s="379"/>
      <c r="P47" s="380"/>
      <c r="Q47" s="254" t="s">
        <v>41</v>
      </c>
      <c r="R47" s="266" t="s">
        <v>41</v>
      </c>
      <c r="S47" s="369">
        <v>30.0</v>
      </c>
      <c r="T47" s="249"/>
      <c r="U47" s="249"/>
      <c r="V47" s="249"/>
      <c r="W47" s="249"/>
      <c r="X47" s="303"/>
      <c r="Y47" s="268"/>
      <c r="Z47" s="270" t="s">
        <v>41</v>
      </c>
      <c r="AA47" s="307" t="s">
        <v>41</v>
      </c>
    </row>
    <row r="48">
      <c r="A48" s="1"/>
      <c r="B48" s="367" t="s">
        <v>155</v>
      </c>
      <c r="C48" s="303"/>
      <c r="D48" s="362"/>
      <c r="E48" s="363"/>
      <c r="F48" s="384"/>
      <c r="G48" s="385"/>
      <c r="H48" s="364">
        <v>4.0</v>
      </c>
      <c r="I48" s="365">
        <v>8.0</v>
      </c>
      <c r="J48" s="387">
        <v>5.0</v>
      </c>
      <c r="K48" s="388">
        <v>10.0</v>
      </c>
      <c r="L48" s="261"/>
      <c r="M48" s="377"/>
      <c r="N48" s="378"/>
      <c r="O48" s="379"/>
      <c r="P48" s="380"/>
      <c r="Q48" s="254" t="s">
        <v>41</v>
      </c>
      <c r="R48" s="266" t="s">
        <v>41</v>
      </c>
      <c r="S48" s="369">
        <v>30.0</v>
      </c>
      <c r="T48" s="249"/>
      <c r="U48" s="249"/>
      <c r="V48" s="249"/>
      <c r="W48" s="249"/>
      <c r="X48" s="303"/>
      <c r="Y48" s="268"/>
      <c r="Z48" s="270" t="s">
        <v>41</v>
      </c>
      <c r="AA48" s="307" t="s">
        <v>41</v>
      </c>
    </row>
    <row r="49">
      <c r="A49" s="1"/>
      <c r="B49" s="367" t="s">
        <v>156</v>
      </c>
      <c r="C49" s="303"/>
      <c r="D49" s="362"/>
      <c r="E49" s="363"/>
      <c r="F49" s="384"/>
      <c r="G49" s="385"/>
      <c r="H49" s="364">
        <v>3.0</v>
      </c>
      <c r="I49" s="365">
        <v>7.0</v>
      </c>
      <c r="J49" s="387">
        <v>4.0</v>
      </c>
      <c r="K49" s="388">
        <v>8.0</v>
      </c>
      <c r="L49" s="261"/>
      <c r="M49" s="377"/>
      <c r="N49" s="378"/>
      <c r="O49" s="379"/>
      <c r="P49" s="380"/>
      <c r="Q49" s="254" t="s">
        <v>41</v>
      </c>
      <c r="R49" s="266" t="s">
        <v>41</v>
      </c>
      <c r="S49" s="369">
        <v>30.0</v>
      </c>
      <c r="T49" s="249"/>
      <c r="U49" s="249"/>
      <c r="V49" s="249"/>
      <c r="W49" s="249"/>
      <c r="X49" s="303"/>
      <c r="Y49" s="268"/>
      <c r="Z49" s="270" t="s">
        <v>41</v>
      </c>
      <c r="AA49" s="307" t="s">
        <v>41</v>
      </c>
    </row>
    <row r="50">
      <c r="A50" s="1"/>
      <c r="B50" s="370" t="s">
        <v>157</v>
      </c>
      <c r="C50" s="303"/>
      <c r="D50" s="362"/>
      <c r="E50" s="363"/>
      <c r="F50" s="384"/>
      <c r="G50" s="385"/>
      <c r="H50" s="364">
        <v>3.0</v>
      </c>
      <c r="I50" s="365">
        <v>7.0</v>
      </c>
      <c r="J50" s="387">
        <v>4.0</v>
      </c>
      <c r="K50" s="388">
        <v>9.0</v>
      </c>
      <c r="L50" s="261"/>
      <c r="M50" s="377"/>
      <c r="N50" s="378"/>
      <c r="O50" s="379"/>
      <c r="P50" s="380"/>
      <c r="Q50" s="254" t="s">
        <v>41</v>
      </c>
      <c r="R50" s="266" t="s">
        <v>41</v>
      </c>
      <c r="S50" s="267">
        <v>50.0</v>
      </c>
      <c r="T50" s="249"/>
      <c r="U50" s="249"/>
      <c r="V50" s="249"/>
      <c r="W50" s="249"/>
      <c r="X50" s="303"/>
      <c r="Y50" s="268"/>
      <c r="Z50" s="270" t="s">
        <v>41</v>
      </c>
      <c r="AA50" s="307" t="s">
        <v>41</v>
      </c>
    </row>
    <row r="51">
      <c r="A51" s="1"/>
      <c r="B51" s="367" t="s">
        <v>158</v>
      </c>
      <c r="C51" s="303"/>
      <c r="D51" s="401" t="s">
        <v>32</v>
      </c>
      <c r="E51" s="303"/>
      <c r="F51" s="384"/>
      <c r="G51" s="385"/>
      <c r="H51" s="402" t="s">
        <v>32</v>
      </c>
      <c r="I51" s="303"/>
      <c r="J51" s="387">
        <v>4.0</v>
      </c>
      <c r="K51" s="388">
        <v>8.0</v>
      </c>
      <c r="L51" s="261"/>
      <c r="M51" s="377"/>
      <c r="N51" s="378"/>
      <c r="O51" s="379"/>
      <c r="P51" s="380"/>
      <c r="Q51" s="254" t="s">
        <v>41</v>
      </c>
      <c r="R51" s="266" t="s">
        <v>41</v>
      </c>
      <c r="S51" s="267">
        <v>50.0</v>
      </c>
      <c r="T51" s="249"/>
      <c r="U51" s="249"/>
      <c r="V51" s="249"/>
      <c r="W51" s="249"/>
      <c r="X51" s="303"/>
      <c r="Y51" s="268"/>
      <c r="Z51" s="270" t="s">
        <v>41</v>
      </c>
      <c r="AA51" s="307" t="s">
        <v>41</v>
      </c>
    </row>
    <row r="52">
      <c r="A52" s="1"/>
      <c r="B52" s="367" t="s">
        <v>159</v>
      </c>
      <c r="C52" s="303"/>
      <c r="D52" s="401" t="s">
        <v>32</v>
      </c>
      <c r="E52" s="303"/>
      <c r="F52" s="384"/>
      <c r="G52" s="385"/>
      <c r="H52" s="402" t="s">
        <v>32</v>
      </c>
      <c r="I52" s="303"/>
      <c r="J52" s="387">
        <v>4.0</v>
      </c>
      <c r="K52" s="388">
        <v>8.0</v>
      </c>
      <c r="L52" s="261"/>
      <c r="M52" s="377"/>
      <c r="N52" s="378"/>
      <c r="O52" s="379"/>
      <c r="P52" s="380"/>
      <c r="Q52" s="254" t="s">
        <v>41</v>
      </c>
      <c r="R52" s="266" t="s">
        <v>41</v>
      </c>
      <c r="S52" s="267">
        <v>50.0</v>
      </c>
      <c r="T52" s="249"/>
      <c r="U52" s="249"/>
      <c r="V52" s="249"/>
      <c r="W52" s="249"/>
      <c r="X52" s="303"/>
      <c r="Y52" s="268"/>
      <c r="Z52" s="270" t="s">
        <v>41</v>
      </c>
      <c r="AA52" s="307" t="s">
        <v>41</v>
      </c>
    </row>
    <row r="53">
      <c r="A53" s="1"/>
      <c r="B53" s="367" t="s">
        <v>160</v>
      </c>
      <c r="C53" s="303"/>
      <c r="D53" s="362"/>
      <c r="E53" s="363"/>
      <c r="F53" s="384"/>
      <c r="G53" s="385"/>
      <c r="H53" s="364">
        <v>3.0</v>
      </c>
      <c r="I53" s="365">
        <v>7.0</v>
      </c>
      <c r="J53" s="387">
        <v>4.0</v>
      </c>
      <c r="K53" s="388">
        <v>8.0</v>
      </c>
      <c r="L53" s="261"/>
      <c r="M53" s="377"/>
      <c r="N53" s="378"/>
      <c r="O53" s="379"/>
      <c r="P53" s="380"/>
      <c r="Q53" s="254" t="s">
        <v>41</v>
      </c>
      <c r="R53" s="266" t="s">
        <v>41</v>
      </c>
      <c r="S53" s="267">
        <v>64.0</v>
      </c>
      <c r="T53" s="249"/>
      <c r="U53" s="249"/>
      <c r="V53" s="249"/>
      <c r="W53" s="249"/>
      <c r="X53" s="303"/>
      <c r="Y53" s="268"/>
      <c r="Z53" s="270" t="s">
        <v>41</v>
      </c>
      <c r="AA53" s="307" t="s">
        <v>41</v>
      </c>
    </row>
    <row r="54">
      <c r="A54" s="1"/>
      <c r="B54" s="370" t="s">
        <v>161</v>
      </c>
      <c r="C54" s="303"/>
      <c r="D54" s="362"/>
      <c r="E54" s="363"/>
      <c r="F54" s="384"/>
      <c r="G54" s="385"/>
      <c r="H54" s="364">
        <v>2.0</v>
      </c>
      <c r="I54" s="365">
        <v>5.0</v>
      </c>
      <c r="J54" s="387">
        <v>3.0</v>
      </c>
      <c r="K54" s="388">
        <v>5.0</v>
      </c>
      <c r="L54" s="261"/>
      <c r="M54" s="377"/>
      <c r="N54" s="378"/>
      <c r="O54" s="379"/>
      <c r="P54" s="380"/>
      <c r="Q54" s="254" t="s">
        <v>41</v>
      </c>
      <c r="R54" s="266" t="s">
        <v>41</v>
      </c>
      <c r="S54" s="267">
        <v>20.0</v>
      </c>
      <c r="T54" s="249"/>
      <c r="U54" s="249"/>
      <c r="V54" s="249"/>
      <c r="W54" s="249"/>
      <c r="X54" s="303"/>
      <c r="Y54" s="268"/>
      <c r="Z54" s="270" t="s">
        <v>41</v>
      </c>
      <c r="AA54" s="307" t="s">
        <v>41</v>
      </c>
    </row>
    <row r="55">
      <c r="A55" s="1"/>
      <c r="B55" s="367" t="s">
        <v>162</v>
      </c>
      <c r="C55" s="303"/>
      <c r="D55" s="401" t="s">
        <v>32</v>
      </c>
      <c r="E55" s="303"/>
      <c r="F55" s="384"/>
      <c r="G55" s="385"/>
      <c r="H55" s="402" t="s">
        <v>32</v>
      </c>
      <c r="I55" s="303"/>
      <c r="J55" s="387">
        <v>5.0</v>
      </c>
      <c r="K55" s="388">
        <v>10.0</v>
      </c>
      <c r="L55" s="261"/>
      <c r="M55" s="377"/>
      <c r="N55" s="378"/>
      <c r="O55" s="379"/>
      <c r="P55" s="380"/>
      <c r="Q55" s="254" t="s">
        <v>41</v>
      </c>
      <c r="R55" s="266" t="s">
        <v>41</v>
      </c>
      <c r="S55" s="369">
        <v>25.0</v>
      </c>
      <c r="T55" s="249"/>
      <c r="U55" s="249"/>
      <c r="V55" s="249"/>
      <c r="W55" s="249"/>
      <c r="X55" s="303"/>
      <c r="Y55" s="268"/>
      <c r="Z55" s="270" t="s">
        <v>41</v>
      </c>
      <c r="AA55" s="307" t="s">
        <v>41</v>
      </c>
    </row>
    <row r="56">
      <c r="A56" s="1"/>
      <c r="B56" s="367" t="s">
        <v>163</v>
      </c>
      <c r="C56" s="303"/>
      <c r="D56" s="362"/>
      <c r="E56" s="363"/>
      <c r="F56" s="384"/>
      <c r="G56" s="385"/>
      <c r="H56" s="364">
        <v>3.0</v>
      </c>
      <c r="I56" s="365">
        <v>7.0</v>
      </c>
      <c r="J56" s="387">
        <v>4.0</v>
      </c>
      <c r="K56" s="388">
        <v>9.0</v>
      </c>
      <c r="L56" s="261"/>
      <c r="M56" s="377"/>
      <c r="N56" s="378"/>
      <c r="O56" s="379"/>
      <c r="P56" s="380"/>
      <c r="Q56" s="254" t="s">
        <v>41</v>
      </c>
      <c r="R56" s="266" t="s">
        <v>41</v>
      </c>
      <c r="S56" s="369">
        <v>25.0</v>
      </c>
      <c r="T56" s="249"/>
      <c r="U56" s="249"/>
      <c r="V56" s="249"/>
      <c r="W56" s="249"/>
      <c r="X56" s="303"/>
      <c r="Y56" s="268"/>
      <c r="Z56" s="270" t="s">
        <v>41</v>
      </c>
      <c r="AA56" s="307" t="s">
        <v>41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2"/>
      <c r="O57" s="3"/>
      <c r="P57" s="3"/>
      <c r="Q57" s="1"/>
      <c r="R57" s="1"/>
      <c r="S57" s="1"/>
      <c r="T57" s="1"/>
      <c r="U57" s="1"/>
      <c r="V57" s="1"/>
      <c r="W57" s="1"/>
      <c r="X57" s="1"/>
      <c r="Y57" s="3"/>
      <c r="Z57" s="3"/>
      <c r="AA57" s="3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2"/>
      <c r="O58" s="3"/>
      <c r="P58" s="3"/>
      <c r="Q58" s="1"/>
      <c r="R58" s="1"/>
      <c r="S58" s="1"/>
      <c r="T58" s="1"/>
      <c r="U58" s="1"/>
      <c r="V58" s="1"/>
      <c r="W58" s="1"/>
      <c r="X58" s="1"/>
      <c r="Y58" s="3"/>
      <c r="Z58" s="3"/>
      <c r="AA58" s="3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2"/>
      <c r="O59" s="3"/>
      <c r="P59" s="3"/>
      <c r="Q59" s="1"/>
      <c r="R59" s="1"/>
      <c r="S59" s="1"/>
      <c r="T59" s="1"/>
      <c r="U59" s="1"/>
      <c r="V59" s="1"/>
      <c r="W59" s="1"/>
      <c r="X59" s="1"/>
      <c r="Y59" s="3"/>
      <c r="Z59" s="3"/>
      <c r="AA59" s="3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2"/>
      <c r="O60" s="3"/>
      <c r="P60" s="3"/>
      <c r="Q60" s="1"/>
      <c r="R60" s="1"/>
      <c r="S60" s="1"/>
      <c r="T60" s="1"/>
      <c r="U60" s="1"/>
      <c r="V60" s="1"/>
      <c r="W60" s="1"/>
      <c r="X60" s="1"/>
      <c r="Y60" s="3"/>
      <c r="Z60" s="3"/>
      <c r="AA60" s="3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2"/>
      <c r="O61" s="3"/>
      <c r="P61" s="3"/>
      <c r="Q61" s="1"/>
      <c r="R61" s="1"/>
      <c r="S61" s="1"/>
      <c r="T61" s="1"/>
      <c r="U61" s="1"/>
      <c r="V61" s="1"/>
      <c r="W61" s="1"/>
      <c r="X61" s="1"/>
      <c r="Y61" s="3"/>
      <c r="Z61" s="3"/>
      <c r="AA61" s="3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2"/>
      <c r="O62" s="3"/>
      <c r="P62" s="3"/>
      <c r="Q62" s="1"/>
      <c r="R62" s="1"/>
      <c r="S62" s="1"/>
      <c r="T62" s="1"/>
      <c r="U62" s="1"/>
      <c r="V62" s="1"/>
      <c r="W62" s="1"/>
      <c r="X62" s="1"/>
      <c r="Y62" s="3"/>
      <c r="Z62" s="3"/>
      <c r="AA62" s="3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2"/>
      <c r="O63" s="3"/>
      <c r="P63" s="3"/>
      <c r="Q63" s="1"/>
      <c r="R63" s="1"/>
      <c r="S63" s="1"/>
      <c r="T63" s="1"/>
      <c r="U63" s="1"/>
      <c r="V63" s="1"/>
      <c r="W63" s="1"/>
      <c r="X63" s="1"/>
      <c r="Y63" s="3"/>
      <c r="Z63" s="3"/>
      <c r="AA63" s="3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2"/>
      <c r="O64" s="3"/>
      <c r="P64" s="3"/>
      <c r="Q64" s="1"/>
      <c r="R64" s="1"/>
      <c r="S64" s="1"/>
      <c r="T64" s="1"/>
      <c r="U64" s="1"/>
      <c r="V64" s="1"/>
      <c r="W64" s="1"/>
      <c r="X64" s="1"/>
      <c r="Y64" s="3"/>
      <c r="Z64" s="3"/>
      <c r="AA64" s="3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2"/>
      <c r="O65" s="3"/>
      <c r="P65" s="3"/>
      <c r="Q65" s="1"/>
      <c r="R65" s="1"/>
      <c r="S65" s="1"/>
      <c r="T65" s="1"/>
      <c r="U65" s="1"/>
      <c r="V65" s="1"/>
      <c r="W65" s="1"/>
      <c r="X65" s="1"/>
      <c r="Y65" s="3"/>
      <c r="Z65" s="3"/>
      <c r="AA65" s="3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2"/>
      <c r="O66" s="3"/>
      <c r="P66" s="3"/>
      <c r="Q66" s="1"/>
      <c r="R66" s="1"/>
      <c r="S66" s="1"/>
      <c r="T66" s="1"/>
      <c r="U66" s="1"/>
      <c r="V66" s="1"/>
      <c r="W66" s="1"/>
      <c r="X66" s="1"/>
      <c r="Y66" s="3"/>
      <c r="Z66" s="3"/>
      <c r="AA66" s="3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2"/>
      <c r="O67" s="3"/>
      <c r="P67" s="3"/>
      <c r="Q67" s="1"/>
      <c r="R67" s="1"/>
      <c r="S67" s="1"/>
      <c r="T67" s="1"/>
      <c r="U67" s="1"/>
      <c r="V67" s="1"/>
      <c r="W67" s="1"/>
      <c r="X67" s="1"/>
      <c r="Y67" s="3"/>
      <c r="Z67" s="3"/>
      <c r="AA67" s="3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2"/>
      <c r="O68" s="3"/>
      <c r="P68" s="3"/>
      <c r="Q68" s="1"/>
      <c r="R68" s="1"/>
      <c r="S68" s="1"/>
      <c r="T68" s="1"/>
      <c r="U68" s="1"/>
      <c r="V68" s="1"/>
      <c r="W68" s="1"/>
      <c r="X68" s="1"/>
      <c r="Y68" s="3"/>
      <c r="Z68" s="3"/>
      <c r="AA68" s="3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2"/>
      <c r="O69" s="3"/>
      <c r="P69" s="3"/>
      <c r="Q69" s="1"/>
      <c r="R69" s="1"/>
      <c r="S69" s="1"/>
      <c r="T69" s="1"/>
      <c r="U69" s="1"/>
      <c r="V69" s="1"/>
      <c r="W69" s="1"/>
      <c r="X69" s="1"/>
      <c r="Y69" s="3"/>
      <c r="Z69" s="3"/>
      <c r="AA69" s="3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2"/>
      <c r="O70" s="3"/>
      <c r="P70" s="3"/>
      <c r="Q70" s="1"/>
      <c r="R70" s="1"/>
      <c r="S70" s="1"/>
      <c r="T70" s="1"/>
      <c r="U70" s="1"/>
      <c r="V70" s="1"/>
      <c r="W70" s="1"/>
      <c r="X70" s="1"/>
      <c r="Y70" s="3"/>
      <c r="Z70" s="3"/>
      <c r="AA70" s="3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O71" s="3"/>
      <c r="P71" s="3"/>
      <c r="Q71" s="1"/>
      <c r="R71" s="1"/>
      <c r="S71" s="1"/>
      <c r="T71" s="1"/>
      <c r="U71" s="1"/>
      <c r="V71" s="1"/>
      <c r="W71" s="1"/>
      <c r="X71" s="1"/>
      <c r="Y71" s="3"/>
      <c r="Z71" s="3"/>
      <c r="AA71" s="3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2"/>
      <c r="O72" s="3"/>
      <c r="P72" s="3"/>
      <c r="Q72" s="1"/>
      <c r="R72" s="1"/>
      <c r="S72" s="1"/>
      <c r="T72" s="1"/>
      <c r="U72" s="1"/>
      <c r="V72" s="1"/>
      <c r="W72" s="1"/>
      <c r="X72" s="1"/>
      <c r="Y72" s="3"/>
      <c r="Z72" s="3"/>
      <c r="AA72" s="3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2"/>
      <c r="O73" s="3"/>
      <c r="P73" s="3"/>
      <c r="Q73" s="1"/>
      <c r="R73" s="1"/>
      <c r="S73" s="1"/>
      <c r="T73" s="1"/>
      <c r="U73" s="1"/>
      <c r="V73" s="1"/>
      <c r="W73" s="1"/>
      <c r="X73" s="1"/>
      <c r="Y73" s="3"/>
      <c r="Z73" s="3"/>
      <c r="AA73" s="3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2"/>
      <c r="O74" s="3"/>
      <c r="P74" s="3"/>
      <c r="Q74" s="1"/>
      <c r="R74" s="1"/>
      <c r="S74" s="1"/>
      <c r="T74" s="1"/>
      <c r="U74" s="1"/>
      <c r="V74" s="1"/>
      <c r="W74" s="1"/>
      <c r="X74" s="1"/>
      <c r="Y74" s="3"/>
      <c r="Z74" s="3"/>
      <c r="AA74" s="3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2"/>
      <c r="O75" s="3"/>
      <c r="P75" s="3"/>
      <c r="Q75" s="1"/>
      <c r="R75" s="1"/>
      <c r="S75" s="1"/>
      <c r="T75" s="1"/>
      <c r="U75" s="1"/>
      <c r="V75" s="1"/>
      <c r="W75" s="1"/>
      <c r="X75" s="1"/>
      <c r="Y75" s="3"/>
      <c r="Z75" s="3"/>
      <c r="AA75" s="3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2"/>
      <c r="O76" s="3"/>
      <c r="P76" s="3"/>
      <c r="Q76" s="1"/>
      <c r="R76" s="1"/>
      <c r="S76" s="1"/>
      <c r="T76" s="1"/>
      <c r="U76" s="1"/>
      <c r="V76" s="1"/>
      <c r="W76" s="1"/>
      <c r="X76" s="1"/>
      <c r="Y76" s="3"/>
      <c r="Z76" s="3"/>
      <c r="AA76" s="3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2"/>
      <c r="O77" s="3"/>
      <c r="P77" s="3"/>
      <c r="Q77" s="1"/>
      <c r="R77" s="1"/>
      <c r="S77" s="1"/>
      <c r="T77" s="1"/>
      <c r="U77" s="1"/>
      <c r="V77" s="1"/>
      <c r="W77" s="1"/>
      <c r="X77" s="1"/>
      <c r="Y77" s="3"/>
      <c r="Z77" s="3"/>
      <c r="AA77" s="3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2"/>
      <c r="O78" s="3"/>
      <c r="P78" s="3"/>
      <c r="Q78" s="1"/>
      <c r="R78" s="1"/>
      <c r="S78" s="1"/>
      <c r="T78" s="1"/>
      <c r="U78" s="1"/>
      <c r="V78" s="1"/>
      <c r="W78" s="1"/>
      <c r="X78" s="1"/>
      <c r="Y78" s="3"/>
      <c r="Z78" s="3"/>
      <c r="AA78" s="3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2"/>
      <c r="O79" s="3"/>
      <c r="P79" s="3"/>
      <c r="Q79" s="1"/>
      <c r="R79" s="1"/>
      <c r="S79" s="1"/>
      <c r="T79" s="1"/>
      <c r="U79" s="1"/>
      <c r="V79" s="1"/>
      <c r="W79" s="1"/>
      <c r="X79" s="1"/>
      <c r="Y79" s="3"/>
      <c r="Z79" s="3"/>
      <c r="AA79" s="3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2"/>
      <c r="O80" s="3"/>
      <c r="P80" s="3"/>
      <c r="Q80" s="1"/>
      <c r="R80" s="1"/>
      <c r="S80" s="1"/>
      <c r="T80" s="1"/>
      <c r="U80" s="1"/>
      <c r="V80" s="1"/>
      <c r="W80" s="1"/>
      <c r="X80" s="1"/>
      <c r="Y80" s="3"/>
      <c r="Z80" s="3"/>
      <c r="AA80" s="3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2"/>
      <c r="O81" s="3"/>
      <c r="P81" s="3"/>
      <c r="Q81" s="1"/>
      <c r="R81" s="1"/>
      <c r="S81" s="1"/>
      <c r="T81" s="1"/>
      <c r="U81" s="1"/>
      <c r="V81" s="1"/>
      <c r="W81" s="1"/>
      <c r="X81" s="1"/>
      <c r="Y81" s="3"/>
      <c r="Z81" s="3"/>
      <c r="AA81" s="3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2"/>
      <c r="O82" s="3"/>
      <c r="P82" s="3"/>
      <c r="Q82" s="1"/>
      <c r="R82" s="1"/>
      <c r="S82" s="1"/>
      <c r="T82" s="1"/>
      <c r="U82" s="1"/>
      <c r="V82" s="1"/>
      <c r="W82" s="1"/>
      <c r="X82" s="1"/>
      <c r="Y82" s="3"/>
      <c r="Z82" s="3"/>
      <c r="AA82" s="3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2"/>
      <c r="O83" s="3"/>
      <c r="P83" s="3"/>
      <c r="Q83" s="1"/>
      <c r="R83" s="1"/>
      <c r="S83" s="1"/>
      <c r="T83" s="1"/>
      <c r="U83" s="1"/>
      <c r="V83" s="1"/>
      <c r="W83" s="1"/>
      <c r="X83" s="1"/>
      <c r="Y83" s="3"/>
      <c r="Z83" s="3"/>
      <c r="AA83" s="3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2"/>
      <c r="O84" s="3"/>
      <c r="P84" s="3"/>
      <c r="Q84" s="1"/>
      <c r="R84" s="1"/>
      <c r="S84" s="1"/>
      <c r="T84" s="1"/>
      <c r="U84" s="1"/>
      <c r="V84" s="1"/>
      <c r="W84" s="1"/>
      <c r="X84" s="1"/>
      <c r="Y84" s="3"/>
      <c r="Z84" s="3"/>
      <c r="AA84" s="3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2"/>
      <c r="O85" s="3"/>
      <c r="P85" s="3"/>
      <c r="Q85" s="1"/>
      <c r="R85" s="1"/>
      <c r="S85" s="1"/>
      <c r="T85" s="1"/>
      <c r="U85" s="1"/>
      <c r="V85" s="1"/>
      <c r="W85" s="1"/>
      <c r="X85" s="1"/>
      <c r="Y85" s="3"/>
      <c r="Z85" s="3"/>
      <c r="AA85" s="3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2"/>
      <c r="O86" s="3"/>
      <c r="P86" s="3"/>
      <c r="Q86" s="1"/>
      <c r="R86" s="1"/>
      <c r="S86" s="1"/>
      <c r="T86" s="1"/>
      <c r="U86" s="1"/>
      <c r="V86" s="1"/>
      <c r="W86" s="1"/>
      <c r="X86" s="1"/>
      <c r="Y86" s="3"/>
      <c r="Z86" s="3"/>
      <c r="AA86" s="3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2"/>
      <c r="O87" s="3"/>
      <c r="P87" s="3"/>
      <c r="Q87" s="1"/>
      <c r="R87" s="1"/>
      <c r="S87" s="1"/>
      <c r="T87" s="1"/>
      <c r="U87" s="1"/>
      <c r="V87" s="1"/>
      <c r="W87" s="1"/>
      <c r="X87" s="1"/>
      <c r="Y87" s="3"/>
      <c r="Z87" s="3"/>
      <c r="AA87" s="3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2"/>
      <c r="O88" s="3"/>
      <c r="P88" s="3"/>
      <c r="Q88" s="1"/>
      <c r="R88" s="1"/>
      <c r="S88" s="1"/>
      <c r="T88" s="1"/>
      <c r="U88" s="1"/>
      <c r="V88" s="1"/>
      <c r="W88" s="1"/>
      <c r="X88" s="1"/>
      <c r="Y88" s="3"/>
      <c r="Z88" s="3"/>
      <c r="AA88" s="3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2"/>
      <c r="O89" s="3"/>
      <c r="P89" s="3"/>
      <c r="Q89" s="1"/>
      <c r="R89" s="1"/>
      <c r="S89" s="1"/>
      <c r="T89" s="1"/>
      <c r="U89" s="1"/>
      <c r="V89" s="1"/>
      <c r="W89" s="1"/>
      <c r="X89" s="1"/>
      <c r="Y89" s="3"/>
      <c r="Z89" s="3"/>
      <c r="AA89" s="3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2"/>
      <c r="O90" s="3"/>
      <c r="P90" s="3"/>
      <c r="Q90" s="1"/>
      <c r="R90" s="1"/>
      <c r="S90" s="1"/>
      <c r="T90" s="1"/>
      <c r="U90" s="1"/>
      <c r="V90" s="1"/>
      <c r="W90" s="1"/>
      <c r="X90" s="1"/>
      <c r="Y90" s="3"/>
      <c r="Z90" s="3"/>
      <c r="AA90" s="3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2"/>
      <c r="O91" s="3"/>
      <c r="P91" s="3"/>
      <c r="Q91" s="1"/>
      <c r="R91" s="1"/>
      <c r="S91" s="1"/>
      <c r="T91" s="1"/>
      <c r="U91" s="1"/>
      <c r="V91" s="1"/>
      <c r="W91" s="1"/>
      <c r="X91" s="1"/>
      <c r="Y91" s="3"/>
      <c r="Z91" s="3"/>
      <c r="AA91" s="3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2"/>
      <c r="O92" s="3"/>
      <c r="P92" s="3"/>
      <c r="Q92" s="1"/>
      <c r="R92" s="1"/>
      <c r="S92" s="1"/>
      <c r="T92" s="1"/>
      <c r="U92" s="1"/>
      <c r="V92" s="1"/>
      <c r="W92" s="1"/>
      <c r="X92" s="1"/>
      <c r="Y92" s="3"/>
      <c r="Z92" s="3"/>
      <c r="AA92" s="3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2"/>
      <c r="O93" s="3"/>
      <c r="P93" s="3"/>
      <c r="Q93" s="1"/>
      <c r="R93" s="1"/>
      <c r="S93" s="1"/>
      <c r="T93" s="1"/>
      <c r="U93" s="1"/>
      <c r="V93" s="1"/>
      <c r="W93" s="1"/>
      <c r="X93" s="1"/>
      <c r="Y93" s="3"/>
      <c r="Z93" s="3"/>
      <c r="AA93" s="3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2"/>
      <c r="O94" s="3"/>
      <c r="P94" s="3"/>
      <c r="Q94" s="1"/>
      <c r="R94" s="1"/>
      <c r="S94" s="1"/>
      <c r="T94" s="1"/>
      <c r="U94" s="1"/>
      <c r="V94" s="1"/>
      <c r="W94" s="1"/>
      <c r="X94" s="1"/>
      <c r="Y94" s="3"/>
      <c r="Z94" s="3"/>
      <c r="AA94" s="3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2"/>
      <c r="O95" s="3"/>
      <c r="P95" s="3"/>
      <c r="Q95" s="1"/>
      <c r="R95" s="1"/>
      <c r="S95" s="1"/>
      <c r="T95" s="1"/>
      <c r="U95" s="1"/>
      <c r="V95" s="1"/>
      <c r="W95" s="1"/>
      <c r="X95" s="1"/>
      <c r="Y95" s="3"/>
      <c r="Z95" s="3"/>
      <c r="AA95" s="3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2"/>
      <c r="O96" s="3"/>
      <c r="P96" s="3"/>
      <c r="Q96" s="1"/>
      <c r="R96" s="1"/>
      <c r="S96" s="1"/>
      <c r="T96" s="1"/>
      <c r="U96" s="1"/>
      <c r="V96" s="1"/>
      <c r="W96" s="1"/>
      <c r="X96" s="1"/>
      <c r="Y96" s="3"/>
      <c r="Z96" s="3"/>
      <c r="AA96" s="3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2"/>
      <c r="O97" s="3"/>
      <c r="P97" s="3"/>
      <c r="Q97" s="1"/>
      <c r="R97" s="1"/>
      <c r="S97" s="1"/>
      <c r="T97" s="1"/>
      <c r="U97" s="1"/>
      <c r="V97" s="1"/>
      <c r="W97" s="1"/>
      <c r="X97" s="1"/>
      <c r="Y97" s="3"/>
      <c r="Z97" s="3"/>
      <c r="AA97" s="3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2"/>
      <c r="O98" s="3"/>
      <c r="P98" s="3"/>
      <c r="Q98" s="1"/>
      <c r="R98" s="1"/>
      <c r="S98" s="1"/>
      <c r="T98" s="1"/>
      <c r="U98" s="1"/>
      <c r="V98" s="1"/>
      <c r="W98" s="1"/>
      <c r="X98" s="1"/>
      <c r="Y98" s="3"/>
      <c r="Z98" s="3"/>
      <c r="AA98" s="3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2"/>
      <c r="O99" s="3"/>
      <c r="P99" s="3"/>
      <c r="Q99" s="1"/>
      <c r="R99" s="1"/>
      <c r="S99" s="1"/>
      <c r="T99" s="1"/>
      <c r="U99" s="1"/>
      <c r="V99" s="1"/>
      <c r="W99" s="1"/>
      <c r="X99" s="1"/>
      <c r="Y99" s="3"/>
      <c r="Z99" s="3"/>
      <c r="AA99" s="3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2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3"/>
      <c r="Z100" s="3"/>
      <c r="AA100" s="3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2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3"/>
      <c r="Z101" s="3"/>
      <c r="AA101" s="3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2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3"/>
      <c r="Z102" s="3"/>
      <c r="AA102" s="3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2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3"/>
      <c r="Z103" s="3"/>
      <c r="AA103" s="3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2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3"/>
      <c r="Z104" s="3"/>
      <c r="AA104" s="3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2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3"/>
      <c r="Z105" s="3"/>
      <c r="AA105" s="3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2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3"/>
      <c r="Z106" s="3"/>
      <c r="AA106" s="3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2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3"/>
      <c r="Z107" s="3"/>
      <c r="AA107" s="3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2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3"/>
      <c r="Z108" s="3"/>
      <c r="AA108" s="3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2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3"/>
      <c r="Z109" s="3"/>
      <c r="AA109" s="3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2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3"/>
      <c r="Z110" s="3"/>
      <c r="AA110" s="3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2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3"/>
      <c r="Z111" s="3"/>
      <c r="AA111" s="3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2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3"/>
      <c r="Z112" s="3"/>
      <c r="AA112" s="3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2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3"/>
      <c r="Z113" s="3"/>
      <c r="AA113" s="3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2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3"/>
      <c r="Z114" s="3"/>
      <c r="AA114" s="3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2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3"/>
      <c r="Z115" s="3"/>
      <c r="AA115" s="3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2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3"/>
      <c r="Z116" s="3"/>
      <c r="AA116" s="3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2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3"/>
      <c r="Z117" s="3"/>
      <c r="AA117" s="3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2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3"/>
      <c r="Z118" s="3"/>
      <c r="AA118" s="3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2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3"/>
      <c r="Z119" s="3"/>
      <c r="AA119" s="3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2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3"/>
      <c r="Z120" s="3"/>
      <c r="AA120" s="3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2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3"/>
      <c r="Z121" s="3"/>
      <c r="AA121" s="3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2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3"/>
      <c r="Z122" s="3"/>
      <c r="AA122" s="3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2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3"/>
      <c r="Z123" s="3"/>
      <c r="AA123" s="3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2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3"/>
      <c r="Z124" s="3"/>
      <c r="AA124" s="3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2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3"/>
      <c r="Z125" s="3"/>
      <c r="AA125" s="3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2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3"/>
      <c r="Z126" s="3"/>
      <c r="AA126" s="3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2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3"/>
      <c r="Z127" s="3"/>
      <c r="AA127" s="3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2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3"/>
      <c r="Z128" s="3"/>
      <c r="AA128" s="3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2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3"/>
      <c r="Z129" s="3"/>
      <c r="AA129" s="3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2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3"/>
      <c r="Z130" s="3"/>
      <c r="AA130" s="3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2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3"/>
      <c r="Z131" s="3"/>
      <c r="AA131" s="3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2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3"/>
      <c r="Z132" s="3"/>
      <c r="AA132" s="3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2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3"/>
      <c r="Z133" s="3"/>
      <c r="AA133" s="3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2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3"/>
      <c r="Z134" s="3"/>
      <c r="AA134" s="3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2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3"/>
      <c r="Z135" s="3"/>
      <c r="AA135" s="3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2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3"/>
      <c r="Z136" s="3"/>
      <c r="AA136" s="3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2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3"/>
      <c r="Z137" s="3"/>
      <c r="AA137" s="3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2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3"/>
      <c r="Z138" s="3"/>
      <c r="AA138" s="3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2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3"/>
      <c r="Z139" s="3"/>
      <c r="AA139" s="3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2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3"/>
      <c r="Z140" s="3"/>
      <c r="AA140" s="3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2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3"/>
      <c r="Z141" s="3"/>
      <c r="AA141" s="3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2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3"/>
      <c r="Z142" s="3"/>
      <c r="AA142" s="3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2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3"/>
      <c r="Z143" s="3"/>
      <c r="AA143" s="3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2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3"/>
      <c r="Z144" s="3"/>
      <c r="AA144" s="3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2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3"/>
      <c r="Z145" s="3"/>
      <c r="AA145" s="3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2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3"/>
      <c r="Z146" s="3"/>
      <c r="AA146" s="3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2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3"/>
      <c r="Z147" s="3"/>
      <c r="AA147" s="3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2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3"/>
      <c r="Z148" s="3"/>
      <c r="AA148" s="3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2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3"/>
      <c r="Z149" s="3"/>
      <c r="AA149" s="3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2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3"/>
      <c r="Z150" s="3"/>
      <c r="AA150" s="3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2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3"/>
      <c r="Z151" s="3"/>
      <c r="AA151" s="3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2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3"/>
      <c r="Z152" s="3"/>
      <c r="AA152" s="3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2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3"/>
      <c r="Z153" s="3"/>
      <c r="AA153" s="3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2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3"/>
      <c r="Z154" s="3"/>
      <c r="AA154" s="3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3"/>
      <c r="Z155" s="3"/>
      <c r="AA155" s="3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2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3"/>
      <c r="Z156" s="3"/>
      <c r="AA156" s="3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2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3"/>
      <c r="Z157" s="3"/>
      <c r="AA157" s="3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2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3"/>
      <c r="Z158" s="3"/>
      <c r="AA158" s="3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2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3"/>
      <c r="Z159" s="3"/>
      <c r="AA159" s="3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2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3"/>
      <c r="Z160" s="3"/>
      <c r="AA160" s="3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2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3"/>
      <c r="Z161" s="3"/>
      <c r="AA161" s="3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2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3"/>
      <c r="Z162" s="3"/>
      <c r="AA162" s="3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2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3"/>
      <c r="Z163" s="3"/>
      <c r="AA163" s="3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2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3"/>
      <c r="Z164" s="3"/>
      <c r="AA164" s="3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2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3"/>
      <c r="Z165" s="3"/>
      <c r="AA165" s="3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2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3"/>
      <c r="Z166" s="3"/>
      <c r="AA166" s="3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2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3"/>
      <c r="Z167" s="3"/>
      <c r="AA167" s="3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2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3"/>
      <c r="Z168" s="3"/>
      <c r="AA168" s="3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2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3"/>
      <c r="Z169" s="3"/>
      <c r="AA169" s="3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2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3"/>
      <c r="Z170" s="3"/>
      <c r="AA170" s="3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2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3"/>
      <c r="Z171" s="3"/>
      <c r="AA171" s="3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2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3"/>
      <c r="Z172" s="3"/>
      <c r="AA172" s="3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2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3"/>
      <c r="Z173" s="3"/>
      <c r="AA173" s="3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2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3"/>
      <c r="Z174" s="3"/>
      <c r="AA174" s="3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2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3"/>
      <c r="Z175" s="3"/>
      <c r="AA175" s="3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3"/>
      <c r="Z176" s="3"/>
      <c r="AA176" s="3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2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3"/>
      <c r="Z177" s="3"/>
      <c r="AA177" s="3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2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3"/>
      <c r="Z178" s="3"/>
      <c r="AA178" s="3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2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3"/>
      <c r="Z179" s="3"/>
      <c r="AA179" s="3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2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3"/>
      <c r="Z180" s="3"/>
      <c r="AA180" s="3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2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3"/>
      <c r="Z181" s="3"/>
      <c r="AA181" s="3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2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3"/>
      <c r="Z182" s="3"/>
      <c r="AA182" s="3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2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3"/>
      <c r="Z183" s="3"/>
      <c r="AA183" s="3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2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3"/>
      <c r="Z184" s="3"/>
      <c r="AA184" s="3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2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3"/>
      <c r="Z185" s="3"/>
      <c r="AA185" s="3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2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3"/>
      <c r="Z186" s="3"/>
      <c r="AA186" s="3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2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3"/>
      <c r="Z187" s="3"/>
      <c r="AA187" s="3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2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3"/>
      <c r="Z188" s="3"/>
      <c r="AA188" s="3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2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3"/>
      <c r="Z189" s="3"/>
      <c r="AA189" s="3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2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3"/>
      <c r="Z190" s="3"/>
      <c r="AA190" s="3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2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3"/>
      <c r="Z191" s="3"/>
      <c r="AA191" s="3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2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3"/>
      <c r="Z192" s="3"/>
      <c r="AA192" s="3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2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3"/>
      <c r="Z193" s="3"/>
      <c r="AA193" s="3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2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3"/>
      <c r="Z194" s="3"/>
      <c r="AA194" s="3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2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3"/>
      <c r="Z195" s="3"/>
      <c r="AA195" s="3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2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3"/>
      <c r="Z196" s="3"/>
      <c r="AA196" s="3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2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3"/>
      <c r="Z197" s="3"/>
      <c r="AA197" s="3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2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3"/>
      <c r="Z198" s="3"/>
      <c r="AA198" s="3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2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3"/>
      <c r="Z199" s="3"/>
      <c r="AA199" s="3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2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3"/>
      <c r="Z200" s="3"/>
      <c r="AA200" s="3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2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3"/>
      <c r="Z201" s="3"/>
      <c r="AA201" s="3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2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3"/>
      <c r="Z202" s="3"/>
      <c r="AA202" s="3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2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3"/>
      <c r="Z203" s="3"/>
      <c r="AA203" s="3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2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3"/>
      <c r="Z204" s="3"/>
      <c r="AA204" s="3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2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3"/>
      <c r="Z205" s="3"/>
      <c r="AA205" s="3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2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3"/>
      <c r="Z206" s="3"/>
      <c r="AA206" s="3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2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3"/>
      <c r="Z207" s="3"/>
      <c r="AA207" s="3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2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3"/>
      <c r="Z208" s="3"/>
      <c r="AA208" s="3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2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3"/>
      <c r="Z209" s="3"/>
      <c r="AA209" s="3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2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3"/>
      <c r="Z210" s="3"/>
      <c r="AA210" s="3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2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3"/>
      <c r="Z211" s="3"/>
      <c r="AA211" s="3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2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3"/>
      <c r="Z212" s="3"/>
      <c r="AA212" s="3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2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3"/>
      <c r="Z213" s="3"/>
      <c r="AA213" s="3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2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3"/>
      <c r="Z214" s="3"/>
      <c r="AA214" s="3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2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3"/>
      <c r="Z215" s="3"/>
      <c r="AA215" s="3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2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3"/>
      <c r="Z216" s="3"/>
      <c r="AA216" s="3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2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3"/>
      <c r="Z217" s="3"/>
      <c r="AA217" s="3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2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3"/>
      <c r="Z218" s="3"/>
      <c r="AA218" s="3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2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3"/>
      <c r="Z219" s="3"/>
      <c r="AA219" s="3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2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3"/>
      <c r="Z220" s="3"/>
      <c r="AA220" s="3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2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3"/>
      <c r="Z221" s="3"/>
      <c r="AA221" s="3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2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3"/>
      <c r="Z222" s="3"/>
      <c r="AA222" s="3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2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3"/>
      <c r="Z223" s="3"/>
      <c r="AA223" s="3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2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3"/>
      <c r="Z224" s="3"/>
      <c r="AA224" s="3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2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3"/>
      <c r="Z225" s="3"/>
      <c r="AA225" s="3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2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3"/>
      <c r="Z226" s="3"/>
      <c r="AA226" s="3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2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3"/>
      <c r="Z227" s="3"/>
      <c r="AA227" s="3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2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3"/>
      <c r="Z228" s="3"/>
      <c r="AA228" s="3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2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3"/>
      <c r="Z229" s="3"/>
      <c r="AA229" s="3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2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3"/>
      <c r="Z230" s="3"/>
      <c r="AA230" s="3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2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3"/>
      <c r="Z231" s="3"/>
      <c r="AA231" s="3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2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3"/>
      <c r="Z232" s="3"/>
      <c r="AA232" s="3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"/>
      <c r="N233" s="2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3"/>
      <c r="Z233" s="3"/>
      <c r="AA233" s="3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"/>
      <c r="N234" s="2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3"/>
      <c r="Z234" s="3"/>
      <c r="AA234" s="3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"/>
      <c r="N235" s="2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3"/>
      <c r="Z235" s="3"/>
      <c r="AA235" s="3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"/>
      <c r="N236" s="2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3"/>
      <c r="Z236" s="3"/>
      <c r="AA236" s="3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"/>
      <c r="N237" s="2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3"/>
      <c r="Z237" s="3"/>
      <c r="AA237" s="3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"/>
      <c r="N238" s="2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3"/>
      <c r="Z238" s="3"/>
      <c r="AA238" s="3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"/>
      <c r="N239" s="2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3"/>
      <c r="Z239" s="3"/>
      <c r="AA239" s="3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"/>
      <c r="N240" s="2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3"/>
      <c r="Z240" s="3"/>
      <c r="AA240" s="3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"/>
      <c r="N241" s="2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3"/>
      <c r="Z241" s="3"/>
      <c r="AA241" s="3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"/>
      <c r="N242" s="2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3"/>
      <c r="Z242" s="3"/>
      <c r="AA242" s="3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"/>
      <c r="N243" s="2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3"/>
      <c r="Z243" s="3"/>
      <c r="AA243" s="3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"/>
      <c r="N244" s="2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3"/>
      <c r="Z244" s="3"/>
      <c r="AA244" s="3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"/>
      <c r="N245" s="2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3"/>
      <c r="Z245" s="3"/>
      <c r="AA245" s="3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"/>
      <c r="N246" s="2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3"/>
      <c r="Z246" s="3"/>
      <c r="AA246" s="3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"/>
      <c r="N247" s="2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3"/>
      <c r="Z247" s="3"/>
      <c r="AA247" s="3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"/>
      <c r="N248" s="2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3"/>
      <c r="Z248" s="3"/>
      <c r="AA248" s="3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"/>
      <c r="N249" s="2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3"/>
      <c r="Z249" s="3"/>
      <c r="AA249" s="3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"/>
      <c r="N250" s="2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3"/>
      <c r="Z250" s="3"/>
      <c r="AA250" s="3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"/>
      <c r="N251" s="2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3"/>
      <c r="Z251" s="3"/>
      <c r="AA251" s="3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"/>
      <c r="N252" s="2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3"/>
      <c r="Z252" s="3"/>
      <c r="AA252" s="3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"/>
      <c r="N253" s="2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3"/>
      <c r="Z253" s="3"/>
      <c r="AA253" s="3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"/>
      <c r="N254" s="2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3"/>
      <c r="Z254" s="3"/>
      <c r="AA254" s="3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"/>
      <c r="N255" s="2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3"/>
      <c r="Z255" s="3"/>
      <c r="AA255" s="3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"/>
      <c r="N256" s="2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3"/>
      <c r="Z256" s="3"/>
      <c r="AA256" s="3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"/>
      <c r="N257" s="2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3"/>
      <c r="Z257" s="3"/>
      <c r="AA257" s="3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"/>
      <c r="N258" s="2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3"/>
      <c r="Z258" s="3"/>
      <c r="AA258" s="3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"/>
      <c r="N259" s="2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3"/>
      <c r="Z259" s="3"/>
      <c r="AA259" s="3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"/>
      <c r="N260" s="2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3"/>
      <c r="Z260" s="3"/>
      <c r="AA260" s="3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"/>
      <c r="N261" s="2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3"/>
      <c r="Z261" s="3"/>
      <c r="AA261" s="3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"/>
      <c r="N262" s="2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3"/>
      <c r="Z262" s="3"/>
      <c r="AA262" s="3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"/>
      <c r="N263" s="2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3"/>
      <c r="Z263" s="3"/>
      <c r="AA263" s="3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"/>
      <c r="N264" s="2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3"/>
      <c r="Z264" s="3"/>
      <c r="AA264" s="3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"/>
      <c r="N265" s="2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3"/>
      <c r="Z265" s="3"/>
      <c r="AA265" s="3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"/>
      <c r="N266" s="2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3"/>
      <c r="Z266" s="3"/>
      <c r="AA266" s="3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"/>
      <c r="N267" s="2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3"/>
      <c r="Z267" s="3"/>
      <c r="AA267" s="3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"/>
      <c r="N268" s="2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3"/>
      <c r="Z268" s="3"/>
      <c r="AA268" s="3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"/>
      <c r="N269" s="2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3"/>
      <c r="Z269" s="3"/>
      <c r="AA269" s="3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"/>
      <c r="N270" s="2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3"/>
      <c r="Z270" s="3"/>
      <c r="AA270" s="3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"/>
      <c r="N271" s="2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3"/>
      <c r="Z271" s="3"/>
      <c r="AA271" s="3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"/>
      <c r="N272" s="2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3"/>
      <c r="Z272" s="3"/>
      <c r="AA272" s="3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"/>
      <c r="N273" s="2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3"/>
      <c r="Z273" s="3"/>
      <c r="AA273" s="3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"/>
      <c r="N274" s="2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3"/>
      <c r="Z274" s="3"/>
      <c r="AA274" s="3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"/>
      <c r="N275" s="2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3"/>
      <c r="Z275" s="3"/>
      <c r="AA275" s="3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"/>
      <c r="N276" s="2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3"/>
      <c r="Z276" s="3"/>
      <c r="AA276" s="3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"/>
      <c r="N277" s="2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3"/>
      <c r="Z277" s="3"/>
      <c r="AA277" s="3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"/>
      <c r="N278" s="2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3"/>
      <c r="Z278" s="3"/>
      <c r="AA278" s="3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"/>
      <c r="N279" s="2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3"/>
      <c r="Z279" s="3"/>
      <c r="AA279" s="3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"/>
      <c r="N280" s="2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3"/>
      <c r="Z280" s="3"/>
      <c r="AA280" s="3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"/>
      <c r="N281" s="2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3"/>
      <c r="Z281" s="3"/>
      <c r="AA281" s="3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"/>
      <c r="N282" s="2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3"/>
      <c r="Z282" s="3"/>
      <c r="AA282" s="3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"/>
      <c r="N283" s="2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3"/>
      <c r="Z283" s="3"/>
      <c r="AA283" s="3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"/>
      <c r="N284" s="2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3"/>
      <c r="Z284" s="3"/>
      <c r="AA284" s="3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"/>
      <c r="N285" s="2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3"/>
      <c r="Z285" s="3"/>
      <c r="AA285" s="3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"/>
      <c r="N286" s="2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3"/>
      <c r="Z286" s="3"/>
      <c r="AA286" s="3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"/>
      <c r="N287" s="2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3"/>
      <c r="Z287" s="3"/>
      <c r="AA287" s="3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"/>
      <c r="N288" s="2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3"/>
      <c r="Z288" s="3"/>
      <c r="AA288" s="3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"/>
      <c r="N289" s="2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3"/>
      <c r="Z289" s="3"/>
      <c r="AA289" s="3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"/>
      <c r="N290" s="2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3"/>
      <c r="Z290" s="3"/>
      <c r="AA290" s="3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"/>
      <c r="N291" s="2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3"/>
      <c r="Z291" s="3"/>
      <c r="AA291" s="3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"/>
      <c r="N292" s="2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3"/>
      <c r="Z292" s="3"/>
      <c r="AA292" s="3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"/>
      <c r="N293" s="2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3"/>
      <c r="Z293" s="3"/>
      <c r="AA293" s="3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"/>
      <c r="N294" s="2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3"/>
      <c r="Z294" s="3"/>
      <c r="AA294" s="3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"/>
      <c r="N295" s="2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3"/>
      <c r="Z295" s="3"/>
      <c r="AA295" s="3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2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3"/>
      <c r="Z296" s="3"/>
      <c r="AA296" s="3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"/>
      <c r="N297" s="2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3"/>
      <c r="Z297" s="3"/>
      <c r="AA297" s="3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2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3"/>
      <c r="Z298" s="3"/>
      <c r="AA298" s="3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"/>
      <c r="N299" s="2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3"/>
      <c r="Z299" s="3"/>
      <c r="AA299" s="3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2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3"/>
      <c r="Z300" s="3"/>
      <c r="AA300" s="3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"/>
      <c r="N301" s="2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3"/>
      <c r="Z301" s="3"/>
      <c r="AA301" s="3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2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3"/>
      <c r="Z302" s="3"/>
      <c r="AA302" s="3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"/>
      <c r="N303" s="2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3"/>
      <c r="Z303" s="3"/>
      <c r="AA303" s="3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2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3"/>
      <c r="Z304" s="3"/>
      <c r="AA304" s="3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"/>
      <c r="N305" s="2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3"/>
      <c r="Z305" s="3"/>
      <c r="AA305" s="3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2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3"/>
      <c r="Z306" s="3"/>
      <c r="AA306" s="3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"/>
      <c r="N307" s="2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3"/>
      <c r="Z307" s="3"/>
      <c r="AA307" s="3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2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3"/>
      <c r="Z308" s="3"/>
      <c r="AA308" s="3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"/>
      <c r="N309" s="2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3"/>
      <c r="Z309" s="3"/>
      <c r="AA309" s="3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2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3"/>
      <c r="Z310" s="3"/>
      <c r="AA310" s="3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"/>
      <c r="N311" s="2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3"/>
      <c r="Z311" s="3"/>
      <c r="AA311" s="3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2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3"/>
      <c r="Z312" s="3"/>
      <c r="AA312" s="3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"/>
      <c r="N313" s="2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3"/>
      <c r="Z313" s="3"/>
      <c r="AA313" s="3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2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3"/>
      <c r="Z314" s="3"/>
      <c r="AA314" s="3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"/>
      <c r="N315" s="2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3"/>
      <c r="Z315" s="3"/>
      <c r="AA315" s="3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2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3"/>
      <c r="Z316" s="3"/>
      <c r="AA316" s="3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"/>
      <c r="N317" s="2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3"/>
      <c r="Z317" s="3"/>
      <c r="AA317" s="3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2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3"/>
      <c r="Z318" s="3"/>
      <c r="AA318" s="3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"/>
      <c r="N319" s="2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3"/>
      <c r="Z319" s="3"/>
      <c r="AA319" s="3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2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3"/>
      <c r="Z320" s="3"/>
      <c r="AA320" s="3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"/>
      <c r="N321" s="2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3"/>
      <c r="Z321" s="3"/>
      <c r="AA321" s="3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2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3"/>
      <c r="Z322" s="3"/>
      <c r="AA322" s="3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"/>
      <c r="N323" s="2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3"/>
      <c r="Z323" s="3"/>
      <c r="AA323" s="3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2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3"/>
      <c r="Z324" s="3"/>
      <c r="AA324" s="3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"/>
      <c r="N325" s="2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3"/>
      <c r="Z325" s="3"/>
      <c r="AA325" s="3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2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3"/>
      <c r="Z326" s="3"/>
      <c r="AA326" s="3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"/>
      <c r="N327" s="2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3"/>
      <c r="Z327" s="3"/>
      <c r="AA327" s="3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2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3"/>
      <c r="Z328" s="3"/>
      <c r="AA328" s="3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"/>
      <c r="N329" s="2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3"/>
      <c r="Z329" s="3"/>
      <c r="AA329" s="3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"/>
      <c r="N330" s="2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3"/>
      <c r="Z330" s="3"/>
      <c r="AA330" s="3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"/>
      <c r="N331" s="2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3"/>
      <c r="Z331" s="3"/>
      <c r="AA331" s="3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"/>
      <c r="N332" s="2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3"/>
      <c r="Z332" s="3"/>
      <c r="AA332" s="3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"/>
      <c r="N333" s="2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3"/>
      <c r="Z333" s="3"/>
      <c r="AA333" s="3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"/>
      <c r="N334" s="2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3"/>
      <c r="Z334" s="3"/>
      <c r="AA334" s="3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"/>
      <c r="N335" s="2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3"/>
      <c r="Z335" s="3"/>
      <c r="AA335" s="3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"/>
      <c r="N336" s="2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3"/>
      <c r="Z336" s="3"/>
      <c r="AA336" s="3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"/>
      <c r="N337" s="2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3"/>
      <c r="Z337" s="3"/>
      <c r="AA337" s="3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"/>
      <c r="N338" s="2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3"/>
      <c r="Z338" s="3"/>
      <c r="AA338" s="3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"/>
      <c r="N339" s="2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3"/>
      <c r="Z339" s="3"/>
      <c r="AA339" s="3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"/>
      <c r="N340" s="2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3"/>
      <c r="Z340" s="3"/>
      <c r="AA340" s="3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"/>
      <c r="N341" s="2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3"/>
      <c r="Z341" s="3"/>
      <c r="AA341" s="3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"/>
      <c r="N342" s="2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3"/>
      <c r="Z342" s="3"/>
      <c r="AA342" s="3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"/>
      <c r="N343" s="2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3"/>
      <c r="Z343" s="3"/>
      <c r="AA343" s="3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"/>
      <c r="N344" s="2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3"/>
      <c r="Z344" s="3"/>
      <c r="AA344" s="3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"/>
      <c r="N345" s="2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3"/>
      <c r="Z345" s="3"/>
      <c r="AA345" s="3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"/>
      <c r="N346" s="2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3"/>
      <c r="Z346" s="3"/>
      <c r="AA346" s="3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"/>
      <c r="N347" s="2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3"/>
      <c r="Z347" s="3"/>
      <c r="AA347" s="3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"/>
      <c r="N348" s="2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3"/>
      <c r="Z348" s="3"/>
      <c r="AA348" s="3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"/>
      <c r="N349" s="2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3"/>
      <c r="Z349" s="3"/>
      <c r="AA349" s="3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"/>
      <c r="N350" s="2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3"/>
      <c r="Z350" s="3"/>
      <c r="AA350" s="3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"/>
      <c r="N351" s="2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3"/>
      <c r="Z351" s="3"/>
      <c r="AA351" s="3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"/>
      <c r="N352" s="2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3"/>
      <c r="Z352" s="3"/>
      <c r="AA352" s="3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"/>
      <c r="N353" s="2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3"/>
      <c r="Z353" s="3"/>
      <c r="AA353" s="3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"/>
      <c r="N354" s="2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3"/>
      <c r="Z354" s="3"/>
      <c r="AA354" s="3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"/>
      <c r="N355" s="2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3"/>
      <c r="Z355" s="3"/>
      <c r="AA355" s="3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"/>
      <c r="N356" s="2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3"/>
      <c r="Z356" s="3"/>
      <c r="AA356" s="3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"/>
      <c r="N357" s="2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3"/>
      <c r="Z357" s="3"/>
      <c r="AA357" s="3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"/>
      <c r="N358" s="2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3"/>
      <c r="Z358" s="3"/>
      <c r="AA358" s="3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"/>
      <c r="N359" s="2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3"/>
      <c r="Z359" s="3"/>
      <c r="AA359" s="3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"/>
      <c r="N360" s="2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3"/>
      <c r="Z360" s="3"/>
      <c r="AA360" s="3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"/>
      <c r="N361" s="2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3"/>
      <c r="Z361" s="3"/>
      <c r="AA361" s="3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"/>
      <c r="N362" s="2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3"/>
      <c r="Z362" s="3"/>
      <c r="AA362" s="3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"/>
      <c r="N363" s="2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3"/>
      <c r="Z363" s="3"/>
      <c r="AA363" s="3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"/>
      <c r="N364" s="2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3"/>
      <c r="Z364" s="3"/>
      <c r="AA364" s="3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"/>
      <c r="N365" s="2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3"/>
      <c r="Z365" s="3"/>
      <c r="AA365" s="3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"/>
      <c r="N366" s="2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3"/>
      <c r="Z366" s="3"/>
      <c r="AA366" s="3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2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3"/>
      <c r="Z367" s="3"/>
      <c r="AA367" s="3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2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3"/>
      <c r="Z368" s="3"/>
      <c r="AA368" s="3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2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3"/>
      <c r="Z369" s="3"/>
      <c r="AA369" s="3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2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3"/>
      <c r="Z370" s="3"/>
      <c r="AA370" s="3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2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3"/>
      <c r="Z371" s="3"/>
      <c r="AA371" s="3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2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3"/>
      <c r="Z372" s="3"/>
      <c r="AA372" s="3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2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3"/>
      <c r="Z373" s="3"/>
      <c r="AA373" s="3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2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3"/>
      <c r="Z374" s="3"/>
      <c r="AA374" s="3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2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3"/>
      <c r="Z375" s="3"/>
      <c r="AA375" s="3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2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3"/>
      <c r="Z376" s="3"/>
      <c r="AA376" s="3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2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3"/>
      <c r="Z377" s="3"/>
      <c r="AA377" s="3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2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3"/>
      <c r="Z378" s="3"/>
      <c r="AA378" s="3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2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3"/>
      <c r="Z379" s="3"/>
      <c r="AA379" s="3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2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3"/>
      <c r="Z380" s="3"/>
      <c r="AA380" s="3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2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3"/>
      <c r="Z381" s="3"/>
      <c r="AA381" s="3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2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3"/>
      <c r="Z382" s="3"/>
      <c r="AA382" s="3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2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3"/>
      <c r="Z383" s="3"/>
      <c r="AA383" s="3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2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3"/>
      <c r="Z384" s="3"/>
      <c r="AA384" s="3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2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3"/>
      <c r="Z385" s="3"/>
      <c r="AA385" s="3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2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3"/>
      <c r="Z386" s="3"/>
      <c r="AA386" s="3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2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3"/>
      <c r="Z387" s="3"/>
      <c r="AA387" s="3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2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3"/>
      <c r="Z388" s="3"/>
      <c r="AA388" s="3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2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3"/>
      <c r="Z389" s="3"/>
      <c r="AA389" s="3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2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3"/>
      <c r="Z390" s="3"/>
      <c r="AA390" s="3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2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3"/>
      <c r="Z391" s="3"/>
      <c r="AA391" s="3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2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3"/>
      <c r="Z392" s="3"/>
      <c r="AA392" s="3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2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3"/>
      <c r="Z393" s="3"/>
      <c r="AA393" s="3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2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3"/>
      <c r="Z394" s="3"/>
      <c r="AA394" s="3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2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3"/>
      <c r="Z395" s="3"/>
      <c r="AA395" s="3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2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3"/>
      <c r="Z396" s="3"/>
      <c r="AA396" s="3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2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3"/>
      <c r="Z397" s="3"/>
      <c r="AA397" s="3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2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3"/>
      <c r="Z398" s="3"/>
      <c r="AA398" s="3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2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3"/>
      <c r="Z399" s="3"/>
      <c r="AA399" s="3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2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3"/>
      <c r="Z400" s="3"/>
      <c r="AA400" s="3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2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3"/>
      <c r="Z401" s="3"/>
      <c r="AA401" s="3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2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3"/>
      <c r="Z402" s="3"/>
      <c r="AA402" s="3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2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3"/>
      <c r="Z403" s="3"/>
      <c r="AA403" s="3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2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3"/>
      <c r="Z404" s="3"/>
      <c r="AA404" s="3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2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3"/>
      <c r="Z405" s="3"/>
      <c r="AA405" s="3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2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3"/>
      <c r="Z406" s="3"/>
      <c r="AA406" s="3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2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3"/>
      <c r="Z407" s="3"/>
      <c r="AA407" s="3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2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3"/>
      <c r="Z408" s="3"/>
      <c r="AA408" s="3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2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3"/>
      <c r="Z409" s="3"/>
      <c r="AA409" s="3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2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3"/>
      <c r="Z410" s="3"/>
      <c r="AA410" s="3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2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3"/>
      <c r="Z411" s="3"/>
      <c r="AA411" s="3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2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3"/>
      <c r="Z412" s="3"/>
      <c r="AA412" s="3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2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3"/>
      <c r="Z413" s="3"/>
      <c r="AA413" s="3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2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3"/>
      <c r="Z414" s="3"/>
      <c r="AA414" s="3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2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3"/>
      <c r="Z415" s="3"/>
      <c r="AA415" s="3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2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3"/>
      <c r="Z416" s="3"/>
      <c r="AA416" s="3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2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3"/>
      <c r="Z417" s="3"/>
      <c r="AA417" s="3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2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3"/>
      <c r="Z418" s="3"/>
      <c r="AA418" s="3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2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3"/>
      <c r="Z419" s="3"/>
      <c r="AA419" s="3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2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3"/>
      <c r="Z420" s="3"/>
      <c r="AA420" s="3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2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3"/>
      <c r="Z421" s="3"/>
      <c r="AA421" s="3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2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3"/>
      <c r="Z422" s="3"/>
      <c r="AA422" s="3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2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3"/>
      <c r="Z423" s="3"/>
      <c r="AA423" s="3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2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3"/>
      <c r="Z424" s="3"/>
      <c r="AA424" s="3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2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3"/>
      <c r="Z425" s="3"/>
      <c r="AA425" s="3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2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3"/>
      <c r="Z426" s="3"/>
      <c r="AA426" s="3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2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3"/>
      <c r="Z427" s="3"/>
      <c r="AA427" s="3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2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3"/>
      <c r="Z428" s="3"/>
      <c r="AA428" s="3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2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3"/>
      <c r="Z429" s="3"/>
      <c r="AA429" s="3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2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3"/>
      <c r="Z430" s="3"/>
      <c r="AA430" s="3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2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3"/>
      <c r="Z431" s="3"/>
      <c r="AA431" s="3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2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3"/>
      <c r="Z432" s="3"/>
      <c r="AA432" s="3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2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3"/>
      <c r="Z433" s="3"/>
      <c r="AA433" s="3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2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3"/>
      <c r="Z434" s="3"/>
      <c r="AA434" s="3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2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3"/>
      <c r="Z435" s="3"/>
      <c r="AA435" s="3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2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3"/>
      <c r="Z436" s="3"/>
      <c r="AA436" s="3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2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3"/>
      <c r="Z437" s="3"/>
      <c r="AA437" s="3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2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3"/>
      <c r="Z438" s="3"/>
      <c r="AA438" s="3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2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3"/>
      <c r="Z439" s="3"/>
      <c r="AA439" s="3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2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3"/>
      <c r="Z440" s="3"/>
      <c r="AA440" s="3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2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3"/>
      <c r="Z441" s="3"/>
      <c r="AA441" s="3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2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3"/>
      <c r="Z442" s="3"/>
      <c r="AA442" s="3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2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3"/>
      <c r="Z443" s="3"/>
      <c r="AA443" s="3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2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3"/>
      <c r="Z444" s="3"/>
      <c r="AA444" s="3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2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3"/>
      <c r="Z445" s="3"/>
      <c r="AA445" s="3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2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3"/>
      <c r="Z446" s="3"/>
      <c r="AA446" s="3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2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3"/>
      <c r="Z447" s="3"/>
      <c r="AA447" s="3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2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3"/>
      <c r="Z448" s="3"/>
      <c r="AA448" s="3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2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3"/>
      <c r="Z449" s="3"/>
      <c r="AA449" s="3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2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3"/>
      <c r="Z450" s="3"/>
      <c r="AA450" s="3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2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3"/>
      <c r="Z451" s="3"/>
      <c r="AA451" s="3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2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3"/>
      <c r="Z452" s="3"/>
      <c r="AA452" s="3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2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3"/>
      <c r="Z453" s="3"/>
      <c r="AA453" s="3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2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3"/>
      <c r="Z454" s="3"/>
      <c r="AA454" s="3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2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3"/>
      <c r="Z455" s="3"/>
      <c r="AA455" s="3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2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3"/>
      <c r="Z456" s="3"/>
      <c r="AA456" s="3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2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3"/>
      <c r="Z457" s="3"/>
      <c r="AA457" s="3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2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3"/>
      <c r="Z458" s="3"/>
      <c r="AA458" s="3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2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3"/>
      <c r="Z459" s="3"/>
      <c r="AA459" s="3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2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3"/>
      <c r="Z460" s="3"/>
      <c r="AA460" s="3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2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3"/>
      <c r="Z461" s="3"/>
      <c r="AA461" s="3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2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3"/>
      <c r="Z462" s="3"/>
      <c r="AA462" s="3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2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3"/>
      <c r="Z463" s="3"/>
      <c r="AA463" s="3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2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3"/>
      <c r="Z464" s="3"/>
      <c r="AA464" s="3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2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3"/>
      <c r="Z465" s="3"/>
      <c r="AA465" s="3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2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3"/>
      <c r="Z466" s="3"/>
      <c r="AA466" s="3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2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3"/>
      <c r="Z467" s="3"/>
      <c r="AA467" s="3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2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3"/>
      <c r="Z468" s="3"/>
      <c r="AA468" s="3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2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3"/>
      <c r="Z469" s="3"/>
      <c r="AA469" s="3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2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3"/>
      <c r="Z470" s="3"/>
      <c r="AA470" s="3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2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3"/>
      <c r="Z471" s="3"/>
      <c r="AA471" s="3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2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3"/>
      <c r="Z472" s="3"/>
      <c r="AA472" s="3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2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3"/>
      <c r="Z473" s="3"/>
      <c r="AA473" s="3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2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3"/>
      <c r="Z474" s="3"/>
      <c r="AA474" s="3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2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3"/>
      <c r="Z475" s="3"/>
      <c r="AA475" s="3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2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3"/>
      <c r="Z476" s="3"/>
      <c r="AA476" s="3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2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3"/>
      <c r="Z477" s="3"/>
      <c r="AA477" s="3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2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3"/>
      <c r="Z478" s="3"/>
      <c r="AA478" s="3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2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3"/>
      <c r="Z479" s="3"/>
      <c r="AA479" s="3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2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3"/>
      <c r="Z480" s="3"/>
      <c r="AA480" s="3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2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3"/>
      <c r="Z481" s="3"/>
      <c r="AA481" s="3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2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3"/>
      <c r="Z482" s="3"/>
      <c r="AA482" s="3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2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3"/>
      <c r="Z483" s="3"/>
      <c r="AA483" s="3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2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3"/>
      <c r="Z484" s="3"/>
      <c r="AA484" s="3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2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3"/>
      <c r="Z485" s="3"/>
      <c r="AA485" s="3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2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3"/>
      <c r="Z486" s="3"/>
      <c r="AA486" s="3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2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3"/>
      <c r="Z487" s="3"/>
      <c r="AA487" s="3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2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3"/>
      <c r="Z488" s="3"/>
      <c r="AA488" s="3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2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3"/>
      <c r="Z489" s="3"/>
      <c r="AA489" s="3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2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3"/>
      <c r="Z490" s="3"/>
      <c r="AA490" s="3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2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3"/>
      <c r="Z491" s="3"/>
      <c r="AA491" s="3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2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3"/>
      <c r="Z492" s="3"/>
      <c r="AA492" s="3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2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3"/>
      <c r="Z493" s="3"/>
      <c r="AA493" s="3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2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3"/>
      <c r="Z494" s="3"/>
      <c r="AA494" s="3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2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3"/>
      <c r="Z495" s="3"/>
      <c r="AA495" s="3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2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3"/>
      <c r="Z496" s="3"/>
      <c r="AA496" s="3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2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3"/>
      <c r="Z497" s="3"/>
      <c r="AA497" s="3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2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3"/>
      <c r="Z498" s="3"/>
      <c r="AA498" s="3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2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3"/>
      <c r="Z499" s="3"/>
      <c r="AA499" s="3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2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3"/>
      <c r="Z500" s="3"/>
      <c r="AA500" s="3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2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3"/>
      <c r="Z501" s="3"/>
      <c r="AA501" s="3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2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3"/>
      <c r="Z502" s="3"/>
      <c r="AA502" s="3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2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3"/>
      <c r="Z503" s="3"/>
      <c r="AA503" s="3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2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3"/>
      <c r="Z504" s="3"/>
      <c r="AA504" s="3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2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3"/>
      <c r="Z505" s="3"/>
      <c r="AA505" s="3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2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3"/>
      <c r="Z506" s="3"/>
      <c r="AA506" s="3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2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3"/>
      <c r="Z507" s="3"/>
      <c r="AA507" s="3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2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3"/>
      <c r="Z508" s="3"/>
      <c r="AA508" s="3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2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3"/>
      <c r="Z509" s="3"/>
      <c r="AA509" s="3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2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3"/>
      <c r="Z510" s="3"/>
      <c r="AA510" s="3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2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3"/>
      <c r="Z511" s="3"/>
      <c r="AA511" s="3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2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3"/>
      <c r="Z512" s="3"/>
      <c r="AA512" s="3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2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3"/>
      <c r="Z513" s="3"/>
      <c r="AA513" s="3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2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3"/>
      <c r="Z514" s="3"/>
      <c r="AA514" s="3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2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3"/>
      <c r="Z515" s="3"/>
      <c r="AA515" s="3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2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3"/>
      <c r="Z516" s="3"/>
      <c r="AA516" s="3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2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3"/>
      <c r="Z517" s="3"/>
      <c r="AA517" s="3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2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3"/>
      <c r="Z518" s="3"/>
      <c r="AA518" s="3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2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3"/>
      <c r="Z519" s="3"/>
      <c r="AA519" s="3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2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3"/>
      <c r="Z520" s="3"/>
      <c r="AA520" s="3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2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3"/>
      <c r="Z521" s="3"/>
      <c r="AA521" s="3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2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3"/>
      <c r="Z522" s="3"/>
      <c r="AA522" s="3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2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3"/>
      <c r="Z523" s="3"/>
      <c r="AA523" s="3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2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3"/>
      <c r="Z524" s="3"/>
      <c r="AA524" s="3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2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3"/>
      <c r="Z525" s="3"/>
      <c r="AA525" s="3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2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3"/>
      <c r="Z526" s="3"/>
      <c r="AA526" s="3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2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3"/>
      <c r="Z527" s="3"/>
      <c r="AA527" s="3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2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3"/>
      <c r="Z528" s="3"/>
      <c r="AA528" s="3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2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3"/>
      <c r="Z529" s="3"/>
      <c r="AA529" s="3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2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3"/>
      <c r="Z530" s="3"/>
      <c r="AA530" s="3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2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3"/>
      <c r="Z531" s="3"/>
      <c r="AA531" s="3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2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3"/>
      <c r="Z532" s="3"/>
      <c r="AA532" s="3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2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3"/>
      <c r="Z533" s="3"/>
      <c r="AA533" s="3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2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3"/>
      <c r="Z534" s="3"/>
      <c r="AA534" s="3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2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3"/>
      <c r="Z535" s="3"/>
      <c r="AA535" s="3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2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3"/>
      <c r="Z536" s="3"/>
      <c r="AA536" s="3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2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3"/>
      <c r="Z537" s="3"/>
      <c r="AA537" s="3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2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3"/>
      <c r="Z538" s="3"/>
      <c r="AA538" s="3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2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3"/>
      <c r="Z539" s="3"/>
      <c r="AA539" s="3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2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3"/>
      <c r="Z540" s="3"/>
      <c r="AA540" s="3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2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3"/>
      <c r="Z541" s="3"/>
      <c r="AA541" s="3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2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3"/>
      <c r="Z542" s="3"/>
      <c r="AA542" s="3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2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3"/>
      <c r="Z543" s="3"/>
      <c r="AA543" s="3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2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3"/>
      <c r="Z544" s="3"/>
      <c r="AA544" s="3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2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3"/>
      <c r="Z545" s="3"/>
      <c r="AA545" s="3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2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3"/>
      <c r="Z546" s="3"/>
      <c r="AA546" s="3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2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3"/>
      <c r="Z547" s="3"/>
      <c r="AA547" s="3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2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3"/>
      <c r="Z548" s="3"/>
      <c r="AA548" s="3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2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3"/>
      <c r="Z549" s="3"/>
      <c r="AA549" s="3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2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3"/>
      <c r="Z550" s="3"/>
      <c r="AA550" s="3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2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3"/>
      <c r="Z551" s="3"/>
      <c r="AA551" s="3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2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3"/>
      <c r="Z552" s="3"/>
      <c r="AA552" s="3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2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3"/>
      <c r="Z553" s="3"/>
      <c r="AA553" s="3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2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3"/>
      <c r="Z554" s="3"/>
      <c r="AA554" s="3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2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3"/>
      <c r="Z555" s="3"/>
      <c r="AA555" s="3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2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3"/>
      <c r="Z556" s="3"/>
      <c r="AA556" s="3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2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3"/>
      <c r="Z557" s="3"/>
      <c r="AA557" s="3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2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3"/>
      <c r="Z558" s="3"/>
      <c r="AA558" s="3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2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3"/>
      <c r="Z559" s="3"/>
      <c r="AA559" s="3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2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3"/>
      <c r="Z560" s="3"/>
      <c r="AA560" s="3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2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3"/>
      <c r="Z561" s="3"/>
      <c r="AA561" s="3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2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3"/>
      <c r="Z562" s="3"/>
      <c r="AA562" s="3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2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3"/>
      <c r="Z563" s="3"/>
      <c r="AA563" s="3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2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3"/>
      <c r="Z564" s="3"/>
      <c r="AA564" s="3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2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3"/>
      <c r="Z565" s="3"/>
      <c r="AA565" s="3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2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3"/>
      <c r="Z566" s="3"/>
      <c r="AA566" s="3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2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3"/>
      <c r="Z567" s="3"/>
      <c r="AA567" s="3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2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3"/>
      <c r="Z568" s="3"/>
      <c r="AA568" s="3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2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3"/>
      <c r="Z569" s="3"/>
      <c r="AA569" s="3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2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3"/>
      <c r="Z570" s="3"/>
      <c r="AA570" s="3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2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3"/>
      <c r="Z571" s="3"/>
      <c r="AA571" s="3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2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3"/>
      <c r="Z572" s="3"/>
      <c r="AA572" s="3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2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3"/>
      <c r="Z573" s="3"/>
      <c r="AA573" s="3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2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3"/>
      <c r="Z574" s="3"/>
      <c r="AA574" s="3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2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3"/>
      <c r="Z575" s="3"/>
      <c r="AA575" s="3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2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3"/>
      <c r="Z576" s="3"/>
      <c r="AA576" s="3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2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3"/>
      <c r="Z577" s="3"/>
      <c r="AA577" s="3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2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3"/>
      <c r="Z578" s="3"/>
      <c r="AA578" s="3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2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3"/>
      <c r="Z579" s="3"/>
      <c r="AA579" s="3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2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3"/>
      <c r="Z580" s="3"/>
      <c r="AA580" s="3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2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3"/>
      <c r="Z581" s="3"/>
      <c r="AA581" s="3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2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3"/>
      <c r="Z582" s="3"/>
      <c r="AA582" s="3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2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3"/>
      <c r="Z583" s="3"/>
      <c r="AA583" s="3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2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3"/>
      <c r="Z584" s="3"/>
      <c r="AA584" s="3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2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3"/>
      <c r="Z585" s="3"/>
      <c r="AA585" s="3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"/>
      <c r="N586" s="2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3"/>
      <c r="Z586" s="3"/>
      <c r="AA586" s="3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"/>
      <c r="N587" s="2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3"/>
      <c r="Z587" s="3"/>
      <c r="AA587" s="3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"/>
      <c r="N588" s="2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3"/>
      <c r="Z588" s="3"/>
      <c r="AA588" s="3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"/>
      <c r="N589" s="2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3"/>
      <c r="Z589" s="3"/>
      <c r="AA589" s="3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"/>
      <c r="N590" s="2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3"/>
      <c r="Z590" s="3"/>
      <c r="AA590" s="3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"/>
      <c r="N591" s="2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3"/>
      <c r="Z591" s="3"/>
      <c r="AA591" s="3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"/>
      <c r="N592" s="2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3"/>
      <c r="Z592" s="3"/>
      <c r="AA592" s="3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"/>
      <c r="N593" s="2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3"/>
      <c r="Z593" s="3"/>
      <c r="AA593" s="3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"/>
      <c r="N594" s="2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3"/>
      <c r="Z594" s="3"/>
      <c r="AA594" s="3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"/>
      <c r="N595" s="2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3"/>
      <c r="Z595" s="3"/>
      <c r="AA595" s="3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"/>
      <c r="N596" s="2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3"/>
      <c r="Z596" s="3"/>
      <c r="AA596" s="3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"/>
      <c r="N597" s="2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3"/>
      <c r="Z597" s="3"/>
      <c r="AA597" s="3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"/>
      <c r="N598" s="2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3"/>
      <c r="Z598" s="3"/>
      <c r="AA598" s="3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"/>
      <c r="N599" s="2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3"/>
      <c r="Z599" s="3"/>
      <c r="AA599" s="3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2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3"/>
      <c r="Z600" s="3"/>
      <c r="AA600" s="3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"/>
      <c r="N601" s="2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3"/>
      <c r="Z601" s="3"/>
      <c r="AA601" s="3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"/>
      <c r="N602" s="2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3"/>
      <c r="Z602" s="3"/>
      <c r="AA602" s="3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"/>
      <c r="N603" s="2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3"/>
      <c r="Z603" s="3"/>
      <c r="AA603" s="3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"/>
      <c r="N604" s="2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3"/>
      <c r="Z604" s="3"/>
      <c r="AA604" s="3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"/>
      <c r="N605" s="2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3"/>
      <c r="Z605" s="3"/>
      <c r="AA605" s="3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"/>
      <c r="N606" s="2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3"/>
      <c r="Z606" s="3"/>
      <c r="AA606" s="3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"/>
      <c r="N607" s="2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3"/>
      <c r="Z607" s="3"/>
      <c r="AA607" s="3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"/>
      <c r="N608" s="2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3"/>
      <c r="Z608" s="3"/>
      <c r="AA608" s="3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"/>
      <c r="N609" s="2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3"/>
      <c r="Z609" s="3"/>
      <c r="AA609" s="3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"/>
      <c r="N610" s="2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3"/>
      <c r="Z610" s="3"/>
      <c r="AA610" s="3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"/>
      <c r="N611" s="2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3"/>
      <c r="Z611" s="3"/>
      <c r="AA611" s="3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"/>
      <c r="N612" s="2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3"/>
      <c r="Z612" s="3"/>
      <c r="AA612" s="3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"/>
      <c r="N613" s="2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3"/>
      <c r="Z613" s="3"/>
      <c r="AA613" s="3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"/>
      <c r="N614" s="2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3"/>
      <c r="Z614" s="3"/>
      <c r="AA614" s="3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"/>
      <c r="N615" s="2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3"/>
      <c r="Z615" s="3"/>
      <c r="AA615" s="3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"/>
      <c r="N616" s="2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3"/>
      <c r="Z616" s="3"/>
      <c r="AA616" s="3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"/>
      <c r="N617" s="2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3"/>
      <c r="Z617" s="3"/>
      <c r="AA617" s="3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"/>
      <c r="N618" s="2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3"/>
      <c r="Z618" s="3"/>
      <c r="AA618" s="3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"/>
      <c r="N619" s="2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3"/>
      <c r="Z619" s="3"/>
      <c r="AA619" s="3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"/>
      <c r="N620" s="2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3"/>
      <c r="Z620" s="3"/>
      <c r="AA620" s="3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"/>
      <c r="N621" s="2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3"/>
      <c r="Z621" s="3"/>
      <c r="AA621" s="3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"/>
      <c r="N622" s="2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3"/>
      <c r="Z622" s="3"/>
      <c r="AA622" s="3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"/>
      <c r="N623" s="2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3"/>
      <c r="Z623" s="3"/>
      <c r="AA623" s="3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"/>
      <c r="N624" s="2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3"/>
      <c r="Z624" s="3"/>
      <c r="AA624" s="3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"/>
      <c r="N625" s="2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3"/>
      <c r="Z625" s="3"/>
      <c r="AA625" s="3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"/>
      <c r="N626" s="2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3"/>
      <c r="Z626" s="3"/>
      <c r="AA626" s="3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"/>
      <c r="N627" s="2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3"/>
      <c r="Z627" s="3"/>
      <c r="AA627" s="3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"/>
      <c r="N628" s="2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3"/>
      <c r="Z628" s="3"/>
      <c r="AA628" s="3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"/>
      <c r="N629" s="2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3"/>
      <c r="Z629" s="3"/>
      <c r="AA629" s="3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"/>
      <c r="N630" s="2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3"/>
      <c r="Z630" s="3"/>
      <c r="AA630" s="3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"/>
      <c r="N631" s="2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3"/>
      <c r="Z631" s="3"/>
      <c r="AA631" s="3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"/>
      <c r="N632" s="2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3"/>
      <c r="Z632" s="3"/>
      <c r="AA632" s="3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"/>
      <c r="N633" s="2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3"/>
      <c r="Z633" s="3"/>
      <c r="AA633" s="3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"/>
      <c r="N634" s="2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3"/>
      <c r="Z634" s="3"/>
      <c r="AA634" s="3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"/>
      <c r="N635" s="2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3"/>
      <c r="Z635" s="3"/>
      <c r="AA635" s="3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"/>
      <c r="N636" s="2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3"/>
      <c r="Z636" s="3"/>
      <c r="AA636" s="3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"/>
      <c r="N637" s="2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3"/>
      <c r="Z637" s="3"/>
      <c r="AA637" s="3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"/>
      <c r="N638" s="2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3"/>
      <c r="Z638" s="3"/>
      <c r="AA638" s="3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"/>
      <c r="N639" s="2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3"/>
      <c r="Z639" s="3"/>
      <c r="AA639" s="3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"/>
      <c r="N640" s="2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3"/>
      <c r="Z640" s="3"/>
      <c r="AA640" s="3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"/>
      <c r="N641" s="2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3"/>
      <c r="Z641" s="3"/>
      <c r="AA641" s="3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"/>
      <c r="N642" s="2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3"/>
      <c r="Z642" s="3"/>
      <c r="AA642" s="3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"/>
      <c r="N643" s="2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3"/>
      <c r="Z643" s="3"/>
      <c r="AA643" s="3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"/>
      <c r="N644" s="2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3"/>
      <c r="Z644" s="3"/>
      <c r="AA644" s="3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2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3"/>
      <c r="Z645" s="3"/>
      <c r="AA645" s="3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2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3"/>
      <c r="Z646" s="3"/>
      <c r="AA646" s="3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2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3"/>
      <c r="Z647" s="3"/>
      <c r="AA647" s="3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2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3"/>
      <c r="Z648" s="3"/>
      <c r="AA648" s="3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2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3"/>
      <c r="Z649" s="3"/>
      <c r="AA649" s="3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2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3"/>
      <c r="Z650" s="3"/>
      <c r="AA650" s="3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2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3"/>
      <c r="Z651" s="3"/>
      <c r="AA651" s="3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2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3"/>
      <c r="Z652" s="3"/>
      <c r="AA652" s="3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2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3"/>
      <c r="Z653" s="3"/>
      <c r="AA653" s="3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2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3"/>
      <c r="Z654" s="3"/>
      <c r="AA654" s="3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2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3"/>
      <c r="Z655" s="3"/>
      <c r="AA655" s="3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2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3"/>
      <c r="Z656" s="3"/>
      <c r="AA656" s="3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2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3"/>
      <c r="Z657" s="3"/>
      <c r="AA657" s="3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2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3"/>
      <c r="Z658" s="3"/>
      <c r="AA658" s="3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2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3"/>
      <c r="Z659" s="3"/>
      <c r="AA659" s="3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2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3"/>
      <c r="Z660" s="3"/>
      <c r="AA660" s="3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2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3"/>
      <c r="Z661" s="3"/>
      <c r="AA661" s="3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2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3"/>
      <c r="Z662" s="3"/>
      <c r="AA662" s="3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2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3"/>
      <c r="Z663" s="3"/>
      <c r="AA663" s="3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2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3"/>
      <c r="Z664" s="3"/>
      <c r="AA664" s="3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2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3"/>
      <c r="Z665" s="3"/>
      <c r="AA665" s="3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2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3"/>
      <c r="Z666" s="3"/>
      <c r="AA666" s="3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2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3"/>
      <c r="Z667" s="3"/>
      <c r="AA667" s="3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2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3"/>
      <c r="Z668" s="3"/>
      <c r="AA668" s="3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2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3"/>
      <c r="Z669" s="3"/>
      <c r="AA669" s="3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2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3"/>
      <c r="Z670" s="3"/>
      <c r="AA670" s="3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2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3"/>
      <c r="Z671" s="3"/>
      <c r="AA671" s="3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2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3"/>
      <c r="Z672" s="3"/>
      <c r="AA672" s="3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2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3"/>
      <c r="Z673" s="3"/>
      <c r="AA673" s="3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2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3"/>
      <c r="Z674" s="3"/>
      <c r="AA674" s="3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2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3"/>
      <c r="Z675" s="3"/>
      <c r="AA675" s="3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2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3"/>
      <c r="Z676" s="3"/>
      <c r="AA676" s="3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2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3"/>
      <c r="Z677" s="3"/>
      <c r="AA677" s="3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2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3"/>
      <c r="Z678" s="3"/>
      <c r="AA678" s="3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2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3"/>
      <c r="Z679" s="3"/>
      <c r="AA679" s="3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2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3"/>
      <c r="Z680" s="3"/>
      <c r="AA680" s="3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2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3"/>
      <c r="Z681" s="3"/>
      <c r="AA681" s="3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2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3"/>
      <c r="Z682" s="3"/>
      <c r="AA682" s="3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2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3"/>
      <c r="Z683" s="3"/>
      <c r="AA683" s="3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2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3"/>
      <c r="Z684" s="3"/>
      <c r="AA684" s="3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2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3"/>
      <c r="Z685" s="3"/>
      <c r="AA685" s="3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2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3"/>
      <c r="Z686" s="3"/>
      <c r="AA686" s="3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2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3"/>
      <c r="Z687" s="3"/>
      <c r="AA687" s="3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2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3"/>
      <c r="Z688" s="3"/>
      <c r="AA688" s="3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2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3"/>
      <c r="Z689" s="3"/>
      <c r="AA689" s="3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2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3"/>
      <c r="Z690" s="3"/>
      <c r="AA690" s="3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2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3"/>
      <c r="Z691" s="3"/>
      <c r="AA691" s="3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2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3"/>
      <c r="Z692" s="3"/>
      <c r="AA692" s="3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2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3"/>
      <c r="Z693" s="3"/>
      <c r="AA693" s="3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2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3"/>
      <c r="Z694" s="3"/>
      <c r="AA694" s="3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2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3"/>
      <c r="Z695" s="3"/>
      <c r="AA695" s="3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2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3"/>
      <c r="Z696" s="3"/>
      <c r="AA696" s="3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2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3"/>
      <c r="Z697" s="3"/>
      <c r="AA697" s="3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2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3"/>
      <c r="Z698" s="3"/>
      <c r="AA698" s="3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2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3"/>
      <c r="Z699" s="3"/>
      <c r="AA699" s="3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2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3"/>
      <c r="Z700" s="3"/>
      <c r="AA700" s="3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2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3"/>
      <c r="Z701" s="3"/>
      <c r="AA701" s="3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2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3"/>
      <c r="Z702" s="3"/>
      <c r="AA702" s="3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2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3"/>
      <c r="Z703" s="3"/>
      <c r="AA703" s="3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2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3"/>
      <c r="Z704" s="3"/>
      <c r="AA704" s="3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2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3"/>
      <c r="Z705" s="3"/>
      <c r="AA705" s="3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2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3"/>
      <c r="Z706" s="3"/>
      <c r="AA706" s="3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2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3"/>
      <c r="Z707" s="3"/>
      <c r="AA707" s="3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2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3"/>
      <c r="Z708" s="3"/>
      <c r="AA708" s="3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2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3"/>
      <c r="Z709" s="3"/>
      <c r="AA709" s="3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2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3"/>
      <c r="Z710" s="3"/>
      <c r="AA710" s="3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2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3"/>
      <c r="Z711" s="3"/>
      <c r="AA711" s="3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2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3"/>
      <c r="Z712" s="3"/>
      <c r="AA712" s="3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2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3"/>
      <c r="Z713" s="3"/>
      <c r="AA713" s="3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2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3"/>
      <c r="Z714" s="3"/>
      <c r="AA714" s="3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2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3"/>
      <c r="Z715" s="3"/>
      <c r="AA715" s="3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2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3"/>
      <c r="Z716" s="3"/>
      <c r="AA716" s="3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2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3"/>
      <c r="Z717" s="3"/>
      <c r="AA717" s="3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2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3"/>
      <c r="Z718" s="3"/>
      <c r="AA718" s="3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2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3"/>
      <c r="Z719" s="3"/>
      <c r="AA719" s="3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2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3"/>
      <c r="Z720" s="3"/>
      <c r="AA720" s="3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2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3"/>
      <c r="Z721" s="3"/>
      <c r="AA721" s="3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2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3"/>
      <c r="Z722" s="3"/>
      <c r="AA722" s="3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2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3"/>
      <c r="Z723" s="3"/>
      <c r="AA723" s="3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2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3"/>
      <c r="Z724" s="3"/>
      <c r="AA724" s="3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2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3"/>
      <c r="Z725" s="3"/>
      <c r="AA725" s="3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2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3"/>
      <c r="Z726" s="3"/>
      <c r="AA726" s="3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2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3"/>
      <c r="Z727" s="3"/>
      <c r="AA727" s="3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2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3"/>
      <c r="Z728" s="3"/>
      <c r="AA728" s="3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2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3"/>
      <c r="Z729" s="3"/>
      <c r="AA729" s="3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2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3"/>
      <c r="Z730" s="3"/>
      <c r="AA730" s="3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2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3"/>
      <c r="Z731" s="3"/>
      <c r="AA731" s="3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2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3"/>
      <c r="Z732" s="3"/>
      <c r="AA732" s="3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2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3"/>
      <c r="Z733" s="3"/>
      <c r="AA733" s="3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2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3"/>
      <c r="Z734" s="3"/>
      <c r="AA734" s="3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2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3"/>
      <c r="Z735" s="3"/>
      <c r="AA735" s="3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2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3"/>
      <c r="Z736" s="3"/>
      <c r="AA736" s="3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2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3"/>
      <c r="Z737" s="3"/>
      <c r="AA737" s="3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2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3"/>
      <c r="Z738" s="3"/>
      <c r="AA738" s="3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2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3"/>
      <c r="Z739" s="3"/>
      <c r="AA739" s="3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2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3"/>
      <c r="Z740" s="3"/>
      <c r="AA740" s="3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2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3"/>
      <c r="Z741" s="3"/>
      <c r="AA741" s="3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2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3"/>
      <c r="Z742" s="3"/>
      <c r="AA742" s="3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2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3"/>
      <c r="Z743" s="3"/>
      <c r="AA743" s="3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2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3"/>
      <c r="Z744" s="3"/>
      <c r="AA744" s="3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2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3"/>
      <c r="Z745" s="3"/>
      <c r="AA745" s="3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2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3"/>
      <c r="Z746" s="3"/>
      <c r="AA746" s="3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2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3"/>
      <c r="Z747" s="3"/>
      <c r="AA747" s="3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2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3"/>
      <c r="Z748" s="3"/>
      <c r="AA748" s="3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2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3"/>
      <c r="Z749" s="3"/>
      <c r="AA749" s="3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2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3"/>
      <c r="Z750" s="3"/>
      <c r="AA750" s="3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2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3"/>
      <c r="Z751" s="3"/>
      <c r="AA751" s="3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2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3"/>
      <c r="Z752" s="3"/>
      <c r="AA752" s="3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2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3"/>
      <c r="Z753" s="3"/>
      <c r="AA753" s="3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2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3"/>
      <c r="Z754" s="3"/>
      <c r="AA754" s="3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2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3"/>
      <c r="Z755" s="3"/>
      <c r="AA755" s="3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2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3"/>
      <c r="Z756" s="3"/>
      <c r="AA756" s="3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2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3"/>
      <c r="Z757" s="3"/>
      <c r="AA757" s="3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2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3"/>
      <c r="Z758" s="3"/>
      <c r="AA758" s="3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2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3"/>
      <c r="Z759" s="3"/>
      <c r="AA759" s="3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2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3"/>
      <c r="Z760" s="3"/>
      <c r="AA760" s="3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2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3"/>
      <c r="Z761" s="3"/>
      <c r="AA761" s="3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2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3"/>
      <c r="Z762" s="3"/>
      <c r="AA762" s="3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2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3"/>
      <c r="Z763" s="3"/>
      <c r="AA763" s="3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2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3"/>
      <c r="Z764" s="3"/>
      <c r="AA764" s="3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2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3"/>
      <c r="Z765" s="3"/>
      <c r="AA765" s="3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2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3"/>
      <c r="Z766" s="3"/>
      <c r="AA766" s="3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2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3"/>
      <c r="Z767" s="3"/>
      <c r="AA767" s="3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2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3"/>
      <c r="Z768" s="3"/>
      <c r="AA768" s="3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2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3"/>
      <c r="Z769" s="3"/>
      <c r="AA769" s="3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2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3"/>
      <c r="Z770" s="3"/>
      <c r="AA770" s="3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2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3"/>
      <c r="Z771" s="3"/>
      <c r="AA771" s="3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2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3"/>
      <c r="Z772" s="3"/>
      <c r="AA772" s="3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2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3"/>
      <c r="Z773" s="3"/>
      <c r="AA773" s="3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2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3"/>
      <c r="Z774" s="3"/>
      <c r="AA774" s="3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2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3"/>
      <c r="Z775" s="3"/>
      <c r="AA775" s="3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2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3"/>
      <c r="Z776" s="3"/>
      <c r="AA776" s="3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2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3"/>
      <c r="Z777" s="3"/>
      <c r="AA777" s="3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2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3"/>
      <c r="Z778" s="3"/>
      <c r="AA778" s="3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2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3"/>
      <c r="Z779" s="3"/>
      <c r="AA779" s="3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2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3"/>
      <c r="Z780" s="3"/>
      <c r="AA780" s="3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2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3"/>
      <c r="Z781" s="3"/>
      <c r="AA781" s="3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2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3"/>
      <c r="Z782" s="3"/>
      <c r="AA782" s="3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2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3"/>
      <c r="Z783" s="3"/>
      <c r="AA783" s="3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2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3"/>
      <c r="Z784" s="3"/>
      <c r="AA784" s="3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2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3"/>
      <c r="Z785" s="3"/>
      <c r="AA785" s="3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2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3"/>
      <c r="Z786" s="3"/>
      <c r="AA786" s="3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2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3"/>
      <c r="Z787" s="3"/>
      <c r="AA787" s="3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2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3"/>
      <c r="Z788" s="3"/>
      <c r="AA788" s="3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2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3"/>
      <c r="Z789" s="3"/>
      <c r="AA789" s="3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2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3"/>
      <c r="Z790" s="3"/>
      <c r="AA790" s="3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2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3"/>
      <c r="Z791" s="3"/>
      <c r="AA791" s="3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2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3"/>
      <c r="Z792" s="3"/>
      <c r="AA792" s="3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2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3"/>
      <c r="Z793" s="3"/>
      <c r="AA793" s="3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2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3"/>
      <c r="Z794" s="3"/>
      <c r="AA794" s="3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2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3"/>
      <c r="Z795" s="3"/>
      <c r="AA795" s="3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2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3"/>
      <c r="Z796" s="3"/>
      <c r="AA796" s="3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2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3"/>
      <c r="Z797" s="3"/>
      <c r="AA797" s="3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2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3"/>
      <c r="Z798" s="3"/>
      <c r="AA798" s="3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2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3"/>
      <c r="Z799" s="3"/>
      <c r="AA799" s="3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2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3"/>
      <c r="Z800" s="3"/>
      <c r="AA800" s="3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2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3"/>
      <c r="Z801" s="3"/>
      <c r="AA801" s="3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2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3"/>
      <c r="Z802" s="3"/>
      <c r="AA802" s="3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2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3"/>
      <c r="Z803" s="3"/>
      <c r="AA803" s="3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2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3"/>
      <c r="Z804" s="3"/>
      <c r="AA804" s="3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2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3"/>
      <c r="Z805" s="3"/>
      <c r="AA805" s="3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2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3"/>
      <c r="Z806" s="3"/>
      <c r="AA806" s="3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2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3"/>
      <c r="Z807" s="3"/>
      <c r="AA807" s="3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2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3"/>
      <c r="Z808" s="3"/>
      <c r="AA808" s="3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2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3"/>
      <c r="Z809" s="3"/>
      <c r="AA809" s="3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2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3"/>
      <c r="Z810" s="3"/>
      <c r="AA810" s="3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2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3"/>
      <c r="Z811" s="3"/>
      <c r="AA811" s="3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2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3"/>
      <c r="Z812" s="3"/>
      <c r="AA812" s="3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2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3"/>
      <c r="Z813" s="3"/>
      <c r="AA813" s="3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2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3"/>
      <c r="Z814" s="3"/>
      <c r="AA814" s="3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2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3"/>
      <c r="Z815" s="3"/>
      <c r="AA815" s="3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2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3"/>
      <c r="Z816" s="3"/>
      <c r="AA816" s="3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2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3"/>
      <c r="Z817" s="3"/>
      <c r="AA817" s="3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2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3"/>
      <c r="Z818" s="3"/>
      <c r="AA818" s="3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2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3"/>
      <c r="Z819" s="3"/>
      <c r="AA819" s="3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2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3"/>
      <c r="Z820" s="3"/>
      <c r="AA820" s="3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2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3"/>
      <c r="Z821" s="3"/>
      <c r="AA821" s="3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2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3"/>
      <c r="Z822" s="3"/>
      <c r="AA822" s="3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2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3"/>
      <c r="Z823" s="3"/>
      <c r="AA823" s="3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2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3"/>
      <c r="Z824" s="3"/>
      <c r="AA824" s="3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2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3"/>
      <c r="Z825" s="3"/>
      <c r="AA825" s="3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2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3"/>
      <c r="Z826" s="3"/>
      <c r="AA826" s="3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2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3"/>
      <c r="Z827" s="3"/>
      <c r="AA827" s="3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2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3"/>
      <c r="Z828" s="3"/>
      <c r="AA828" s="3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2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3"/>
      <c r="Z829" s="3"/>
      <c r="AA829" s="3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2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3"/>
      <c r="Z830" s="3"/>
      <c r="AA830" s="3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2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3"/>
      <c r="Z831" s="3"/>
      <c r="AA831" s="3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2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3"/>
      <c r="Z832" s="3"/>
      <c r="AA832" s="3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2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3"/>
      <c r="Z833" s="3"/>
      <c r="AA833" s="3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2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3"/>
      <c r="Z834" s="3"/>
      <c r="AA834" s="3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2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3"/>
      <c r="Z835" s="3"/>
      <c r="AA835" s="3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2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3"/>
      <c r="Z836" s="3"/>
      <c r="AA836" s="3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2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3"/>
      <c r="Z837" s="3"/>
      <c r="AA837" s="3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2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3"/>
      <c r="Z838" s="3"/>
      <c r="AA838" s="3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2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3"/>
      <c r="Z839" s="3"/>
      <c r="AA839" s="3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2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3"/>
      <c r="Z840" s="3"/>
      <c r="AA840" s="3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2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3"/>
      <c r="Z841" s="3"/>
      <c r="AA841" s="3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2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3"/>
      <c r="Z842" s="3"/>
      <c r="AA842" s="3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2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3"/>
      <c r="Z843" s="3"/>
      <c r="AA843" s="3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2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3"/>
      <c r="Z844" s="3"/>
      <c r="AA844" s="3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2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3"/>
      <c r="Z845" s="3"/>
      <c r="AA845" s="3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2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3"/>
      <c r="Z846" s="3"/>
      <c r="AA846" s="3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2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3"/>
      <c r="Z847" s="3"/>
      <c r="AA847" s="3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2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3"/>
      <c r="Z848" s="3"/>
      <c r="AA848" s="3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2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3"/>
      <c r="Z849" s="3"/>
      <c r="AA849" s="3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2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3"/>
      <c r="Z850" s="3"/>
      <c r="AA850" s="3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2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3"/>
      <c r="Z851" s="3"/>
      <c r="AA851" s="3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2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3"/>
      <c r="Z852" s="3"/>
      <c r="AA852" s="3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2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3"/>
      <c r="Z853" s="3"/>
      <c r="AA853" s="3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2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3"/>
      <c r="Z854" s="3"/>
      <c r="AA854" s="3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2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3"/>
      <c r="Z855" s="3"/>
      <c r="AA855" s="3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2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3"/>
      <c r="Z856" s="3"/>
      <c r="AA856" s="3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2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3"/>
      <c r="Z857" s="3"/>
      <c r="AA857" s="3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2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3"/>
      <c r="Z858" s="3"/>
      <c r="AA858" s="3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2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3"/>
      <c r="Z859" s="3"/>
      <c r="AA859" s="3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2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3"/>
      <c r="Z860" s="3"/>
      <c r="AA860" s="3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2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3"/>
      <c r="Z861" s="3"/>
      <c r="AA861" s="3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2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3"/>
      <c r="Z862" s="3"/>
      <c r="AA862" s="3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2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3"/>
      <c r="Z863" s="3"/>
      <c r="AA863" s="3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2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3"/>
      <c r="Z864" s="3"/>
      <c r="AA864" s="3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2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3"/>
      <c r="Z865" s="3"/>
      <c r="AA865" s="3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2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3"/>
      <c r="Z866" s="3"/>
      <c r="AA866" s="3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2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3"/>
      <c r="Z867" s="3"/>
      <c r="AA867" s="3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2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3"/>
      <c r="Z868" s="3"/>
      <c r="AA868" s="3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2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3"/>
      <c r="Z869" s="3"/>
      <c r="AA869" s="3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2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3"/>
      <c r="Z870" s="3"/>
      <c r="AA870" s="3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2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3"/>
      <c r="Z871" s="3"/>
      <c r="AA871" s="3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2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3"/>
      <c r="Z872" s="3"/>
      <c r="AA872" s="3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2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3"/>
      <c r="Z873" s="3"/>
      <c r="AA873" s="3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2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3"/>
      <c r="Z874" s="3"/>
      <c r="AA874" s="3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2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3"/>
      <c r="Z875" s="3"/>
      <c r="AA875" s="3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2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3"/>
      <c r="Z876" s="3"/>
      <c r="AA876" s="3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2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3"/>
      <c r="Z877" s="3"/>
      <c r="AA877" s="3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2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3"/>
      <c r="Z878" s="3"/>
      <c r="AA878" s="3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2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3"/>
      <c r="Z879" s="3"/>
      <c r="AA879" s="3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2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3"/>
      <c r="Z880" s="3"/>
      <c r="AA880" s="3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2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3"/>
      <c r="Z881" s="3"/>
      <c r="AA881" s="3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2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3"/>
      <c r="Z882" s="3"/>
      <c r="AA882" s="3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2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3"/>
      <c r="Z883" s="3"/>
      <c r="AA883" s="3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2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3"/>
      <c r="Z884" s="3"/>
      <c r="AA884" s="3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2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3"/>
      <c r="Z885" s="3"/>
      <c r="AA885" s="3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2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3"/>
      <c r="Z886" s="3"/>
      <c r="AA886" s="3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2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3"/>
      <c r="Z887" s="3"/>
      <c r="AA887" s="3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2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3"/>
      <c r="Z888" s="3"/>
      <c r="AA888" s="3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2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3"/>
      <c r="Z889" s="3"/>
      <c r="AA889" s="3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2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3"/>
      <c r="Z890" s="3"/>
      <c r="AA890" s="3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2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3"/>
      <c r="Z891" s="3"/>
      <c r="AA891" s="3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2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3"/>
      <c r="Z892" s="3"/>
      <c r="AA892" s="3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2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3"/>
      <c r="Z893" s="3"/>
      <c r="AA893" s="3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2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3"/>
      <c r="Z894" s="3"/>
      <c r="AA894" s="3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2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3"/>
      <c r="Z895" s="3"/>
      <c r="AA895" s="3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2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3"/>
      <c r="Z896" s="3"/>
      <c r="AA896" s="3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2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3"/>
      <c r="Z897" s="3"/>
      <c r="AA897" s="3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2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3"/>
      <c r="Z898" s="3"/>
      <c r="AA898" s="3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2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3"/>
      <c r="Z899" s="3"/>
      <c r="AA899" s="3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2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3"/>
      <c r="Z900" s="3"/>
      <c r="AA900" s="3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2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3"/>
      <c r="Z901" s="3"/>
      <c r="AA901" s="3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2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3"/>
      <c r="Z902" s="3"/>
      <c r="AA902" s="3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2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3"/>
      <c r="Z903" s="3"/>
      <c r="AA903" s="3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2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3"/>
      <c r="Z904" s="3"/>
      <c r="AA904" s="3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2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3"/>
      <c r="Z905" s="3"/>
      <c r="AA905" s="3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2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3"/>
      <c r="Z906" s="3"/>
      <c r="AA906" s="3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2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3"/>
      <c r="Z907" s="3"/>
      <c r="AA907" s="3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2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3"/>
      <c r="Z908" s="3"/>
      <c r="AA908" s="3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2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3"/>
      <c r="Z909" s="3"/>
      <c r="AA909" s="3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2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3"/>
      <c r="Z910" s="3"/>
      <c r="AA910" s="3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2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3"/>
      <c r="Z911" s="3"/>
      <c r="AA911" s="3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2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3"/>
      <c r="Z912" s="3"/>
      <c r="AA912" s="3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2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3"/>
      <c r="Z913" s="3"/>
      <c r="AA913" s="3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2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3"/>
      <c r="Z914" s="3"/>
      <c r="AA914" s="3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2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3"/>
      <c r="Z915" s="3"/>
      <c r="AA915" s="3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2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3"/>
      <c r="Z916" s="3"/>
      <c r="AA916" s="3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2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3"/>
      <c r="Z917" s="3"/>
      <c r="AA917" s="3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2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3"/>
      <c r="Z918" s="3"/>
      <c r="AA918" s="3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2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3"/>
      <c r="Z919" s="3"/>
      <c r="AA919" s="3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2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3"/>
      <c r="Z920" s="3"/>
      <c r="AA920" s="3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2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3"/>
      <c r="Z921" s="3"/>
      <c r="AA921" s="3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2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3"/>
      <c r="Z922" s="3"/>
      <c r="AA922" s="3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2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3"/>
      <c r="Z923" s="3"/>
      <c r="AA923" s="3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2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3"/>
      <c r="Z924" s="3"/>
      <c r="AA924" s="3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2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3"/>
      <c r="Z925" s="3"/>
      <c r="AA925" s="3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2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3"/>
      <c r="Z926" s="3"/>
      <c r="AA926" s="3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2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3"/>
      <c r="Z927" s="3"/>
      <c r="AA927" s="3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2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3"/>
      <c r="Z928" s="3"/>
      <c r="AA928" s="3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2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3"/>
      <c r="Z929" s="3"/>
      <c r="AA929" s="3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2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3"/>
      <c r="Z930" s="3"/>
      <c r="AA930" s="3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2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3"/>
      <c r="Z931" s="3"/>
      <c r="AA931" s="3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2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3"/>
      <c r="Z932" s="3"/>
      <c r="AA932" s="3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2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3"/>
      <c r="Z933" s="3"/>
      <c r="AA933" s="3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2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3"/>
      <c r="Z934" s="3"/>
      <c r="AA934" s="3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2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3"/>
      <c r="Z935" s="3"/>
      <c r="AA935" s="3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2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3"/>
      <c r="Z936" s="3"/>
      <c r="AA936" s="3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2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3"/>
      <c r="Z937" s="3"/>
      <c r="AA937" s="3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2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3"/>
      <c r="Z938" s="3"/>
      <c r="AA938" s="3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2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3"/>
      <c r="Z939" s="3"/>
      <c r="AA939" s="3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2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3"/>
      <c r="Z940" s="3"/>
      <c r="AA940" s="3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2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3"/>
      <c r="Z941" s="3"/>
      <c r="AA941" s="3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2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3"/>
      <c r="Z942" s="3"/>
      <c r="AA942" s="3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2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3"/>
      <c r="Z943" s="3"/>
      <c r="AA943" s="3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2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3"/>
      <c r="Z944" s="3"/>
      <c r="AA944" s="3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2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3"/>
      <c r="Z945" s="3"/>
      <c r="AA945" s="3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2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3"/>
      <c r="Z946" s="3"/>
      <c r="AA946" s="3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2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3"/>
      <c r="Z947" s="3"/>
      <c r="AA947" s="3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2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3"/>
      <c r="Z948" s="3"/>
      <c r="AA948" s="3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2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3"/>
      <c r="Z949" s="3"/>
      <c r="AA949" s="3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2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3"/>
      <c r="Z950" s="3"/>
      <c r="AA950" s="3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2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3"/>
      <c r="Z951" s="3"/>
      <c r="AA951" s="3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2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3"/>
      <c r="Z952" s="3"/>
      <c r="AA952" s="3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2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3"/>
      <c r="Z953" s="3"/>
      <c r="AA953" s="3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2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3"/>
      <c r="Z954" s="3"/>
      <c r="AA954" s="3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2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3"/>
      <c r="Z955" s="3"/>
      <c r="AA955" s="3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2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3"/>
      <c r="Z956" s="3"/>
      <c r="AA956" s="3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2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3"/>
      <c r="Z957" s="3"/>
      <c r="AA957" s="3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2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3"/>
      <c r="Z958" s="3"/>
      <c r="AA958" s="3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2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3"/>
      <c r="Z959" s="3"/>
      <c r="AA959" s="3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2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3"/>
      <c r="Z960" s="3"/>
      <c r="AA960" s="3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2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3"/>
      <c r="Z961" s="3"/>
      <c r="AA961" s="3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2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3"/>
      <c r="Z962" s="3"/>
      <c r="AA962" s="3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2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3"/>
      <c r="Z963" s="3"/>
      <c r="AA963" s="3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2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3"/>
      <c r="Z964" s="3"/>
      <c r="AA964" s="3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2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3"/>
      <c r="Z965" s="3"/>
      <c r="AA965" s="3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2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3"/>
      <c r="Z966" s="3"/>
      <c r="AA966" s="3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2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3"/>
      <c r="Z967" s="3"/>
      <c r="AA967" s="3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2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3"/>
      <c r="Z968" s="3"/>
      <c r="AA968" s="3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2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3"/>
      <c r="Z969" s="3"/>
      <c r="AA969" s="3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"/>
      <c r="N970" s="2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3"/>
      <c r="Z970" s="3"/>
      <c r="AA970" s="3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"/>
      <c r="N971" s="2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3"/>
      <c r="Z971" s="3"/>
      <c r="AA971" s="3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"/>
      <c r="N972" s="2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3"/>
      <c r="Z972" s="3"/>
      <c r="AA972" s="3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"/>
      <c r="N973" s="2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3"/>
      <c r="Z973" s="3"/>
      <c r="AA973" s="3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"/>
      <c r="N974" s="2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3"/>
      <c r="Z974" s="3"/>
      <c r="AA974" s="3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"/>
      <c r="N975" s="2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3"/>
      <c r="Z975" s="3"/>
      <c r="AA975" s="3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"/>
      <c r="N976" s="2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3"/>
      <c r="Z976" s="3"/>
      <c r="AA976" s="3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"/>
      <c r="N977" s="2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3"/>
      <c r="Z977" s="3"/>
      <c r="AA977" s="3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"/>
      <c r="N978" s="2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3"/>
      <c r="Z978" s="3"/>
      <c r="AA978" s="3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"/>
      <c r="N979" s="2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3"/>
      <c r="Z979" s="3"/>
      <c r="AA979" s="3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"/>
      <c r="N980" s="2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3"/>
      <c r="Z980" s="3"/>
      <c r="AA980" s="3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"/>
      <c r="N981" s="2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3"/>
      <c r="Z981" s="3"/>
      <c r="AA981" s="3"/>
    </row>
  </sheetData>
  <mergeCells count="169">
    <mergeCell ref="B17:B18"/>
    <mergeCell ref="B19:B20"/>
    <mergeCell ref="D21:E22"/>
    <mergeCell ref="H21:I22"/>
    <mergeCell ref="L21:L22"/>
    <mergeCell ref="M21:M22"/>
    <mergeCell ref="N21:N22"/>
    <mergeCell ref="L25:L26"/>
    <mergeCell ref="L27:L28"/>
    <mergeCell ref="M27:M28"/>
    <mergeCell ref="N27:N28"/>
    <mergeCell ref="L23:L24"/>
    <mergeCell ref="L30:L31"/>
    <mergeCell ref="M30:M31"/>
    <mergeCell ref="N30:N31"/>
    <mergeCell ref="M23:M24"/>
    <mergeCell ref="N23:N24"/>
    <mergeCell ref="B25:B26"/>
    <mergeCell ref="M25:M26"/>
    <mergeCell ref="N25:N26"/>
    <mergeCell ref="B27:B28"/>
    <mergeCell ref="B30:B31"/>
    <mergeCell ref="Z2:Z3"/>
    <mergeCell ref="AA2:AA3"/>
    <mergeCell ref="H4:I4"/>
    <mergeCell ref="J4:K4"/>
    <mergeCell ref="N4:N5"/>
    <mergeCell ref="O4:O5"/>
    <mergeCell ref="R4:R5"/>
    <mergeCell ref="S4:T5"/>
    <mergeCell ref="B6:AA6"/>
    <mergeCell ref="D4:E4"/>
    <mergeCell ref="F4:G4"/>
    <mergeCell ref="B7:B8"/>
    <mergeCell ref="B9:B10"/>
    <mergeCell ref="B11:B12"/>
    <mergeCell ref="B13:B14"/>
    <mergeCell ref="B15:B16"/>
    <mergeCell ref="B21:B22"/>
    <mergeCell ref="B23:B24"/>
    <mergeCell ref="B34:C34"/>
    <mergeCell ref="B35:C35"/>
    <mergeCell ref="B36:C36"/>
    <mergeCell ref="B37:C37"/>
    <mergeCell ref="S25:U26"/>
    <mergeCell ref="S27:U28"/>
    <mergeCell ref="V27:X28"/>
    <mergeCell ref="Y27:Y28"/>
    <mergeCell ref="B29:AA29"/>
    <mergeCell ref="B32:AA32"/>
    <mergeCell ref="B33:AA33"/>
    <mergeCell ref="D3:G3"/>
    <mergeCell ref="H3:K3"/>
    <mergeCell ref="U4:V5"/>
    <mergeCell ref="W4:X5"/>
    <mergeCell ref="B2:C5"/>
    <mergeCell ref="D2:K2"/>
    <mergeCell ref="L2:N3"/>
    <mergeCell ref="O2:P3"/>
    <mergeCell ref="Q2:R3"/>
    <mergeCell ref="S2:X3"/>
    <mergeCell ref="Y2:Y3"/>
    <mergeCell ref="V9:X10"/>
    <mergeCell ref="S11:X12"/>
    <mergeCell ref="Y11:Y12"/>
    <mergeCell ref="P4:P5"/>
    <mergeCell ref="Q4:Q5"/>
    <mergeCell ref="S7:U8"/>
    <mergeCell ref="V7:X8"/>
    <mergeCell ref="Y7:Y8"/>
    <mergeCell ref="S9:U10"/>
    <mergeCell ref="Y9:Y10"/>
    <mergeCell ref="L4:L5"/>
    <mergeCell ref="M4:M5"/>
    <mergeCell ref="L7:L8"/>
    <mergeCell ref="M7:M8"/>
    <mergeCell ref="N7:N8"/>
    <mergeCell ref="M9:M10"/>
    <mergeCell ref="N9:N10"/>
    <mergeCell ref="L9:L10"/>
    <mergeCell ref="L11:L12"/>
    <mergeCell ref="M11:M12"/>
    <mergeCell ref="N11:N12"/>
    <mergeCell ref="L13:L14"/>
    <mergeCell ref="M13:M14"/>
    <mergeCell ref="N13:N14"/>
    <mergeCell ref="S17:U18"/>
    <mergeCell ref="V17:X18"/>
    <mergeCell ref="L15:L16"/>
    <mergeCell ref="M15:M16"/>
    <mergeCell ref="N15:N16"/>
    <mergeCell ref="S15:U16"/>
    <mergeCell ref="V15:X16"/>
    <mergeCell ref="Y15:Y16"/>
    <mergeCell ref="L17:L18"/>
    <mergeCell ref="Y17:Y18"/>
    <mergeCell ref="V19:X20"/>
    <mergeCell ref="S21:X22"/>
    <mergeCell ref="Y21:Y22"/>
    <mergeCell ref="M17:M18"/>
    <mergeCell ref="N17:N18"/>
    <mergeCell ref="L19:L20"/>
    <mergeCell ref="M19:M20"/>
    <mergeCell ref="N19:N20"/>
    <mergeCell ref="S19:U20"/>
    <mergeCell ref="Y19:Y20"/>
    <mergeCell ref="S30:U31"/>
    <mergeCell ref="V30:X31"/>
    <mergeCell ref="Y30:Y31"/>
    <mergeCell ref="S13:X14"/>
    <mergeCell ref="Y13:Y14"/>
    <mergeCell ref="S23:U24"/>
    <mergeCell ref="V23:X24"/>
    <mergeCell ref="Y23:Y24"/>
    <mergeCell ref="V25:X26"/>
    <mergeCell ref="Y25:Y26"/>
    <mergeCell ref="S55:X55"/>
    <mergeCell ref="S56:X56"/>
    <mergeCell ref="S48:X48"/>
    <mergeCell ref="S49:X49"/>
    <mergeCell ref="S50:X50"/>
    <mergeCell ref="S51:X51"/>
    <mergeCell ref="S52:X52"/>
    <mergeCell ref="S53:X53"/>
    <mergeCell ref="S54:X54"/>
    <mergeCell ref="S34:X34"/>
    <mergeCell ref="D35:E35"/>
    <mergeCell ref="H35:I35"/>
    <mergeCell ref="S35:X35"/>
    <mergeCell ref="D36:E36"/>
    <mergeCell ref="H36:I36"/>
    <mergeCell ref="S36:X36"/>
    <mergeCell ref="S37:X37"/>
    <mergeCell ref="B38:AA38"/>
    <mergeCell ref="B39:C39"/>
    <mergeCell ref="S39:X39"/>
    <mergeCell ref="B40:C40"/>
    <mergeCell ref="S40:X40"/>
    <mergeCell ref="B41:AA41"/>
    <mergeCell ref="B42:C42"/>
    <mergeCell ref="D42:E42"/>
    <mergeCell ref="H42:I42"/>
    <mergeCell ref="S42:X42"/>
    <mergeCell ref="B43:AA43"/>
    <mergeCell ref="B44:C44"/>
    <mergeCell ref="S44:X44"/>
    <mergeCell ref="B45:C45"/>
    <mergeCell ref="D45:E45"/>
    <mergeCell ref="H45:I45"/>
    <mergeCell ref="S45:X45"/>
    <mergeCell ref="B46:C46"/>
    <mergeCell ref="S46:X46"/>
    <mergeCell ref="S47:X47"/>
    <mergeCell ref="B47:C47"/>
    <mergeCell ref="B48:C48"/>
    <mergeCell ref="B49:C49"/>
    <mergeCell ref="B50:C50"/>
    <mergeCell ref="B51:C51"/>
    <mergeCell ref="D51:E51"/>
    <mergeCell ref="H51:I51"/>
    <mergeCell ref="B55:C55"/>
    <mergeCell ref="B56:C56"/>
    <mergeCell ref="B52:C52"/>
    <mergeCell ref="D52:E52"/>
    <mergeCell ref="H52:I52"/>
    <mergeCell ref="B53:C53"/>
    <mergeCell ref="B54:C54"/>
    <mergeCell ref="D55:E55"/>
    <mergeCell ref="H55:I55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11" width="5.13"/>
    <col customWidth="1" min="12" max="18" width="6.38"/>
    <col customWidth="1" min="19" max="24" width="1.38"/>
    <col customWidth="1" min="25" max="27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3"/>
      <c r="P1" s="3"/>
      <c r="Q1" s="1"/>
      <c r="R1" s="1"/>
      <c r="S1" s="1"/>
      <c r="T1" s="1"/>
      <c r="U1" s="1"/>
      <c r="V1" s="1"/>
      <c r="W1" s="1"/>
      <c r="X1" s="1"/>
      <c r="Y1" s="3"/>
      <c r="Z1" s="3"/>
      <c r="AA1" s="3"/>
    </row>
    <row r="2">
      <c r="A2" s="1"/>
      <c r="B2" s="4" t="s">
        <v>204</v>
      </c>
      <c r="C2" s="5"/>
      <c r="D2" s="6" t="s">
        <v>3</v>
      </c>
      <c r="E2" s="7"/>
      <c r="F2" s="7"/>
      <c r="G2" s="7"/>
      <c r="H2" s="7"/>
      <c r="I2" s="7"/>
      <c r="J2" s="7"/>
      <c r="K2" s="8"/>
      <c r="L2" s="9" t="s">
        <v>4</v>
      </c>
      <c r="M2" s="10"/>
      <c r="N2" s="5"/>
      <c r="O2" s="11" t="s">
        <v>5</v>
      </c>
      <c r="P2" s="5"/>
      <c r="Q2" s="12" t="s">
        <v>6</v>
      </c>
      <c r="R2" s="5"/>
      <c r="S2" s="9" t="s">
        <v>7</v>
      </c>
      <c r="T2" s="10"/>
      <c r="U2" s="10"/>
      <c r="V2" s="10"/>
      <c r="W2" s="10"/>
      <c r="X2" s="5"/>
      <c r="Y2" s="13" t="s">
        <v>8</v>
      </c>
      <c r="Z2" s="13" t="s">
        <v>9</v>
      </c>
      <c r="AA2" s="14" t="s">
        <v>10</v>
      </c>
    </row>
    <row r="3">
      <c r="A3" s="1"/>
      <c r="B3" s="15"/>
      <c r="C3" s="16"/>
      <c r="D3" s="17" t="s">
        <v>11</v>
      </c>
      <c r="E3" s="18"/>
      <c r="F3" s="18"/>
      <c r="G3" s="19"/>
      <c r="H3" s="20" t="s">
        <v>13</v>
      </c>
      <c r="I3" s="18"/>
      <c r="J3" s="18"/>
      <c r="K3" s="19"/>
      <c r="L3" s="21"/>
      <c r="M3" s="22"/>
      <c r="N3" s="23"/>
      <c r="O3" s="21"/>
      <c r="P3" s="23"/>
      <c r="Q3" s="21"/>
      <c r="R3" s="23"/>
      <c r="S3" s="21"/>
      <c r="T3" s="22"/>
      <c r="U3" s="22"/>
      <c r="V3" s="22"/>
      <c r="W3" s="22"/>
      <c r="X3" s="23"/>
      <c r="Y3" s="24"/>
      <c r="Z3" s="24"/>
      <c r="AA3" s="25"/>
    </row>
    <row r="4">
      <c r="A4" s="1"/>
      <c r="B4" s="15"/>
      <c r="C4" s="16"/>
      <c r="D4" s="17" t="s">
        <v>14</v>
      </c>
      <c r="E4" s="19"/>
      <c r="F4" s="26" t="s">
        <v>15</v>
      </c>
      <c r="G4" s="19"/>
      <c r="H4" s="20" t="s">
        <v>14</v>
      </c>
      <c r="I4" s="19"/>
      <c r="J4" s="27" t="s">
        <v>15</v>
      </c>
      <c r="K4" s="19"/>
      <c r="L4" s="28" t="s">
        <v>16</v>
      </c>
      <c r="M4" s="29" t="s">
        <v>17</v>
      </c>
      <c r="N4" s="30" t="s">
        <v>18</v>
      </c>
      <c r="O4" s="31" t="s">
        <v>19</v>
      </c>
      <c r="P4" s="32" t="s">
        <v>20</v>
      </c>
      <c r="Q4" s="33" t="s">
        <v>21</v>
      </c>
      <c r="R4" s="33" t="s">
        <v>22</v>
      </c>
      <c r="S4" s="34" t="s">
        <v>23</v>
      </c>
      <c r="T4" s="35"/>
      <c r="U4" s="36" t="s">
        <v>24</v>
      </c>
      <c r="V4" s="35"/>
      <c r="W4" s="37" t="s">
        <v>25</v>
      </c>
      <c r="X4" s="35"/>
      <c r="Y4" s="38" t="s">
        <v>26</v>
      </c>
      <c r="Z4" s="38" t="s">
        <v>26</v>
      </c>
      <c r="AA4" s="39" t="s">
        <v>26</v>
      </c>
    </row>
    <row r="5">
      <c r="A5" s="1"/>
      <c r="B5" s="40"/>
      <c r="C5" s="23"/>
      <c r="D5" s="41" t="s">
        <v>27</v>
      </c>
      <c r="E5" s="42" t="s">
        <v>28</v>
      </c>
      <c r="F5" s="43" t="s">
        <v>27</v>
      </c>
      <c r="G5" s="44" t="s">
        <v>28</v>
      </c>
      <c r="H5" s="45" t="s">
        <v>27</v>
      </c>
      <c r="I5" s="46" t="s">
        <v>28</v>
      </c>
      <c r="J5" s="47" t="s">
        <v>27</v>
      </c>
      <c r="K5" s="48" t="s">
        <v>28</v>
      </c>
      <c r="L5" s="24"/>
      <c r="M5" s="24"/>
      <c r="N5" s="24"/>
      <c r="O5" s="24"/>
      <c r="P5" s="24"/>
      <c r="Q5" s="24"/>
      <c r="R5" s="24"/>
      <c r="S5" s="21"/>
      <c r="T5" s="23"/>
      <c r="U5" s="21"/>
      <c r="V5" s="23"/>
      <c r="W5" s="21"/>
      <c r="X5" s="23"/>
      <c r="Y5" s="57">
        <v>1.0</v>
      </c>
      <c r="Z5" s="57">
        <v>1.0</v>
      </c>
      <c r="AA5" s="59">
        <v>1.0</v>
      </c>
    </row>
    <row r="6">
      <c r="A6" s="1"/>
      <c r="B6" s="51" t="s">
        <v>205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3"/>
    </row>
    <row r="7">
      <c r="A7" s="1"/>
      <c r="B7" s="65" t="s">
        <v>206</v>
      </c>
      <c r="C7" s="127" t="s">
        <v>40</v>
      </c>
      <c r="D7" s="56">
        <v>1.0</v>
      </c>
      <c r="E7" s="58">
        <v>1.0</v>
      </c>
      <c r="F7" s="60" t="s">
        <v>32</v>
      </c>
      <c r="G7" s="16"/>
      <c r="H7" s="109">
        <v>1.0</v>
      </c>
      <c r="I7" s="478">
        <v>1.0</v>
      </c>
      <c r="J7" s="479" t="s">
        <v>32</v>
      </c>
      <c r="K7" s="16"/>
      <c r="L7" s="64"/>
      <c r="M7" s="480"/>
      <c r="N7" s="481"/>
      <c r="O7" s="115" t="s">
        <v>43</v>
      </c>
      <c r="P7" s="482" t="s">
        <v>43</v>
      </c>
      <c r="Q7" s="127" t="s">
        <v>41</v>
      </c>
      <c r="R7" s="86" t="s">
        <v>41</v>
      </c>
      <c r="S7" s="130">
        <v>2.0</v>
      </c>
      <c r="X7" s="16"/>
      <c r="Y7" s="135"/>
      <c r="Z7" s="137" t="s">
        <v>41</v>
      </c>
      <c r="AA7" s="140" t="s">
        <v>41</v>
      </c>
    </row>
    <row r="8">
      <c r="A8" s="1"/>
      <c r="B8" s="143"/>
      <c r="C8" s="129" t="s">
        <v>42</v>
      </c>
      <c r="D8" s="132">
        <v>1.0</v>
      </c>
      <c r="E8" s="133">
        <v>1.0</v>
      </c>
      <c r="F8" s="21"/>
      <c r="G8" s="23"/>
      <c r="H8" s="304">
        <v>1.0</v>
      </c>
      <c r="I8" s="305">
        <v>1.0</v>
      </c>
      <c r="J8" s="159"/>
      <c r="K8" s="155"/>
      <c r="L8" s="163"/>
      <c r="M8" s="163"/>
      <c r="N8" s="163"/>
      <c r="O8" s="483" t="s">
        <v>43</v>
      </c>
      <c r="P8" s="484" t="s">
        <v>43</v>
      </c>
      <c r="Q8" s="145" t="s">
        <v>41</v>
      </c>
      <c r="R8" s="157" t="s">
        <v>41</v>
      </c>
      <c r="S8" s="159"/>
      <c r="T8" s="160"/>
      <c r="U8" s="160"/>
      <c r="V8" s="160"/>
      <c r="W8" s="160"/>
      <c r="X8" s="155"/>
      <c r="Y8" s="163"/>
      <c r="Z8" s="122" t="s">
        <v>41</v>
      </c>
      <c r="AA8" s="191" t="s">
        <v>41</v>
      </c>
    </row>
    <row r="9">
      <c r="A9" s="1"/>
      <c r="B9" s="193" t="s">
        <v>208</v>
      </c>
      <c r="C9" s="168" t="s">
        <v>40</v>
      </c>
      <c r="D9" s="169">
        <v>1.0</v>
      </c>
      <c r="E9" s="170">
        <v>2.0</v>
      </c>
      <c r="F9" s="75">
        <v>1.0</v>
      </c>
      <c r="G9" s="198">
        <v>3.0</v>
      </c>
      <c r="H9" s="216">
        <v>1.0</v>
      </c>
      <c r="I9" s="284">
        <v>2.0</v>
      </c>
      <c r="J9" s="200">
        <v>1.0</v>
      </c>
      <c r="K9" s="201">
        <v>2.0</v>
      </c>
      <c r="L9" s="179">
        <v>300.0</v>
      </c>
      <c r="M9" s="97">
        <f>L9/60</f>
        <v>5</v>
      </c>
      <c r="N9" s="105">
        <f>60/L9</f>
        <v>0.2</v>
      </c>
      <c r="O9" s="107">
        <f>IFS(OR(G9="-",ISBLANK(G9)),"-",G9&lt;1,"one-hit",G9&lt;=3,60/L9,OR(G9=4,G9=7,G9=9),"manual",G9&lt;7,2*60/L9,G9&lt;9,3*60/L9,G9&lt;=11,4*60/L9,G9&gt;11,"???")</f>
        <v>0.2</v>
      </c>
      <c r="P9" s="121">
        <f>IFS(OR(K9="-",ISBLANK(K9)),"-",K9&lt;1,"one-hit",K9&lt;=3,60/L9,OR(K9=4,K9=7,K9=9),"manual",K9&lt;7,2*60/L9,K9&lt;9,3*60/L9,K9&lt;=11,4*60/L9,K9&gt;11,"???")</f>
        <v>0.2</v>
      </c>
      <c r="Q9" s="168" t="s">
        <v>41</v>
      </c>
      <c r="R9" s="194" t="s">
        <v>41</v>
      </c>
      <c r="S9" s="90">
        <v>5.0</v>
      </c>
      <c r="T9" s="92"/>
      <c r="U9" s="131">
        <v>10.0</v>
      </c>
      <c r="V9" s="92"/>
      <c r="W9" s="134">
        <v>30.0</v>
      </c>
      <c r="X9" s="92"/>
      <c r="Y9" s="202"/>
      <c r="Z9" s="136" t="s">
        <v>41</v>
      </c>
      <c r="AA9" s="220" t="s">
        <v>41</v>
      </c>
    </row>
    <row r="10">
      <c r="A10" s="1"/>
      <c r="B10" s="143"/>
      <c r="C10" s="129" t="s">
        <v>42</v>
      </c>
      <c r="D10" s="132">
        <v>1.0</v>
      </c>
      <c r="E10" s="133">
        <v>2.0</v>
      </c>
      <c r="F10" s="149">
        <v>2.0</v>
      </c>
      <c r="G10" s="158">
        <v>3.0</v>
      </c>
      <c r="H10" s="304">
        <v>1.0</v>
      </c>
      <c r="I10" s="305">
        <v>2.0</v>
      </c>
      <c r="J10" s="161">
        <v>1.0</v>
      </c>
      <c r="K10" s="162">
        <v>2.0</v>
      </c>
      <c r="L10" s="163"/>
      <c r="M10" s="155"/>
      <c r="N10" s="155"/>
      <c r="O10" s="175">
        <f>IFS(OR(G10="-",ISBLANK(G10)),"-",G10&lt;1,"one-hit",G10&lt;=3,60/L9,OR(G10=4,G10=7,G10=9),"manual",G10&lt;7,2*60/L9,G10&lt;9,3*60/L9,G10&lt;=11,4*60/L9,G10&gt;11,"???")</f>
        <v>0.2</v>
      </c>
      <c r="P10" s="189">
        <f>IFS(OR(K10="-",ISBLANK(K10)),"-",K10&lt;1,"one-hit",K10&lt;=3,60/L9,OR(K10=4,K10=7,K10=9),"manual",K10&lt;7,2*60/L9,K10&lt;9,3*60/L9,K10&lt;=11,4*60/L9,K10&gt;11,"???")</f>
        <v>0.2</v>
      </c>
      <c r="Q10" s="145" t="s">
        <v>41</v>
      </c>
      <c r="R10" s="157" t="s">
        <v>41</v>
      </c>
      <c r="S10" s="159"/>
      <c r="T10" s="155"/>
      <c r="U10" s="159"/>
      <c r="V10" s="155"/>
      <c r="W10" s="159"/>
      <c r="X10" s="155"/>
      <c r="Y10" s="163"/>
      <c r="Z10" s="122" t="s">
        <v>41</v>
      </c>
      <c r="AA10" s="191" t="s">
        <v>41</v>
      </c>
    </row>
    <row r="11">
      <c r="A11" s="1"/>
      <c r="B11" s="193" t="s">
        <v>209</v>
      </c>
      <c r="C11" s="69" t="s">
        <v>31</v>
      </c>
      <c r="D11" s="169">
        <v>1.0</v>
      </c>
      <c r="E11" s="170">
        <v>2.0</v>
      </c>
      <c r="F11" s="172" t="s">
        <v>32</v>
      </c>
      <c r="G11" s="92"/>
      <c r="H11" s="216">
        <v>1.0</v>
      </c>
      <c r="I11" s="284">
        <v>1.0</v>
      </c>
      <c r="J11" s="490" t="s">
        <v>32</v>
      </c>
      <c r="K11" s="92"/>
      <c r="L11" s="179"/>
      <c r="M11" s="289"/>
      <c r="N11" s="290"/>
      <c r="O11" s="295" t="str">
        <f>IFS(OR(G11="-",ISBLANK(G11)),"-",G11&lt;1,"one-hit",G11&lt;=3,60/L11,OR(G11=4,G11=7,G11=9),"manual",G11&lt;7,2*60/L11,G11&lt;9,3*60/L11,G11&lt;=11,4*60/L11,G11&gt;11,"???")</f>
        <v>-</v>
      </c>
      <c r="P11" s="500" t="s">
        <v>43</v>
      </c>
      <c r="Q11" s="168" t="s">
        <v>41</v>
      </c>
      <c r="R11" s="194" t="s">
        <v>41</v>
      </c>
      <c r="S11" s="90">
        <v>5.0</v>
      </c>
      <c r="T11" s="91"/>
      <c r="U11" s="92"/>
      <c r="V11" s="131">
        <v>8.0</v>
      </c>
      <c r="W11" s="91"/>
      <c r="X11" s="92"/>
      <c r="Y11" s="202"/>
      <c r="Z11" s="136" t="s">
        <v>41</v>
      </c>
      <c r="AA11" s="220" t="s">
        <v>41</v>
      </c>
    </row>
    <row r="12">
      <c r="A12" s="1"/>
      <c r="B12" s="501"/>
      <c r="C12" s="100" t="s">
        <v>40</v>
      </c>
      <c r="D12" s="101">
        <v>1.0</v>
      </c>
      <c r="E12" s="102">
        <v>2.0</v>
      </c>
      <c r="F12" s="103"/>
      <c r="G12" s="16"/>
      <c r="H12" s="502">
        <v>1.0</v>
      </c>
      <c r="I12" s="504">
        <v>1.0</v>
      </c>
      <c r="J12" s="103"/>
      <c r="K12" s="16"/>
      <c r="L12" s="116"/>
      <c r="M12" s="116"/>
      <c r="N12" s="116"/>
      <c r="O12" s="319" t="str">
        <f>IFS(OR(G12="-",ISBLANK(G12)),"-",G12&lt;1,"one-hit",G12&lt;=3,60/L11,OR(G12=4,G12=7,G12=9),"manual",G12&lt;7,2*60/L11,G12&lt;9,3*60/L11,G12&lt;=11,4*60/L11,G12&gt;11,"???")</f>
        <v>-</v>
      </c>
      <c r="P12" s="506" t="s">
        <v>43</v>
      </c>
      <c r="Q12" s="100" t="s">
        <v>41</v>
      </c>
      <c r="R12" s="120" t="s">
        <v>41</v>
      </c>
      <c r="S12" s="103"/>
      <c r="U12" s="16"/>
      <c r="V12" s="103"/>
      <c r="X12" s="16"/>
      <c r="Y12" s="116"/>
      <c r="Z12" s="280" t="s">
        <v>41</v>
      </c>
      <c r="AA12" s="507" t="s">
        <v>41</v>
      </c>
    </row>
    <row r="13">
      <c r="A13" s="1"/>
      <c r="B13" s="143"/>
      <c r="C13" s="204" t="s">
        <v>42</v>
      </c>
      <c r="D13" s="206">
        <v>1.0</v>
      </c>
      <c r="E13" s="207">
        <v>2.0</v>
      </c>
      <c r="F13" s="21"/>
      <c r="G13" s="23"/>
      <c r="H13" s="405">
        <v>1.0</v>
      </c>
      <c r="I13" s="406">
        <v>1.0</v>
      </c>
      <c r="J13" s="159"/>
      <c r="K13" s="155"/>
      <c r="L13" s="163"/>
      <c r="M13" s="163"/>
      <c r="N13" s="163"/>
      <c r="O13" s="343" t="str">
        <f>IFS(OR(G13="-",ISBLANK(G13)),"-",G13&lt;1,"one-hit",G13&lt;=3,60/L11,OR(G13=4,G13=7,G13=9),"manual",G13&lt;7,2*60/L11,G13&lt;9,3*60/L11,G13&lt;=11,4*60/L11,G13&gt;11,"???")</f>
        <v>-</v>
      </c>
      <c r="P13" s="508" t="s">
        <v>43</v>
      </c>
      <c r="Q13" s="227" t="s">
        <v>41</v>
      </c>
      <c r="R13" s="211" t="s">
        <v>41</v>
      </c>
      <c r="S13" s="159"/>
      <c r="T13" s="160"/>
      <c r="U13" s="155"/>
      <c r="V13" s="159"/>
      <c r="W13" s="160"/>
      <c r="X13" s="155"/>
      <c r="Y13" s="163"/>
      <c r="Z13" s="224" t="s">
        <v>41</v>
      </c>
      <c r="AA13" s="291" t="s">
        <v>41</v>
      </c>
    </row>
    <row r="14">
      <c r="A14" s="1"/>
      <c r="B14" s="411" t="s">
        <v>73</v>
      </c>
      <c r="AA14" s="412"/>
    </row>
    <row r="15">
      <c r="A15" s="1"/>
      <c r="B15" s="294" t="s">
        <v>213</v>
      </c>
      <c r="C15" s="168" t="s">
        <v>40</v>
      </c>
      <c r="D15" s="169" t="s">
        <v>41</v>
      </c>
      <c r="E15" s="170" t="s">
        <v>41</v>
      </c>
      <c r="F15" s="172" t="s">
        <v>32</v>
      </c>
      <c r="G15" s="92"/>
      <c r="H15" s="78" t="s">
        <v>41</v>
      </c>
      <c r="I15" s="173" t="s">
        <v>41</v>
      </c>
      <c r="J15" s="490" t="s">
        <v>32</v>
      </c>
      <c r="K15" s="92"/>
      <c r="L15" s="179"/>
      <c r="M15" s="289"/>
      <c r="N15" s="290"/>
      <c r="O15" s="107" t="str">
        <f>IFS(OR(G15="-",ISBLANK(G15)),"-",G15&lt;1,"one-hit",G15&lt;=3,60/L15,OR(G15=4,G15=7,G15=9),"manual",G15&lt;7,2*60/L15,G15&lt;9,3*60/L15,G15&lt;=11,4*60/L15,G15&gt;11,"???")</f>
        <v>-</v>
      </c>
      <c r="P15" s="121" t="str">
        <f>IFS(OR(K15="-",ISBLANK(K15)),"-",K15&lt;1,"one-hit",K15&lt;=3,60/L15,OR(K15=4,K15=7,K15=9),"manual",K15&lt;7,2*60/L15,K15&lt;9,3*60/L15,K15&lt;=11,4*60/L15,K15&gt;11,"???")</f>
        <v>-</v>
      </c>
      <c r="Q15" s="168" t="s">
        <v>41</v>
      </c>
      <c r="R15" s="194" t="s">
        <v>41</v>
      </c>
      <c r="S15" s="90">
        <v>5.0</v>
      </c>
      <c r="T15" s="91"/>
      <c r="U15" s="92"/>
      <c r="V15" s="94">
        <v>8.0</v>
      </c>
      <c r="W15" s="91"/>
      <c r="X15" s="92"/>
      <c r="Y15" s="202"/>
      <c r="Z15" s="136" t="s">
        <v>41</v>
      </c>
      <c r="AA15" s="220" t="s">
        <v>41</v>
      </c>
    </row>
    <row r="16">
      <c r="A16" s="1"/>
      <c r="B16" s="143"/>
      <c r="C16" s="129" t="s">
        <v>42</v>
      </c>
      <c r="D16" s="132" t="s">
        <v>41</v>
      </c>
      <c r="E16" s="133" t="s">
        <v>41</v>
      </c>
      <c r="F16" s="21"/>
      <c r="G16" s="23"/>
      <c r="H16" s="139" t="s">
        <v>41</v>
      </c>
      <c r="I16" s="142" t="s">
        <v>41</v>
      </c>
      <c r="J16" s="159"/>
      <c r="K16" s="155"/>
      <c r="L16" s="163"/>
      <c r="M16" s="163"/>
      <c r="N16" s="163"/>
      <c r="O16" s="324" t="str">
        <f>IFS(OR(G16="-",ISBLANK(G16)),"-",G16&lt;1,"one-hit",G16&lt;=3,60/L15,OR(G16=4,G16=7,G16=9),"manual",G16&lt;7,2*60/L15,G16&lt;9,3*60/L15,G16&lt;=11,4*60/L15,G16&gt;11,"???")</f>
        <v>-</v>
      </c>
      <c r="P16" s="334" t="str">
        <f>IFS(OR(K16="-",ISBLANK(K16)),"-",K16&lt;1,"one-hit",K16&lt;=3,60/L15,OR(K16=4,K16=7,K16=9),"manual",K16&lt;7,2*60/L15,K16&lt;9,3*60/L15,K16&lt;=11,4*60/L15,K16&gt;11,"???")</f>
        <v>-</v>
      </c>
      <c r="Q16" s="145" t="s">
        <v>41</v>
      </c>
      <c r="R16" s="157" t="s">
        <v>41</v>
      </c>
      <c r="S16" s="159"/>
      <c r="T16" s="160"/>
      <c r="U16" s="155"/>
      <c r="V16" s="160"/>
      <c r="W16" s="160"/>
      <c r="X16" s="155"/>
      <c r="Y16" s="163"/>
      <c r="Z16" s="122" t="s">
        <v>41</v>
      </c>
      <c r="AA16" s="191" t="s">
        <v>41</v>
      </c>
    </row>
    <row r="17">
      <c r="A17" s="1"/>
      <c r="B17" s="51" t="s">
        <v>238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3"/>
    </row>
    <row r="18">
      <c r="A18" s="1"/>
      <c r="B18" s="296" t="s">
        <v>89</v>
      </c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300"/>
    </row>
    <row r="19">
      <c r="A19" s="1"/>
      <c r="B19" s="549" t="s">
        <v>241</v>
      </c>
      <c r="C19" s="303"/>
      <c r="D19" s="413">
        <v>1.0</v>
      </c>
      <c r="E19" s="414">
        <v>2.0</v>
      </c>
      <c r="F19" s="372">
        <v>1.0</v>
      </c>
      <c r="G19" s="373">
        <v>2.0</v>
      </c>
      <c r="H19" s="415">
        <v>1.0</v>
      </c>
      <c r="I19" s="416">
        <v>2.0</v>
      </c>
      <c r="J19" s="375">
        <v>1.0</v>
      </c>
      <c r="K19" s="376">
        <v>2.0</v>
      </c>
      <c r="L19" s="261" t="s">
        <v>41</v>
      </c>
      <c r="M19" s="453" t="s">
        <v>41</v>
      </c>
      <c r="N19" s="454" t="s">
        <v>41</v>
      </c>
      <c r="O19" s="379" t="str">
        <f t="shared" ref="O19:O21" si="1">IFS(OR(G19="-",ISBLANK(G19)),"-",G19&lt;1,"one-hit",G19&lt;=3,60/L19,OR(G19=4,G19=7,G19=9),"manual",G19&lt;7,2*60/L19,G19&lt;9,3*60/L19,G19&lt;=11,4*60/L19,G19&gt;11,"???")</f>
        <v>#VALUE!</v>
      </c>
      <c r="P19" s="449" t="s">
        <v>43</v>
      </c>
      <c r="Q19" s="254" t="s">
        <v>41</v>
      </c>
      <c r="R19" s="266" t="s">
        <v>41</v>
      </c>
      <c r="S19" s="435">
        <v>30.0</v>
      </c>
      <c r="T19" s="249"/>
      <c r="U19" s="249"/>
      <c r="V19" s="249"/>
      <c r="W19" s="249"/>
      <c r="X19" s="303"/>
      <c r="Y19" s="268" t="s">
        <v>41</v>
      </c>
      <c r="Z19" s="270" t="s">
        <v>41</v>
      </c>
      <c r="AA19" s="307" t="s">
        <v>41</v>
      </c>
    </row>
    <row r="20">
      <c r="A20" s="1"/>
      <c r="B20" s="561" t="s">
        <v>244</v>
      </c>
      <c r="C20" s="303"/>
      <c r="D20" s="413">
        <v>1.0</v>
      </c>
      <c r="E20" s="414">
        <v>1.0</v>
      </c>
      <c r="F20" s="562" t="s">
        <v>32</v>
      </c>
      <c r="G20" s="303"/>
      <c r="H20" s="415">
        <v>1.0</v>
      </c>
      <c r="I20" s="416">
        <v>1.0</v>
      </c>
      <c r="J20" s="563" t="s">
        <v>32</v>
      </c>
      <c r="K20" s="303"/>
      <c r="L20" s="261" t="s">
        <v>41</v>
      </c>
      <c r="M20" s="453" t="s">
        <v>41</v>
      </c>
      <c r="N20" s="454" t="s">
        <v>41</v>
      </c>
      <c r="O20" s="379" t="str">
        <f t="shared" si="1"/>
        <v>-</v>
      </c>
      <c r="P20" s="449" t="s">
        <v>43</v>
      </c>
      <c r="Q20" s="254" t="s">
        <v>41</v>
      </c>
      <c r="R20" s="266" t="s">
        <v>41</v>
      </c>
      <c r="S20" s="267">
        <v>2.0</v>
      </c>
      <c r="T20" s="249"/>
      <c r="U20" s="249"/>
      <c r="V20" s="249"/>
      <c r="W20" s="249"/>
      <c r="X20" s="303"/>
      <c r="Y20" s="268" t="s">
        <v>41</v>
      </c>
      <c r="Z20" s="270" t="s">
        <v>41</v>
      </c>
      <c r="AA20" s="307" t="s">
        <v>41</v>
      </c>
    </row>
    <row r="21">
      <c r="A21" s="1"/>
      <c r="B21" s="561" t="s">
        <v>247</v>
      </c>
      <c r="C21" s="303"/>
      <c r="D21" s="413">
        <v>1.0</v>
      </c>
      <c r="E21" s="414">
        <v>1.0</v>
      </c>
      <c r="F21" s="562" t="s">
        <v>32</v>
      </c>
      <c r="G21" s="303"/>
      <c r="H21" s="415">
        <v>1.0</v>
      </c>
      <c r="I21" s="416">
        <v>1.0</v>
      </c>
      <c r="J21" s="563" t="s">
        <v>32</v>
      </c>
      <c r="K21" s="303"/>
      <c r="L21" s="261" t="s">
        <v>41</v>
      </c>
      <c r="M21" s="453" t="s">
        <v>41</v>
      </c>
      <c r="N21" s="454" t="s">
        <v>41</v>
      </c>
      <c r="O21" s="379" t="str">
        <f t="shared" si="1"/>
        <v>-</v>
      </c>
      <c r="P21" s="449" t="s">
        <v>43</v>
      </c>
      <c r="Q21" s="254" t="s">
        <v>41</v>
      </c>
      <c r="R21" s="266" t="s">
        <v>41</v>
      </c>
      <c r="S21" s="267">
        <v>5.0</v>
      </c>
      <c r="T21" s="249"/>
      <c r="U21" s="249"/>
      <c r="V21" s="249"/>
      <c r="W21" s="249"/>
      <c r="X21" s="303"/>
      <c r="Y21" s="268" t="s">
        <v>41</v>
      </c>
      <c r="Z21" s="270" t="s">
        <v>41</v>
      </c>
      <c r="AA21" s="307" t="s">
        <v>41</v>
      </c>
    </row>
    <row r="22">
      <c r="A22" s="1"/>
      <c r="B22" s="302" t="s">
        <v>73</v>
      </c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338"/>
    </row>
    <row r="23">
      <c r="A23" s="1"/>
      <c r="B23" s="302" t="s">
        <v>249</v>
      </c>
      <c r="C23" s="303"/>
      <c r="D23" s="255">
        <v>1.0</v>
      </c>
      <c r="E23" s="256">
        <v>2.0</v>
      </c>
      <c r="F23" s="257" t="s">
        <v>32</v>
      </c>
      <c r="G23" s="303"/>
      <c r="H23" s="258">
        <v>1.0</v>
      </c>
      <c r="I23" s="259">
        <v>1.0</v>
      </c>
      <c r="J23" s="260" t="s">
        <v>32</v>
      </c>
      <c r="K23" s="303"/>
      <c r="L23" s="261" t="s">
        <v>41</v>
      </c>
      <c r="M23" s="453" t="s">
        <v>41</v>
      </c>
      <c r="N23" s="454" t="s">
        <v>41</v>
      </c>
      <c r="O23" s="379" t="str">
        <f t="shared" ref="O23:O29" si="2">IFS(OR(G23="-",ISBLANK(G23)),"-",G23&lt;1,"one-hit",G23&lt;=3,60/L23,OR(G23=4,G23=7,G23=9),"manual",G23&lt;7,2*60/L23,G23&lt;9,3*60/L23,G23&lt;=11,4*60/L23,G23&gt;11,"???")</f>
        <v>-</v>
      </c>
      <c r="P23" s="449" t="s">
        <v>43</v>
      </c>
      <c r="Q23" s="254" t="s">
        <v>41</v>
      </c>
      <c r="R23" s="266" t="s">
        <v>41</v>
      </c>
      <c r="S23" s="267">
        <v>2.0</v>
      </c>
      <c r="T23" s="249"/>
      <c r="U23" s="249"/>
      <c r="V23" s="249"/>
      <c r="W23" s="249"/>
      <c r="X23" s="303"/>
      <c r="Y23" s="268" t="s">
        <v>41</v>
      </c>
      <c r="Z23" s="270" t="s">
        <v>41</v>
      </c>
      <c r="AA23" s="307" t="s">
        <v>41</v>
      </c>
    </row>
    <row r="24">
      <c r="A24" s="1"/>
      <c r="B24" s="582" t="s">
        <v>250</v>
      </c>
      <c r="C24" s="303"/>
      <c r="D24" s="255" t="s">
        <v>41</v>
      </c>
      <c r="E24" s="256" t="s">
        <v>41</v>
      </c>
      <c r="F24" s="424" t="s">
        <v>41</v>
      </c>
      <c r="G24" s="424" t="s">
        <v>41</v>
      </c>
      <c r="H24" s="258" t="s">
        <v>41</v>
      </c>
      <c r="I24" s="259" t="s">
        <v>41</v>
      </c>
      <c r="J24" s="427" t="s">
        <v>41</v>
      </c>
      <c r="K24" s="427" t="s">
        <v>41</v>
      </c>
      <c r="L24" s="261" t="s">
        <v>41</v>
      </c>
      <c r="M24" s="453" t="s">
        <v>41</v>
      </c>
      <c r="N24" s="454" t="s">
        <v>41</v>
      </c>
      <c r="O24" s="379" t="str">
        <f t="shared" si="2"/>
        <v>-</v>
      </c>
      <c r="P24" s="449" t="s">
        <v>43</v>
      </c>
      <c r="Q24" s="254" t="s">
        <v>41</v>
      </c>
      <c r="R24" s="266" t="s">
        <v>41</v>
      </c>
      <c r="S24" s="267">
        <v>6.0</v>
      </c>
      <c r="T24" s="249"/>
      <c r="U24" s="249"/>
      <c r="V24" s="249"/>
      <c r="W24" s="249"/>
      <c r="X24" s="303"/>
      <c r="Y24" s="268" t="s">
        <v>41</v>
      </c>
      <c r="Z24" s="270" t="s">
        <v>41</v>
      </c>
      <c r="AA24" s="307" t="s">
        <v>41</v>
      </c>
    </row>
    <row r="25">
      <c r="A25" s="1"/>
      <c r="B25" s="367" t="s">
        <v>254</v>
      </c>
      <c r="C25" s="303"/>
      <c r="D25" s="362">
        <v>1.0</v>
      </c>
      <c r="E25" s="363">
        <v>2.0</v>
      </c>
      <c r="F25" s="384">
        <v>1.0</v>
      </c>
      <c r="G25" s="385">
        <v>2.0</v>
      </c>
      <c r="H25" s="364">
        <v>1.0</v>
      </c>
      <c r="I25" s="365">
        <v>2.0</v>
      </c>
      <c r="J25" s="387">
        <v>1.0</v>
      </c>
      <c r="K25" s="388">
        <v>2.0</v>
      </c>
      <c r="L25" s="261" t="s">
        <v>41</v>
      </c>
      <c r="M25" s="453" t="s">
        <v>41</v>
      </c>
      <c r="N25" s="454" t="s">
        <v>41</v>
      </c>
      <c r="O25" s="379" t="str">
        <f t="shared" si="2"/>
        <v>#VALUE!</v>
      </c>
      <c r="P25" s="449" t="s">
        <v>43</v>
      </c>
      <c r="Q25" s="254" t="s">
        <v>41</v>
      </c>
      <c r="R25" s="266" t="s">
        <v>41</v>
      </c>
      <c r="S25" s="369">
        <v>10.0</v>
      </c>
      <c r="T25" s="249"/>
      <c r="U25" s="249"/>
      <c r="V25" s="249"/>
      <c r="W25" s="249"/>
      <c r="X25" s="303"/>
      <c r="Y25" s="268" t="s">
        <v>41</v>
      </c>
      <c r="Z25" s="270" t="s">
        <v>41</v>
      </c>
      <c r="AA25" s="307" t="s">
        <v>41</v>
      </c>
    </row>
    <row r="26">
      <c r="A26" s="1"/>
      <c r="B26" s="367" t="s">
        <v>255</v>
      </c>
      <c r="C26" s="303"/>
      <c r="D26" s="362">
        <v>1.0</v>
      </c>
      <c r="E26" s="363">
        <v>1.0</v>
      </c>
      <c r="F26" s="590" t="s">
        <v>32</v>
      </c>
      <c r="G26" s="303"/>
      <c r="H26" s="364">
        <v>1.0</v>
      </c>
      <c r="I26" s="365">
        <v>1.0</v>
      </c>
      <c r="J26" s="461" t="s">
        <v>32</v>
      </c>
      <c r="K26" s="303"/>
      <c r="L26" s="261" t="s">
        <v>41</v>
      </c>
      <c r="M26" s="453" t="s">
        <v>41</v>
      </c>
      <c r="N26" s="454" t="s">
        <v>41</v>
      </c>
      <c r="O26" s="379" t="str">
        <f t="shared" si="2"/>
        <v>-</v>
      </c>
      <c r="P26" s="449" t="s">
        <v>43</v>
      </c>
      <c r="Q26" s="254" t="s">
        <v>41</v>
      </c>
      <c r="R26" s="266" t="s">
        <v>41</v>
      </c>
      <c r="S26" s="267">
        <v>5.0</v>
      </c>
      <c r="T26" s="249"/>
      <c r="U26" s="249"/>
      <c r="V26" s="249"/>
      <c r="W26" s="249"/>
      <c r="X26" s="303"/>
      <c r="Y26" s="268" t="s">
        <v>41</v>
      </c>
      <c r="Z26" s="270" t="s">
        <v>41</v>
      </c>
      <c r="AA26" s="307" t="s">
        <v>41</v>
      </c>
    </row>
    <row r="27">
      <c r="A27" s="1"/>
      <c r="B27" s="367" t="s">
        <v>256</v>
      </c>
      <c r="C27" s="303"/>
      <c r="D27" s="362">
        <v>1.0</v>
      </c>
      <c r="E27" s="363">
        <v>1.0</v>
      </c>
      <c r="F27" s="590" t="s">
        <v>32</v>
      </c>
      <c r="G27" s="303"/>
      <c r="H27" s="364">
        <v>1.0</v>
      </c>
      <c r="I27" s="365">
        <v>1.0</v>
      </c>
      <c r="J27" s="461" t="s">
        <v>32</v>
      </c>
      <c r="K27" s="303"/>
      <c r="L27" s="261" t="s">
        <v>41</v>
      </c>
      <c r="M27" s="453" t="s">
        <v>41</v>
      </c>
      <c r="N27" s="454" t="s">
        <v>41</v>
      </c>
      <c r="O27" s="379" t="str">
        <f t="shared" si="2"/>
        <v>-</v>
      </c>
      <c r="P27" s="449" t="s">
        <v>43</v>
      </c>
      <c r="Q27" s="254" t="s">
        <v>41</v>
      </c>
      <c r="R27" s="266" t="s">
        <v>41</v>
      </c>
      <c r="S27" s="267">
        <v>5.0</v>
      </c>
      <c r="T27" s="249"/>
      <c r="U27" s="249"/>
      <c r="V27" s="249"/>
      <c r="W27" s="249"/>
      <c r="X27" s="303"/>
      <c r="Y27" s="268" t="s">
        <v>41</v>
      </c>
      <c r="Z27" s="270" t="s">
        <v>41</v>
      </c>
      <c r="AA27" s="307" t="s">
        <v>41</v>
      </c>
    </row>
    <row r="28">
      <c r="A28" s="1"/>
      <c r="B28" s="370" t="s">
        <v>258</v>
      </c>
      <c r="C28" s="303"/>
      <c r="D28" s="362">
        <v>1.0</v>
      </c>
      <c r="E28" s="363">
        <v>1.0</v>
      </c>
      <c r="F28" s="590" t="s">
        <v>32</v>
      </c>
      <c r="G28" s="303"/>
      <c r="H28" s="364">
        <v>1.0</v>
      </c>
      <c r="I28" s="365">
        <v>1.0</v>
      </c>
      <c r="J28" s="461" t="s">
        <v>32</v>
      </c>
      <c r="K28" s="303"/>
      <c r="L28" s="261" t="s">
        <v>41</v>
      </c>
      <c r="M28" s="453" t="s">
        <v>41</v>
      </c>
      <c r="N28" s="454" t="s">
        <v>41</v>
      </c>
      <c r="O28" s="379" t="str">
        <f t="shared" si="2"/>
        <v>-</v>
      </c>
      <c r="P28" s="449" t="s">
        <v>43</v>
      </c>
      <c r="Q28" s="254" t="s">
        <v>41</v>
      </c>
      <c r="R28" s="266" t="s">
        <v>41</v>
      </c>
      <c r="S28" s="267">
        <v>2.0</v>
      </c>
      <c r="T28" s="249"/>
      <c r="U28" s="249"/>
      <c r="V28" s="249"/>
      <c r="W28" s="249"/>
      <c r="X28" s="303"/>
      <c r="Y28" s="268" t="s">
        <v>41</v>
      </c>
      <c r="Z28" s="270" t="s">
        <v>41</v>
      </c>
      <c r="AA28" s="307" t="s">
        <v>41</v>
      </c>
    </row>
    <row r="29">
      <c r="A29" s="1"/>
      <c r="B29" s="302" t="s">
        <v>259</v>
      </c>
      <c r="C29" s="303"/>
      <c r="D29" s="413">
        <v>1.0</v>
      </c>
      <c r="E29" s="419">
        <v>2.0</v>
      </c>
      <c r="F29" s="590" t="s">
        <v>32</v>
      </c>
      <c r="G29" s="303"/>
      <c r="H29" s="415">
        <v>1.0</v>
      </c>
      <c r="I29" s="416">
        <v>1.0</v>
      </c>
      <c r="J29" s="461" t="s">
        <v>32</v>
      </c>
      <c r="K29" s="303"/>
      <c r="L29" s="261" t="s">
        <v>41</v>
      </c>
      <c r="M29" s="453" t="s">
        <v>41</v>
      </c>
      <c r="N29" s="454" t="s">
        <v>41</v>
      </c>
      <c r="O29" s="379" t="str">
        <f t="shared" si="2"/>
        <v>-</v>
      </c>
      <c r="P29" s="449" t="s">
        <v>43</v>
      </c>
      <c r="Q29" s="254" t="s">
        <v>41</v>
      </c>
      <c r="R29" s="266" t="s">
        <v>41</v>
      </c>
      <c r="S29" s="267">
        <v>2.0</v>
      </c>
      <c r="T29" s="249"/>
      <c r="U29" s="249"/>
      <c r="V29" s="249"/>
      <c r="W29" s="249"/>
      <c r="X29" s="303"/>
      <c r="Y29" s="268" t="s">
        <v>41</v>
      </c>
      <c r="Z29" s="270" t="s">
        <v>41</v>
      </c>
      <c r="AA29" s="307" t="s">
        <v>41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/>
      <c r="N30" s="2"/>
      <c r="O30" s="3"/>
      <c r="P30" s="3"/>
      <c r="Q30" s="1"/>
      <c r="R30" s="1"/>
      <c r="S30" s="1"/>
      <c r="T30" s="1"/>
      <c r="U30" s="1"/>
      <c r="V30" s="1"/>
      <c r="W30" s="1"/>
      <c r="X30" s="1"/>
      <c r="Y30" s="3"/>
      <c r="Z30" s="3"/>
      <c r="AA30" s="3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/>
      <c r="N31" s="2"/>
      <c r="O31" s="3"/>
      <c r="P31" s="3"/>
      <c r="Q31" s="1"/>
      <c r="R31" s="1"/>
      <c r="S31" s="1"/>
      <c r="T31" s="1"/>
      <c r="U31" s="1"/>
      <c r="V31" s="1"/>
      <c r="W31" s="1"/>
      <c r="X31" s="1"/>
      <c r="Y31" s="3"/>
      <c r="Z31" s="3"/>
      <c r="AA31" s="3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2"/>
      <c r="N32" s="2"/>
      <c r="O32" s="3"/>
      <c r="P32" s="3"/>
      <c r="Q32" s="1"/>
      <c r="R32" s="1"/>
      <c r="S32" s="1"/>
      <c r="T32" s="1"/>
      <c r="U32" s="1"/>
      <c r="V32" s="1"/>
      <c r="W32" s="1"/>
      <c r="X32" s="1"/>
      <c r="Y32" s="3"/>
      <c r="Z32" s="3"/>
      <c r="AA32" s="3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"/>
      <c r="N33" s="2"/>
      <c r="O33" s="3"/>
      <c r="P33" s="3"/>
      <c r="Q33" s="1"/>
      <c r="R33" s="1"/>
      <c r="S33" s="1"/>
      <c r="T33" s="1"/>
      <c r="U33" s="1"/>
      <c r="V33" s="1"/>
      <c r="W33" s="1"/>
      <c r="X33" s="1"/>
      <c r="Y33" s="3"/>
      <c r="Z33" s="3"/>
      <c r="AA33" s="3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"/>
      <c r="N34" s="2"/>
      <c r="O34" s="3"/>
      <c r="P34" s="3"/>
      <c r="Q34" s="1"/>
      <c r="R34" s="1"/>
      <c r="S34" s="1"/>
      <c r="T34" s="1"/>
      <c r="U34" s="1"/>
      <c r="V34" s="1"/>
      <c r="W34" s="1"/>
      <c r="X34" s="1"/>
      <c r="Y34" s="3"/>
      <c r="Z34" s="3"/>
      <c r="AA34" s="3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2"/>
      <c r="O35" s="3"/>
      <c r="P35" s="3"/>
      <c r="Q35" s="1"/>
      <c r="R35" s="1"/>
      <c r="S35" s="1"/>
      <c r="T35" s="1"/>
      <c r="U35" s="1"/>
      <c r="V35" s="1"/>
      <c r="W35" s="1"/>
      <c r="X35" s="1"/>
      <c r="Y35" s="3"/>
      <c r="Z35" s="3"/>
      <c r="AA35" s="3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"/>
      <c r="N36" s="2"/>
      <c r="O36" s="3"/>
      <c r="P36" s="3"/>
      <c r="Q36" s="1"/>
      <c r="R36" s="1"/>
      <c r="S36" s="1"/>
      <c r="T36" s="1"/>
      <c r="U36" s="1"/>
      <c r="V36" s="1"/>
      <c r="W36" s="1"/>
      <c r="X36" s="1"/>
      <c r="Y36" s="3"/>
      <c r="Z36" s="3"/>
      <c r="AA36" s="3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"/>
      <c r="N37" s="2"/>
      <c r="O37" s="3"/>
      <c r="P37" s="3"/>
      <c r="Q37" s="1"/>
      <c r="R37" s="1"/>
      <c r="S37" s="1"/>
      <c r="T37" s="1"/>
      <c r="U37" s="1"/>
      <c r="V37" s="1"/>
      <c r="W37" s="1"/>
      <c r="X37" s="1"/>
      <c r="Y37" s="3"/>
      <c r="Z37" s="3"/>
      <c r="AA37" s="3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/>
      <c r="N38" s="2"/>
      <c r="O38" s="3"/>
      <c r="P38" s="3"/>
      <c r="Q38" s="1"/>
      <c r="R38" s="1"/>
      <c r="S38" s="1"/>
      <c r="T38" s="1"/>
      <c r="U38" s="1"/>
      <c r="V38" s="1"/>
      <c r="W38" s="1"/>
      <c r="X38" s="1"/>
      <c r="Y38" s="3"/>
      <c r="Z38" s="3"/>
      <c r="AA38" s="3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/>
      <c r="N39" s="2"/>
      <c r="O39" s="3"/>
      <c r="P39" s="3"/>
      <c r="Q39" s="1"/>
      <c r="R39" s="1"/>
      <c r="S39" s="1"/>
      <c r="T39" s="1"/>
      <c r="U39" s="1"/>
      <c r="V39" s="1"/>
      <c r="W39" s="1"/>
      <c r="X39" s="1"/>
      <c r="Y39" s="3"/>
      <c r="Z39" s="3"/>
      <c r="AA39" s="3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"/>
      <c r="N40" s="2"/>
      <c r="O40" s="3"/>
      <c r="P40" s="3"/>
      <c r="Q40" s="1"/>
      <c r="R40" s="1"/>
      <c r="S40" s="1"/>
      <c r="T40" s="1"/>
      <c r="U40" s="1"/>
      <c r="V40" s="1"/>
      <c r="W40" s="1"/>
      <c r="X40" s="1"/>
      <c r="Y40" s="3"/>
      <c r="Z40" s="3"/>
      <c r="AA40" s="3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  <c r="N41" s="2"/>
      <c r="O41" s="3"/>
      <c r="P41" s="3"/>
      <c r="Q41" s="1"/>
      <c r="R41" s="1"/>
      <c r="S41" s="1"/>
      <c r="T41" s="1"/>
      <c r="U41" s="1"/>
      <c r="V41" s="1"/>
      <c r="W41" s="1"/>
      <c r="X41" s="1"/>
      <c r="Y41" s="3"/>
      <c r="Z41" s="3"/>
      <c r="AA41" s="3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"/>
      <c r="N42" s="2"/>
      <c r="O42" s="3"/>
      <c r="P42" s="3"/>
      <c r="Q42" s="1"/>
      <c r="R42" s="1"/>
      <c r="S42" s="1"/>
      <c r="T42" s="1"/>
      <c r="U42" s="1"/>
      <c r="V42" s="1"/>
      <c r="W42" s="1"/>
      <c r="X42" s="1"/>
      <c r="Y42" s="3"/>
      <c r="Z42" s="3"/>
      <c r="AA42" s="3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"/>
      <c r="N43" s="2"/>
      <c r="O43" s="3"/>
      <c r="P43" s="3"/>
      <c r="Q43" s="1"/>
      <c r="R43" s="1"/>
      <c r="S43" s="1"/>
      <c r="T43" s="1"/>
      <c r="U43" s="1"/>
      <c r="V43" s="1"/>
      <c r="W43" s="1"/>
      <c r="X43" s="1"/>
      <c r="Y43" s="3"/>
      <c r="Z43" s="3"/>
      <c r="AA43" s="3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2"/>
      <c r="N44" s="2"/>
      <c r="O44" s="3"/>
      <c r="P44" s="3"/>
      <c r="Q44" s="1"/>
      <c r="R44" s="1"/>
      <c r="S44" s="1"/>
      <c r="T44" s="1"/>
      <c r="U44" s="1"/>
      <c r="V44" s="1"/>
      <c r="W44" s="1"/>
      <c r="X44" s="1"/>
      <c r="Y44" s="3"/>
      <c r="Z44" s="3"/>
      <c r="AA44" s="3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"/>
      <c r="N45" s="2"/>
      <c r="O45" s="3"/>
      <c r="P45" s="3"/>
      <c r="Q45" s="1"/>
      <c r="R45" s="1"/>
      <c r="S45" s="1"/>
      <c r="T45" s="1"/>
      <c r="U45" s="1"/>
      <c r="V45" s="1"/>
      <c r="W45" s="1"/>
      <c r="X45" s="1"/>
      <c r="Y45" s="3"/>
      <c r="Z45" s="3"/>
      <c r="AA45" s="3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"/>
      <c r="N46" s="2"/>
      <c r="O46" s="3"/>
      <c r="P46" s="3"/>
      <c r="Q46" s="1"/>
      <c r="R46" s="1"/>
      <c r="S46" s="1"/>
      <c r="T46" s="1"/>
      <c r="U46" s="1"/>
      <c r="V46" s="1"/>
      <c r="W46" s="1"/>
      <c r="X46" s="1"/>
      <c r="Y46" s="3"/>
      <c r="Z46" s="3"/>
      <c r="AA46" s="3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"/>
      <c r="N47" s="2"/>
      <c r="O47" s="3"/>
      <c r="P47" s="3"/>
      <c r="Q47" s="1"/>
      <c r="R47" s="1"/>
      <c r="S47" s="1"/>
      <c r="T47" s="1"/>
      <c r="U47" s="1"/>
      <c r="V47" s="1"/>
      <c r="W47" s="1"/>
      <c r="X47" s="1"/>
      <c r="Y47" s="3"/>
      <c r="Z47" s="3"/>
      <c r="AA47" s="3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2"/>
      <c r="O48" s="3"/>
      <c r="P48" s="3"/>
      <c r="Q48" s="1"/>
      <c r="R48" s="1"/>
      <c r="S48" s="1"/>
      <c r="T48" s="1"/>
      <c r="U48" s="1"/>
      <c r="V48" s="1"/>
      <c r="W48" s="1"/>
      <c r="X48" s="1"/>
      <c r="Y48" s="3"/>
      <c r="Z48" s="3"/>
      <c r="AA48" s="3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N49" s="2"/>
      <c r="O49" s="3"/>
      <c r="P49" s="3"/>
      <c r="Q49" s="1"/>
      <c r="R49" s="1"/>
      <c r="S49" s="1"/>
      <c r="T49" s="1"/>
      <c r="U49" s="1"/>
      <c r="V49" s="1"/>
      <c r="W49" s="1"/>
      <c r="X49" s="1"/>
      <c r="Y49" s="3"/>
      <c r="Z49" s="3"/>
      <c r="AA49" s="3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2"/>
      <c r="O50" s="3"/>
      <c r="P50" s="3"/>
      <c r="Q50" s="1"/>
      <c r="R50" s="1"/>
      <c r="S50" s="1"/>
      <c r="T50" s="1"/>
      <c r="U50" s="1"/>
      <c r="V50" s="1"/>
      <c r="W50" s="1"/>
      <c r="X50" s="1"/>
      <c r="Y50" s="3"/>
      <c r="Z50" s="3"/>
      <c r="AA50" s="3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2"/>
      <c r="O51" s="3"/>
      <c r="P51" s="3"/>
      <c r="Q51" s="1"/>
      <c r="R51" s="1"/>
      <c r="S51" s="1"/>
      <c r="T51" s="1"/>
      <c r="U51" s="1"/>
      <c r="V51" s="1"/>
      <c r="W51" s="1"/>
      <c r="X51" s="1"/>
      <c r="Y51" s="3"/>
      <c r="Z51" s="3"/>
      <c r="AA51" s="3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2"/>
      <c r="O52" s="3"/>
      <c r="P52" s="3"/>
      <c r="Q52" s="1"/>
      <c r="R52" s="1"/>
      <c r="S52" s="1"/>
      <c r="T52" s="1"/>
      <c r="U52" s="1"/>
      <c r="V52" s="1"/>
      <c r="W52" s="1"/>
      <c r="X52" s="1"/>
      <c r="Y52" s="3"/>
      <c r="Z52" s="3"/>
      <c r="AA52" s="3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N53" s="2"/>
      <c r="O53" s="3"/>
      <c r="P53" s="3"/>
      <c r="Q53" s="1"/>
      <c r="R53" s="1"/>
      <c r="S53" s="1"/>
      <c r="T53" s="1"/>
      <c r="U53" s="1"/>
      <c r="V53" s="1"/>
      <c r="W53" s="1"/>
      <c r="X53" s="1"/>
      <c r="Y53" s="3"/>
      <c r="Z53" s="3"/>
      <c r="AA53" s="3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N54" s="2"/>
      <c r="O54" s="3"/>
      <c r="P54" s="3"/>
      <c r="Q54" s="1"/>
      <c r="R54" s="1"/>
      <c r="S54" s="1"/>
      <c r="T54" s="1"/>
      <c r="U54" s="1"/>
      <c r="V54" s="1"/>
      <c r="W54" s="1"/>
      <c r="X54" s="1"/>
      <c r="Y54" s="3"/>
      <c r="Z54" s="3"/>
      <c r="AA54" s="3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2"/>
      <c r="O55" s="3"/>
      <c r="P55" s="3"/>
      <c r="Q55" s="1"/>
      <c r="R55" s="1"/>
      <c r="S55" s="1"/>
      <c r="T55" s="1"/>
      <c r="U55" s="1"/>
      <c r="V55" s="1"/>
      <c r="W55" s="1"/>
      <c r="X55" s="1"/>
      <c r="Y55" s="3"/>
      <c r="Z55" s="3"/>
      <c r="AA55" s="3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N56" s="2"/>
      <c r="O56" s="3"/>
      <c r="P56" s="3"/>
      <c r="Q56" s="1"/>
      <c r="R56" s="1"/>
      <c r="S56" s="1"/>
      <c r="T56" s="1"/>
      <c r="U56" s="1"/>
      <c r="V56" s="1"/>
      <c r="W56" s="1"/>
      <c r="X56" s="1"/>
      <c r="Y56" s="3"/>
      <c r="Z56" s="3"/>
      <c r="AA56" s="3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2"/>
      <c r="O57" s="3"/>
      <c r="P57" s="3"/>
      <c r="Q57" s="1"/>
      <c r="R57" s="1"/>
      <c r="S57" s="1"/>
      <c r="T57" s="1"/>
      <c r="U57" s="1"/>
      <c r="V57" s="1"/>
      <c r="W57" s="1"/>
      <c r="X57" s="1"/>
      <c r="Y57" s="3"/>
      <c r="Z57" s="3"/>
      <c r="AA57" s="3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2"/>
      <c r="O58" s="3"/>
      <c r="P58" s="3"/>
      <c r="Q58" s="1"/>
      <c r="R58" s="1"/>
      <c r="S58" s="1"/>
      <c r="T58" s="1"/>
      <c r="U58" s="1"/>
      <c r="V58" s="1"/>
      <c r="W58" s="1"/>
      <c r="X58" s="1"/>
      <c r="Y58" s="3"/>
      <c r="Z58" s="3"/>
      <c r="AA58" s="3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2"/>
      <c r="O59" s="3"/>
      <c r="P59" s="3"/>
      <c r="Q59" s="1"/>
      <c r="R59" s="1"/>
      <c r="S59" s="1"/>
      <c r="T59" s="1"/>
      <c r="U59" s="1"/>
      <c r="V59" s="1"/>
      <c r="W59" s="1"/>
      <c r="X59" s="1"/>
      <c r="Y59" s="3"/>
      <c r="Z59" s="3"/>
      <c r="AA59" s="3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2"/>
      <c r="O60" s="3"/>
      <c r="P60" s="3"/>
      <c r="Q60" s="1"/>
      <c r="R60" s="1"/>
      <c r="S60" s="1"/>
      <c r="T60" s="1"/>
      <c r="U60" s="1"/>
      <c r="V60" s="1"/>
      <c r="W60" s="1"/>
      <c r="X60" s="1"/>
      <c r="Y60" s="3"/>
      <c r="Z60" s="3"/>
      <c r="AA60" s="3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2"/>
      <c r="O61" s="3"/>
      <c r="P61" s="3"/>
      <c r="Q61" s="1"/>
      <c r="R61" s="1"/>
      <c r="S61" s="1"/>
      <c r="T61" s="1"/>
      <c r="U61" s="1"/>
      <c r="V61" s="1"/>
      <c r="W61" s="1"/>
      <c r="X61" s="1"/>
      <c r="Y61" s="3"/>
      <c r="Z61" s="3"/>
      <c r="AA61" s="3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2"/>
      <c r="O62" s="3"/>
      <c r="P62" s="3"/>
      <c r="Q62" s="1"/>
      <c r="R62" s="1"/>
      <c r="S62" s="1"/>
      <c r="T62" s="1"/>
      <c r="U62" s="1"/>
      <c r="V62" s="1"/>
      <c r="W62" s="1"/>
      <c r="X62" s="1"/>
      <c r="Y62" s="3"/>
      <c r="Z62" s="3"/>
      <c r="AA62" s="3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2"/>
      <c r="O63" s="3"/>
      <c r="P63" s="3"/>
      <c r="Q63" s="1"/>
      <c r="R63" s="1"/>
      <c r="S63" s="1"/>
      <c r="T63" s="1"/>
      <c r="U63" s="1"/>
      <c r="V63" s="1"/>
      <c r="W63" s="1"/>
      <c r="X63" s="1"/>
      <c r="Y63" s="3"/>
      <c r="Z63" s="3"/>
      <c r="AA63" s="3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2"/>
      <c r="O64" s="3"/>
      <c r="P64" s="3"/>
      <c r="Q64" s="1"/>
      <c r="R64" s="1"/>
      <c r="S64" s="1"/>
      <c r="T64" s="1"/>
      <c r="U64" s="1"/>
      <c r="V64" s="1"/>
      <c r="W64" s="1"/>
      <c r="X64" s="1"/>
      <c r="Y64" s="3"/>
      <c r="Z64" s="3"/>
      <c r="AA64" s="3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2"/>
      <c r="O65" s="3"/>
      <c r="P65" s="3"/>
      <c r="Q65" s="1"/>
      <c r="R65" s="1"/>
      <c r="S65" s="1"/>
      <c r="T65" s="1"/>
      <c r="U65" s="1"/>
      <c r="V65" s="1"/>
      <c r="W65" s="1"/>
      <c r="X65" s="1"/>
      <c r="Y65" s="3"/>
      <c r="Z65" s="3"/>
      <c r="AA65" s="3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2"/>
      <c r="O66" s="3"/>
      <c r="P66" s="3"/>
      <c r="Q66" s="1"/>
      <c r="R66" s="1"/>
      <c r="S66" s="1"/>
      <c r="T66" s="1"/>
      <c r="U66" s="1"/>
      <c r="V66" s="1"/>
      <c r="W66" s="1"/>
      <c r="X66" s="1"/>
      <c r="Y66" s="3"/>
      <c r="Z66" s="3"/>
      <c r="AA66" s="3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2"/>
      <c r="O67" s="3"/>
      <c r="P67" s="3"/>
      <c r="Q67" s="1"/>
      <c r="R67" s="1"/>
      <c r="S67" s="1"/>
      <c r="T67" s="1"/>
      <c r="U67" s="1"/>
      <c r="V67" s="1"/>
      <c r="W67" s="1"/>
      <c r="X67" s="1"/>
      <c r="Y67" s="3"/>
      <c r="Z67" s="3"/>
      <c r="AA67" s="3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2"/>
      <c r="O68" s="3"/>
      <c r="P68" s="3"/>
      <c r="Q68" s="1"/>
      <c r="R68" s="1"/>
      <c r="S68" s="1"/>
      <c r="T68" s="1"/>
      <c r="U68" s="1"/>
      <c r="V68" s="1"/>
      <c r="W68" s="1"/>
      <c r="X68" s="1"/>
      <c r="Y68" s="3"/>
      <c r="Z68" s="3"/>
      <c r="AA68" s="3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2"/>
      <c r="O69" s="3"/>
      <c r="P69" s="3"/>
      <c r="Q69" s="1"/>
      <c r="R69" s="1"/>
      <c r="S69" s="1"/>
      <c r="T69" s="1"/>
      <c r="U69" s="1"/>
      <c r="V69" s="1"/>
      <c r="W69" s="1"/>
      <c r="X69" s="1"/>
      <c r="Y69" s="3"/>
      <c r="Z69" s="3"/>
      <c r="AA69" s="3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2"/>
      <c r="O70" s="3"/>
      <c r="P70" s="3"/>
      <c r="Q70" s="1"/>
      <c r="R70" s="1"/>
      <c r="S70" s="1"/>
      <c r="T70" s="1"/>
      <c r="U70" s="1"/>
      <c r="V70" s="1"/>
      <c r="W70" s="1"/>
      <c r="X70" s="1"/>
      <c r="Y70" s="3"/>
      <c r="Z70" s="3"/>
      <c r="AA70" s="3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O71" s="3"/>
      <c r="P71" s="3"/>
      <c r="Q71" s="1"/>
      <c r="R71" s="1"/>
      <c r="S71" s="1"/>
      <c r="T71" s="1"/>
      <c r="U71" s="1"/>
      <c r="V71" s="1"/>
      <c r="W71" s="1"/>
      <c r="X71" s="1"/>
      <c r="Y71" s="3"/>
      <c r="Z71" s="3"/>
      <c r="AA71" s="3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2"/>
      <c r="O72" s="3"/>
      <c r="P72" s="3"/>
      <c r="Q72" s="1"/>
      <c r="R72" s="1"/>
      <c r="S72" s="1"/>
      <c r="T72" s="1"/>
      <c r="U72" s="1"/>
      <c r="V72" s="1"/>
      <c r="W72" s="1"/>
      <c r="X72" s="1"/>
      <c r="Y72" s="3"/>
      <c r="Z72" s="3"/>
      <c r="AA72" s="3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2"/>
      <c r="O73" s="3"/>
      <c r="P73" s="3"/>
      <c r="Q73" s="1"/>
      <c r="R73" s="1"/>
      <c r="S73" s="1"/>
      <c r="T73" s="1"/>
      <c r="U73" s="1"/>
      <c r="V73" s="1"/>
      <c r="W73" s="1"/>
      <c r="X73" s="1"/>
      <c r="Y73" s="3"/>
      <c r="Z73" s="3"/>
      <c r="AA73" s="3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2"/>
      <c r="O74" s="3"/>
      <c r="P74" s="3"/>
      <c r="Q74" s="1"/>
      <c r="R74" s="1"/>
      <c r="S74" s="1"/>
      <c r="T74" s="1"/>
      <c r="U74" s="1"/>
      <c r="V74" s="1"/>
      <c r="W74" s="1"/>
      <c r="X74" s="1"/>
      <c r="Y74" s="3"/>
      <c r="Z74" s="3"/>
      <c r="AA74" s="3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2"/>
      <c r="O75" s="3"/>
      <c r="P75" s="3"/>
      <c r="Q75" s="1"/>
      <c r="R75" s="1"/>
      <c r="S75" s="1"/>
      <c r="T75" s="1"/>
      <c r="U75" s="1"/>
      <c r="V75" s="1"/>
      <c r="W75" s="1"/>
      <c r="X75" s="1"/>
      <c r="Y75" s="3"/>
      <c r="Z75" s="3"/>
      <c r="AA75" s="3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2"/>
      <c r="O76" s="3"/>
      <c r="P76" s="3"/>
      <c r="Q76" s="1"/>
      <c r="R76" s="1"/>
      <c r="S76" s="1"/>
      <c r="T76" s="1"/>
      <c r="U76" s="1"/>
      <c r="V76" s="1"/>
      <c r="W76" s="1"/>
      <c r="X76" s="1"/>
      <c r="Y76" s="3"/>
      <c r="Z76" s="3"/>
      <c r="AA76" s="3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2"/>
      <c r="O77" s="3"/>
      <c r="P77" s="3"/>
      <c r="Q77" s="1"/>
      <c r="R77" s="1"/>
      <c r="S77" s="1"/>
      <c r="T77" s="1"/>
      <c r="U77" s="1"/>
      <c r="V77" s="1"/>
      <c r="W77" s="1"/>
      <c r="X77" s="1"/>
      <c r="Y77" s="3"/>
      <c r="Z77" s="3"/>
      <c r="AA77" s="3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2"/>
      <c r="O78" s="3"/>
      <c r="P78" s="3"/>
      <c r="Q78" s="1"/>
      <c r="R78" s="1"/>
      <c r="S78" s="1"/>
      <c r="T78" s="1"/>
      <c r="U78" s="1"/>
      <c r="V78" s="1"/>
      <c r="W78" s="1"/>
      <c r="X78" s="1"/>
      <c r="Y78" s="3"/>
      <c r="Z78" s="3"/>
      <c r="AA78" s="3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2"/>
      <c r="O79" s="3"/>
      <c r="P79" s="3"/>
      <c r="Q79" s="1"/>
      <c r="R79" s="1"/>
      <c r="S79" s="1"/>
      <c r="T79" s="1"/>
      <c r="U79" s="1"/>
      <c r="V79" s="1"/>
      <c r="W79" s="1"/>
      <c r="X79" s="1"/>
      <c r="Y79" s="3"/>
      <c r="Z79" s="3"/>
      <c r="AA79" s="3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2"/>
      <c r="O80" s="3"/>
      <c r="P80" s="3"/>
      <c r="Q80" s="1"/>
      <c r="R80" s="1"/>
      <c r="S80" s="1"/>
      <c r="T80" s="1"/>
      <c r="U80" s="1"/>
      <c r="V80" s="1"/>
      <c r="W80" s="1"/>
      <c r="X80" s="1"/>
      <c r="Y80" s="3"/>
      <c r="Z80" s="3"/>
      <c r="AA80" s="3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2"/>
      <c r="O81" s="3"/>
      <c r="P81" s="3"/>
      <c r="Q81" s="1"/>
      <c r="R81" s="1"/>
      <c r="S81" s="1"/>
      <c r="T81" s="1"/>
      <c r="U81" s="1"/>
      <c r="V81" s="1"/>
      <c r="W81" s="1"/>
      <c r="X81" s="1"/>
      <c r="Y81" s="3"/>
      <c r="Z81" s="3"/>
      <c r="AA81" s="3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2"/>
      <c r="O82" s="3"/>
      <c r="P82" s="3"/>
      <c r="Q82" s="1"/>
      <c r="R82" s="1"/>
      <c r="S82" s="1"/>
      <c r="T82" s="1"/>
      <c r="U82" s="1"/>
      <c r="V82" s="1"/>
      <c r="W82" s="1"/>
      <c r="X82" s="1"/>
      <c r="Y82" s="3"/>
      <c r="Z82" s="3"/>
      <c r="AA82" s="3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2"/>
      <c r="O83" s="3"/>
      <c r="P83" s="3"/>
      <c r="Q83" s="1"/>
      <c r="R83" s="1"/>
      <c r="S83" s="1"/>
      <c r="T83" s="1"/>
      <c r="U83" s="1"/>
      <c r="V83" s="1"/>
      <c r="W83" s="1"/>
      <c r="X83" s="1"/>
      <c r="Y83" s="3"/>
      <c r="Z83" s="3"/>
      <c r="AA83" s="3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2"/>
      <c r="O84" s="3"/>
      <c r="P84" s="3"/>
      <c r="Q84" s="1"/>
      <c r="R84" s="1"/>
      <c r="S84" s="1"/>
      <c r="T84" s="1"/>
      <c r="U84" s="1"/>
      <c r="V84" s="1"/>
      <c r="W84" s="1"/>
      <c r="X84" s="1"/>
      <c r="Y84" s="3"/>
      <c r="Z84" s="3"/>
      <c r="AA84" s="3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2"/>
      <c r="O85" s="3"/>
      <c r="P85" s="3"/>
      <c r="Q85" s="1"/>
      <c r="R85" s="1"/>
      <c r="S85" s="1"/>
      <c r="T85" s="1"/>
      <c r="U85" s="1"/>
      <c r="V85" s="1"/>
      <c r="W85" s="1"/>
      <c r="X85" s="1"/>
      <c r="Y85" s="3"/>
      <c r="Z85" s="3"/>
      <c r="AA85" s="3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2"/>
      <c r="O86" s="3"/>
      <c r="P86" s="3"/>
      <c r="Q86" s="1"/>
      <c r="R86" s="1"/>
      <c r="S86" s="1"/>
      <c r="T86" s="1"/>
      <c r="U86" s="1"/>
      <c r="V86" s="1"/>
      <c r="W86" s="1"/>
      <c r="X86" s="1"/>
      <c r="Y86" s="3"/>
      <c r="Z86" s="3"/>
      <c r="AA86" s="3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2"/>
      <c r="O87" s="3"/>
      <c r="P87" s="3"/>
      <c r="Q87" s="1"/>
      <c r="R87" s="1"/>
      <c r="S87" s="1"/>
      <c r="T87" s="1"/>
      <c r="U87" s="1"/>
      <c r="V87" s="1"/>
      <c r="W87" s="1"/>
      <c r="X87" s="1"/>
      <c r="Y87" s="3"/>
      <c r="Z87" s="3"/>
      <c r="AA87" s="3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2"/>
      <c r="O88" s="3"/>
      <c r="P88" s="3"/>
      <c r="Q88" s="1"/>
      <c r="R88" s="1"/>
      <c r="S88" s="1"/>
      <c r="T88" s="1"/>
      <c r="U88" s="1"/>
      <c r="V88" s="1"/>
      <c r="W88" s="1"/>
      <c r="X88" s="1"/>
      <c r="Y88" s="3"/>
      <c r="Z88" s="3"/>
      <c r="AA88" s="3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2"/>
      <c r="O89" s="3"/>
      <c r="P89" s="3"/>
      <c r="Q89" s="1"/>
      <c r="R89" s="1"/>
      <c r="S89" s="1"/>
      <c r="T89" s="1"/>
      <c r="U89" s="1"/>
      <c r="V89" s="1"/>
      <c r="W89" s="1"/>
      <c r="X89" s="1"/>
      <c r="Y89" s="3"/>
      <c r="Z89" s="3"/>
      <c r="AA89" s="3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2"/>
      <c r="O90" s="3"/>
      <c r="P90" s="3"/>
      <c r="Q90" s="1"/>
      <c r="R90" s="1"/>
      <c r="S90" s="1"/>
      <c r="T90" s="1"/>
      <c r="U90" s="1"/>
      <c r="V90" s="1"/>
      <c r="W90" s="1"/>
      <c r="X90" s="1"/>
      <c r="Y90" s="3"/>
      <c r="Z90" s="3"/>
      <c r="AA90" s="3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2"/>
      <c r="O91" s="3"/>
      <c r="P91" s="3"/>
      <c r="Q91" s="1"/>
      <c r="R91" s="1"/>
      <c r="S91" s="1"/>
      <c r="T91" s="1"/>
      <c r="U91" s="1"/>
      <c r="V91" s="1"/>
      <c r="W91" s="1"/>
      <c r="X91" s="1"/>
      <c r="Y91" s="3"/>
      <c r="Z91" s="3"/>
      <c r="AA91" s="3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2"/>
      <c r="O92" s="3"/>
      <c r="P92" s="3"/>
      <c r="Q92" s="1"/>
      <c r="R92" s="1"/>
      <c r="S92" s="1"/>
      <c r="T92" s="1"/>
      <c r="U92" s="1"/>
      <c r="V92" s="1"/>
      <c r="W92" s="1"/>
      <c r="X92" s="1"/>
      <c r="Y92" s="3"/>
      <c r="Z92" s="3"/>
      <c r="AA92" s="3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2"/>
      <c r="O93" s="3"/>
      <c r="P93" s="3"/>
      <c r="Q93" s="1"/>
      <c r="R93" s="1"/>
      <c r="S93" s="1"/>
      <c r="T93" s="1"/>
      <c r="U93" s="1"/>
      <c r="V93" s="1"/>
      <c r="W93" s="1"/>
      <c r="X93" s="1"/>
      <c r="Y93" s="3"/>
      <c r="Z93" s="3"/>
      <c r="AA93" s="3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2"/>
      <c r="O94" s="3"/>
      <c r="P94" s="3"/>
      <c r="Q94" s="1"/>
      <c r="R94" s="1"/>
      <c r="S94" s="1"/>
      <c r="T94" s="1"/>
      <c r="U94" s="1"/>
      <c r="V94" s="1"/>
      <c r="W94" s="1"/>
      <c r="X94" s="1"/>
      <c r="Y94" s="3"/>
      <c r="Z94" s="3"/>
      <c r="AA94" s="3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2"/>
      <c r="O95" s="3"/>
      <c r="P95" s="3"/>
      <c r="Q95" s="1"/>
      <c r="R95" s="1"/>
      <c r="S95" s="1"/>
      <c r="T95" s="1"/>
      <c r="U95" s="1"/>
      <c r="V95" s="1"/>
      <c r="W95" s="1"/>
      <c r="X95" s="1"/>
      <c r="Y95" s="3"/>
      <c r="Z95" s="3"/>
      <c r="AA95" s="3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2"/>
      <c r="O96" s="3"/>
      <c r="P96" s="3"/>
      <c r="Q96" s="1"/>
      <c r="R96" s="1"/>
      <c r="S96" s="1"/>
      <c r="T96" s="1"/>
      <c r="U96" s="1"/>
      <c r="V96" s="1"/>
      <c r="W96" s="1"/>
      <c r="X96" s="1"/>
      <c r="Y96" s="3"/>
      <c r="Z96" s="3"/>
      <c r="AA96" s="3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2"/>
      <c r="O97" s="3"/>
      <c r="P97" s="3"/>
      <c r="Q97" s="1"/>
      <c r="R97" s="1"/>
      <c r="S97" s="1"/>
      <c r="T97" s="1"/>
      <c r="U97" s="1"/>
      <c r="V97" s="1"/>
      <c r="W97" s="1"/>
      <c r="X97" s="1"/>
      <c r="Y97" s="3"/>
      <c r="Z97" s="3"/>
      <c r="AA97" s="3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2"/>
      <c r="O98" s="3"/>
      <c r="P98" s="3"/>
      <c r="Q98" s="1"/>
      <c r="R98" s="1"/>
      <c r="S98" s="1"/>
      <c r="T98" s="1"/>
      <c r="U98" s="1"/>
      <c r="V98" s="1"/>
      <c r="W98" s="1"/>
      <c r="X98" s="1"/>
      <c r="Y98" s="3"/>
      <c r="Z98" s="3"/>
      <c r="AA98" s="3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2"/>
      <c r="O99" s="3"/>
      <c r="P99" s="3"/>
      <c r="Q99" s="1"/>
      <c r="R99" s="1"/>
      <c r="S99" s="1"/>
      <c r="T99" s="1"/>
      <c r="U99" s="1"/>
      <c r="V99" s="1"/>
      <c r="W99" s="1"/>
      <c r="X99" s="1"/>
      <c r="Y99" s="3"/>
      <c r="Z99" s="3"/>
      <c r="AA99" s="3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2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3"/>
      <c r="Z100" s="3"/>
      <c r="AA100" s="3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2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3"/>
      <c r="Z101" s="3"/>
      <c r="AA101" s="3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2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3"/>
      <c r="Z102" s="3"/>
      <c r="AA102" s="3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2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3"/>
      <c r="Z103" s="3"/>
      <c r="AA103" s="3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2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3"/>
      <c r="Z104" s="3"/>
      <c r="AA104" s="3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2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3"/>
      <c r="Z105" s="3"/>
      <c r="AA105" s="3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2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3"/>
      <c r="Z106" s="3"/>
      <c r="AA106" s="3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2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3"/>
      <c r="Z107" s="3"/>
      <c r="AA107" s="3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2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3"/>
      <c r="Z108" s="3"/>
      <c r="AA108" s="3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2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3"/>
      <c r="Z109" s="3"/>
      <c r="AA109" s="3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2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3"/>
      <c r="Z110" s="3"/>
      <c r="AA110" s="3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2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3"/>
      <c r="Z111" s="3"/>
      <c r="AA111" s="3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2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3"/>
      <c r="Z112" s="3"/>
      <c r="AA112" s="3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2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3"/>
      <c r="Z113" s="3"/>
      <c r="AA113" s="3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2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3"/>
      <c r="Z114" s="3"/>
      <c r="AA114" s="3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2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3"/>
      <c r="Z115" s="3"/>
      <c r="AA115" s="3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2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3"/>
      <c r="Z116" s="3"/>
      <c r="AA116" s="3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2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3"/>
      <c r="Z117" s="3"/>
      <c r="AA117" s="3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2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3"/>
      <c r="Z118" s="3"/>
      <c r="AA118" s="3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2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3"/>
      <c r="Z119" s="3"/>
      <c r="AA119" s="3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2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3"/>
      <c r="Z120" s="3"/>
      <c r="AA120" s="3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2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3"/>
      <c r="Z121" s="3"/>
      <c r="AA121" s="3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2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3"/>
      <c r="Z122" s="3"/>
      <c r="AA122" s="3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2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3"/>
      <c r="Z123" s="3"/>
      <c r="AA123" s="3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2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3"/>
      <c r="Z124" s="3"/>
      <c r="AA124" s="3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2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3"/>
      <c r="Z125" s="3"/>
      <c r="AA125" s="3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2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3"/>
      <c r="Z126" s="3"/>
      <c r="AA126" s="3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2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3"/>
      <c r="Z127" s="3"/>
      <c r="AA127" s="3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2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3"/>
      <c r="Z128" s="3"/>
      <c r="AA128" s="3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2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3"/>
      <c r="Z129" s="3"/>
      <c r="AA129" s="3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2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3"/>
      <c r="Z130" s="3"/>
      <c r="AA130" s="3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2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3"/>
      <c r="Z131" s="3"/>
      <c r="AA131" s="3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2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3"/>
      <c r="Z132" s="3"/>
      <c r="AA132" s="3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2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3"/>
      <c r="Z133" s="3"/>
      <c r="AA133" s="3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2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3"/>
      <c r="Z134" s="3"/>
      <c r="AA134" s="3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2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3"/>
      <c r="Z135" s="3"/>
      <c r="AA135" s="3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2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3"/>
      <c r="Z136" s="3"/>
      <c r="AA136" s="3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2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3"/>
      <c r="Z137" s="3"/>
      <c r="AA137" s="3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2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3"/>
      <c r="Z138" s="3"/>
      <c r="AA138" s="3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2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3"/>
      <c r="Z139" s="3"/>
      <c r="AA139" s="3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2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3"/>
      <c r="Z140" s="3"/>
      <c r="AA140" s="3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2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3"/>
      <c r="Z141" s="3"/>
      <c r="AA141" s="3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2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3"/>
      <c r="Z142" s="3"/>
      <c r="AA142" s="3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2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3"/>
      <c r="Z143" s="3"/>
      <c r="AA143" s="3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2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3"/>
      <c r="Z144" s="3"/>
      <c r="AA144" s="3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2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3"/>
      <c r="Z145" s="3"/>
      <c r="AA145" s="3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2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3"/>
      <c r="Z146" s="3"/>
      <c r="AA146" s="3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2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3"/>
      <c r="Z147" s="3"/>
      <c r="AA147" s="3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2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3"/>
      <c r="Z148" s="3"/>
      <c r="AA148" s="3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2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3"/>
      <c r="Z149" s="3"/>
      <c r="AA149" s="3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2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3"/>
      <c r="Z150" s="3"/>
      <c r="AA150" s="3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2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3"/>
      <c r="Z151" s="3"/>
      <c r="AA151" s="3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2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3"/>
      <c r="Z152" s="3"/>
      <c r="AA152" s="3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2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3"/>
      <c r="Z153" s="3"/>
      <c r="AA153" s="3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2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3"/>
      <c r="Z154" s="3"/>
      <c r="AA154" s="3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3"/>
      <c r="Z155" s="3"/>
      <c r="AA155" s="3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2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3"/>
      <c r="Z156" s="3"/>
      <c r="AA156" s="3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2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3"/>
      <c r="Z157" s="3"/>
      <c r="AA157" s="3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2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3"/>
      <c r="Z158" s="3"/>
      <c r="AA158" s="3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2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3"/>
      <c r="Z159" s="3"/>
      <c r="AA159" s="3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2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3"/>
      <c r="Z160" s="3"/>
      <c r="AA160" s="3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2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3"/>
      <c r="Z161" s="3"/>
      <c r="AA161" s="3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2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3"/>
      <c r="Z162" s="3"/>
      <c r="AA162" s="3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2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3"/>
      <c r="Z163" s="3"/>
      <c r="AA163" s="3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2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3"/>
      <c r="Z164" s="3"/>
      <c r="AA164" s="3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2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3"/>
      <c r="Z165" s="3"/>
      <c r="AA165" s="3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2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3"/>
      <c r="Z166" s="3"/>
      <c r="AA166" s="3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2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3"/>
      <c r="Z167" s="3"/>
      <c r="AA167" s="3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2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3"/>
      <c r="Z168" s="3"/>
      <c r="AA168" s="3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2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3"/>
      <c r="Z169" s="3"/>
      <c r="AA169" s="3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2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3"/>
      <c r="Z170" s="3"/>
      <c r="AA170" s="3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2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3"/>
      <c r="Z171" s="3"/>
      <c r="AA171" s="3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2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3"/>
      <c r="Z172" s="3"/>
      <c r="AA172" s="3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2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3"/>
      <c r="Z173" s="3"/>
      <c r="AA173" s="3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2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3"/>
      <c r="Z174" s="3"/>
      <c r="AA174" s="3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2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3"/>
      <c r="Z175" s="3"/>
      <c r="AA175" s="3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3"/>
      <c r="Z176" s="3"/>
      <c r="AA176" s="3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2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3"/>
      <c r="Z177" s="3"/>
      <c r="AA177" s="3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2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3"/>
      <c r="Z178" s="3"/>
      <c r="AA178" s="3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2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3"/>
      <c r="Z179" s="3"/>
      <c r="AA179" s="3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2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3"/>
      <c r="Z180" s="3"/>
      <c r="AA180" s="3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2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3"/>
      <c r="Z181" s="3"/>
      <c r="AA181" s="3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2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3"/>
      <c r="Z182" s="3"/>
      <c r="AA182" s="3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2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3"/>
      <c r="Z183" s="3"/>
      <c r="AA183" s="3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2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3"/>
      <c r="Z184" s="3"/>
      <c r="AA184" s="3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2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3"/>
      <c r="Z185" s="3"/>
      <c r="AA185" s="3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2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3"/>
      <c r="Z186" s="3"/>
      <c r="AA186" s="3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2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3"/>
      <c r="Z187" s="3"/>
      <c r="AA187" s="3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2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3"/>
      <c r="Z188" s="3"/>
      <c r="AA188" s="3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2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3"/>
      <c r="Z189" s="3"/>
      <c r="AA189" s="3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2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3"/>
      <c r="Z190" s="3"/>
      <c r="AA190" s="3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2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3"/>
      <c r="Z191" s="3"/>
      <c r="AA191" s="3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2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3"/>
      <c r="Z192" s="3"/>
      <c r="AA192" s="3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2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3"/>
      <c r="Z193" s="3"/>
      <c r="AA193" s="3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2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3"/>
      <c r="Z194" s="3"/>
      <c r="AA194" s="3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2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3"/>
      <c r="Z195" s="3"/>
      <c r="AA195" s="3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2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3"/>
      <c r="Z196" s="3"/>
      <c r="AA196" s="3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2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3"/>
      <c r="Z197" s="3"/>
      <c r="AA197" s="3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2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3"/>
      <c r="Z198" s="3"/>
      <c r="AA198" s="3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2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3"/>
      <c r="Z199" s="3"/>
      <c r="AA199" s="3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2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3"/>
      <c r="Z200" s="3"/>
      <c r="AA200" s="3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2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3"/>
      <c r="Z201" s="3"/>
      <c r="AA201" s="3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2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3"/>
      <c r="Z202" s="3"/>
      <c r="AA202" s="3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2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3"/>
      <c r="Z203" s="3"/>
      <c r="AA203" s="3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2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3"/>
      <c r="Z204" s="3"/>
      <c r="AA204" s="3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2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3"/>
      <c r="Z205" s="3"/>
      <c r="AA205" s="3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2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3"/>
      <c r="Z206" s="3"/>
      <c r="AA206" s="3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2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3"/>
      <c r="Z207" s="3"/>
      <c r="AA207" s="3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2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3"/>
      <c r="Z208" s="3"/>
      <c r="AA208" s="3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2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3"/>
      <c r="Z209" s="3"/>
      <c r="AA209" s="3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2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3"/>
      <c r="Z210" s="3"/>
      <c r="AA210" s="3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2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3"/>
      <c r="Z211" s="3"/>
      <c r="AA211" s="3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2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3"/>
      <c r="Z212" s="3"/>
      <c r="AA212" s="3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2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3"/>
      <c r="Z213" s="3"/>
      <c r="AA213" s="3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2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3"/>
      <c r="Z214" s="3"/>
      <c r="AA214" s="3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2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3"/>
      <c r="Z215" s="3"/>
      <c r="AA215" s="3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2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3"/>
      <c r="Z216" s="3"/>
      <c r="AA216" s="3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2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3"/>
      <c r="Z217" s="3"/>
      <c r="AA217" s="3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2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3"/>
      <c r="Z218" s="3"/>
      <c r="AA218" s="3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2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3"/>
      <c r="Z219" s="3"/>
      <c r="AA219" s="3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2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3"/>
      <c r="Z220" s="3"/>
      <c r="AA220" s="3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2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3"/>
      <c r="Z221" s="3"/>
      <c r="AA221" s="3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2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3"/>
      <c r="Z222" s="3"/>
      <c r="AA222" s="3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2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3"/>
      <c r="Z223" s="3"/>
      <c r="AA223" s="3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2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3"/>
      <c r="Z224" s="3"/>
      <c r="AA224" s="3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2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3"/>
      <c r="Z225" s="3"/>
      <c r="AA225" s="3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2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3"/>
      <c r="Z226" s="3"/>
      <c r="AA226" s="3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2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3"/>
      <c r="Z227" s="3"/>
      <c r="AA227" s="3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2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3"/>
      <c r="Z228" s="3"/>
      <c r="AA228" s="3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2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3"/>
      <c r="Z229" s="3"/>
      <c r="AA229" s="3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2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3"/>
      <c r="Z230" s="3"/>
      <c r="AA230" s="3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2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3"/>
      <c r="Z231" s="3"/>
      <c r="AA231" s="3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2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3"/>
      <c r="Z232" s="3"/>
      <c r="AA232" s="3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"/>
      <c r="N233" s="2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3"/>
      <c r="Z233" s="3"/>
      <c r="AA233" s="3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"/>
      <c r="N234" s="2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3"/>
      <c r="Z234" s="3"/>
      <c r="AA234" s="3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"/>
      <c r="N235" s="2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3"/>
      <c r="Z235" s="3"/>
      <c r="AA235" s="3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"/>
      <c r="N236" s="2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3"/>
      <c r="Z236" s="3"/>
      <c r="AA236" s="3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"/>
      <c r="N237" s="2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3"/>
      <c r="Z237" s="3"/>
      <c r="AA237" s="3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"/>
      <c r="N238" s="2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3"/>
      <c r="Z238" s="3"/>
      <c r="AA238" s="3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"/>
      <c r="N239" s="2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3"/>
      <c r="Z239" s="3"/>
      <c r="AA239" s="3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"/>
      <c r="N240" s="2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3"/>
      <c r="Z240" s="3"/>
      <c r="AA240" s="3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"/>
      <c r="N241" s="2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3"/>
      <c r="Z241" s="3"/>
      <c r="AA241" s="3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"/>
      <c r="N242" s="2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3"/>
      <c r="Z242" s="3"/>
      <c r="AA242" s="3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"/>
      <c r="N243" s="2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3"/>
      <c r="Z243" s="3"/>
      <c r="AA243" s="3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"/>
      <c r="N244" s="2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3"/>
      <c r="Z244" s="3"/>
      <c r="AA244" s="3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"/>
      <c r="N245" s="2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3"/>
      <c r="Z245" s="3"/>
      <c r="AA245" s="3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"/>
      <c r="N246" s="2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3"/>
      <c r="Z246" s="3"/>
      <c r="AA246" s="3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"/>
      <c r="N247" s="2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3"/>
      <c r="Z247" s="3"/>
      <c r="AA247" s="3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"/>
      <c r="N248" s="2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3"/>
      <c r="Z248" s="3"/>
      <c r="AA248" s="3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"/>
      <c r="N249" s="2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3"/>
      <c r="Z249" s="3"/>
      <c r="AA249" s="3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"/>
      <c r="N250" s="2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3"/>
      <c r="Z250" s="3"/>
      <c r="AA250" s="3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"/>
      <c r="N251" s="2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3"/>
      <c r="Z251" s="3"/>
      <c r="AA251" s="3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"/>
      <c r="N252" s="2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3"/>
      <c r="Z252" s="3"/>
      <c r="AA252" s="3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"/>
      <c r="N253" s="2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3"/>
      <c r="Z253" s="3"/>
      <c r="AA253" s="3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"/>
      <c r="N254" s="2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3"/>
      <c r="Z254" s="3"/>
      <c r="AA254" s="3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"/>
      <c r="N255" s="2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3"/>
      <c r="Z255" s="3"/>
      <c r="AA255" s="3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"/>
      <c r="N256" s="2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3"/>
      <c r="Z256" s="3"/>
      <c r="AA256" s="3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"/>
      <c r="N257" s="2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3"/>
      <c r="Z257" s="3"/>
      <c r="AA257" s="3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"/>
      <c r="N258" s="2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3"/>
      <c r="Z258" s="3"/>
      <c r="AA258" s="3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"/>
      <c r="N259" s="2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3"/>
      <c r="Z259" s="3"/>
      <c r="AA259" s="3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"/>
      <c r="N260" s="2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3"/>
      <c r="Z260" s="3"/>
      <c r="AA260" s="3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"/>
      <c r="N261" s="2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3"/>
      <c r="Z261" s="3"/>
      <c r="AA261" s="3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"/>
      <c r="N262" s="2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3"/>
      <c r="Z262" s="3"/>
      <c r="AA262" s="3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"/>
      <c r="N263" s="2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3"/>
      <c r="Z263" s="3"/>
      <c r="AA263" s="3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"/>
      <c r="N264" s="2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3"/>
      <c r="Z264" s="3"/>
      <c r="AA264" s="3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"/>
      <c r="N265" s="2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3"/>
      <c r="Z265" s="3"/>
      <c r="AA265" s="3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"/>
      <c r="N266" s="2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3"/>
      <c r="Z266" s="3"/>
      <c r="AA266" s="3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"/>
      <c r="N267" s="2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3"/>
      <c r="Z267" s="3"/>
      <c r="AA267" s="3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"/>
      <c r="N268" s="2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3"/>
      <c r="Z268" s="3"/>
      <c r="AA268" s="3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"/>
      <c r="N269" s="2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3"/>
      <c r="Z269" s="3"/>
      <c r="AA269" s="3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"/>
      <c r="N270" s="2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3"/>
      <c r="Z270" s="3"/>
      <c r="AA270" s="3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"/>
      <c r="N271" s="2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3"/>
      <c r="Z271" s="3"/>
      <c r="AA271" s="3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"/>
      <c r="N272" s="2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3"/>
      <c r="Z272" s="3"/>
      <c r="AA272" s="3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"/>
      <c r="N273" s="2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3"/>
      <c r="Z273" s="3"/>
      <c r="AA273" s="3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"/>
      <c r="N274" s="2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3"/>
      <c r="Z274" s="3"/>
      <c r="AA274" s="3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"/>
      <c r="N275" s="2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3"/>
      <c r="Z275" s="3"/>
      <c r="AA275" s="3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"/>
      <c r="N276" s="2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3"/>
      <c r="Z276" s="3"/>
      <c r="AA276" s="3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"/>
      <c r="N277" s="2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3"/>
      <c r="Z277" s="3"/>
      <c r="AA277" s="3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"/>
      <c r="N278" s="2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3"/>
      <c r="Z278" s="3"/>
      <c r="AA278" s="3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"/>
      <c r="N279" s="2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3"/>
      <c r="Z279" s="3"/>
      <c r="AA279" s="3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"/>
      <c r="N280" s="2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3"/>
      <c r="Z280" s="3"/>
      <c r="AA280" s="3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"/>
      <c r="N281" s="2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3"/>
      <c r="Z281" s="3"/>
      <c r="AA281" s="3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"/>
      <c r="N282" s="2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3"/>
      <c r="Z282" s="3"/>
      <c r="AA282" s="3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"/>
      <c r="N283" s="2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3"/>
      <c r="Z283" s="3"/>
      <c r="AA283" s="3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"/>
      <c r="N284" s="2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3"/>
      <c r="Z284" s="3"/>
      <c r="AA284" s="3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"/>
      <c r="N285" s="2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3"/>
      <c r="Z285" s="3"/>
      <c r="AA285" s="3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"/>
      <c r="N286" s="2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3"/>
      <c r="Z286" s="3"/>
      <c r="AA286" s="3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"/>
      <c r="N287" s="2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3"/>
      <c r="Z287" s="3"/>
      <c r="AA287" s="3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"/>
      <c r="N288" s="2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3"/>
      <c r="Z288" s="3"/>
      <c r="AA288" s="3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"/>
      <c r="N289" s="2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3"/>
      <c r="Z289" s="3"/>
      <c r="AA289" s="3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"/>
      <c r="N290" s="2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3"/>
      <c r="Z290" s="3"/>
      <c r="AA290" s="3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"/>
      <c r="N291" s="2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3"/>
      <c r="Z291" s="3"/>
      <c r="AA291" s="3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"/>
      <c r="N292" s="2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3"/>
      <c r="Z292" s="3"/>
      <c r="AA292" s="3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"/>
      <c r="N293" s="2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3"/>
      <c r="Z293" s="3"/>
      <c r="AA293" s="3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"/>
      <c r="N294" s="2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3"/>
      <c r="Z294" s="3"/>
      <c r="AA294" s="3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"/>
      <c r="N295" s="2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3"/>
      <c r="Z295" s="3"/>
      <c r="AA295" s="3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2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3"/>
      <c r="Z296" s="3"/>
      <c r="AA296" s="3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"/>
      <c r="N297" s="2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3"/>
      <c r="Z297" s="3"/>
      <c r="AA297" s="3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2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3"/>
      <c r="Z298" s="3"/>
      <c r="AA298" s="3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"/>
      <c r="N299" s="2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3"/>
      <c r="Z299" s="3"/>
      <c r="AA299" s="3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2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3"/>
      <c r="Z300" s="3"/>
      <c r="AA300" s="3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"/>
      <c r="N301" s="2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3"/>
      <c r="Z301" s="3"/>
      <c r="AA301" s="3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2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3"/>
      <c r="Z302" s="3"/>
      <c r="AA302" s="3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"/>
      <c r="N303" s="2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3"/>
      <c r="Z303" s="3"/>
      <c r="AA303" s="3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2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3"/>
      <c r="Z304" s="3"/>
      <c r="AA304" s="3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"/>
      <c r="N305" s="2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3"/>
      <c r="Z305" s="3"/>
      <c r="AA305" s="3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2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3"/>
      <c r="Z306" s="3"/>
      <c r="AA306" s="3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"/>
      <c r="N307" s="2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3"/>
      <c r="Z307" s="3"/>
      <c r="AA307" s="3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2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3"/>
      <c r="Z308" s="3"/>
      <c r="AA308" s="3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"/>
      <c r="N309" s="2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3"/>
      <c r="Z309" s="3"/>
      <c r="AA309" s="3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2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3"/>
      <c r="Z310" s="3"/>
      <c r="AA310" s="3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"/>
      <c r="N311" s="2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3"/>
      <c r="Z311" s="3"/>
      <c r="AA311" s="3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2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3"/>
      <c r="Z312" s="3"/>
      <c r="AA312" s="3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"/>
      <c r="N313" s="2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3"/>
      <c r="Z313" s="3"/>
      <c r="AA313" s="3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2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3"/>
      <c r="Z314" s="3"/>
      <c r="AA314" s="3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"/>
      <c r="N315" s="2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3"/>
      <c r="Z315" s="3"/>
      <c r="AA315" s="3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2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3"/>
      <c r="Z316" s="3"/>
      <c r="AA316" s="3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"/>
      <c r="N317" s="2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3"/>
      <c r="Z317" s="3"/>
      <c r="AA317" s="3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2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3"/>
      <c r="Z318" s="3"/>
      <c r="AA318" s="3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"/>
      <c r="N319" s="2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3"/>
      <c r="Z319" s="3"/>
      <c r="AA319" s="3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2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3"/>
      <c r="Z320" s="3"/>
      <c r="AA320" s="3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"/>
      <c r="N321" s="2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3"/>
      <c r="Z321" s="3"/>
      <c r="AA321" s="3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2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3"/>
      <c r="Z322" s="3"/>
      <c r="AA322" s="3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"/>
      <c r="N323" s="2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3"/>
      <c r="Z323" s="3"/>
      <c r="AA323" s="3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2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3"/>
      <c r="Z324" s="3"/>
      <c r="AA324" s="3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"/>
      <c r="N325" s="2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3"/>
      <c r="Z325" s="3"/>
      <c r="AA325" s="3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2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3"/>
      <c r="Z326" s="3"/>
      <c r="AA326" s="3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"/>
      <c r="N327" s="2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3"/>
      <c r="Z327" s="3"/>
      <c r="AA327" s="3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2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3"/>
      <c r="Z328" s="3"/>
      <c r="AA328" s="3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"/>
      <c r="N329" s="2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3"/>
      <c r="Z329" s="3"/>
      <c r="AA329" s="3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"/>
      <c r="N330" s="2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3"/>
      <c r="Z330" s="3"/>
      <c r="AA330" s="3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"/>
      <c r="N331" s="2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3"/>
      <c r="Z331" s="3"/>
      <c r="AA331" s="3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"/>
      <c r="N332" s="2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3"/>
      <c r="Z332" s="3"/>
      <c r="AA332" s="3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"/>
      <c r="N333" s="2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3"/>
      <c r="Z333" s="3"/>
      <c r="AA333" s="3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"/>
      <c r="N334" s="2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3"/>
      <c r="Z334" s="3"/>
      <c r="AA334" s="3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"/>
      <c r="N335" s="2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3"/>
      <c r="Z335" s="3"/>
      <c r="AA335" s="3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"/>
      <c r="N336" s="2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3"/>
      <c r="Z336" s="3"/>
      <c r="AA336" s="3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"/>
      <c r="N337" s="2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3"/>
      <c r="Z337" s="3"/>
      <c r="AA337" s="3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"/>
      <c r="N338" s="2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3"/>
      <c r="Z338" s="3"/>
      <c r="AA338" s="3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"/>
      <c r="N339" s="2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3"/>
      <c r="Z339" s="3"/>
      <c r="AA339" s="3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"/>
      <c r="N340" s="2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3"/>
      <c r="Z340" s="3"/>
      <c r="AA340" s="3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"/>
      <c r="N341" s="2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3"/>
      <c r="Z341" s="3"/>
      <c r="AA341" s="3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"/>
      <c r="N342" s="2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3"/>
      <c r="Z342" s="3"/>
      <c r="AA342" s="3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"/>
      <c r="N343" s="2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3"/>
      <c r="Z343" s="3"/>
      <c r="AA343" s="3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"/>
      <c r="N344" s="2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3"/>
      <c r="Z344" s="3"/>
      <c r="AA344" s="3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"/>
      <c r="N345" s="2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3"/>
      <c r="Z345" s="3"/>
      <c r="AA345" s="3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"/>
      <c r="N346" s="2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3"/>
      <c r="Z346" s="3"/>
      <c r="AA346" s="3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"/>
      <c r="N347" s="2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3"/>
      <c r="Z347" s="3"/>
      <c r="AA347" s="3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"/>
      <c r="N348" s="2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3"/>
      <c r="Z348" s="3"/>
      <c r="AA348" s="3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"/>
      <c r="N349" s="2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3"/>
      <c r="Z349" s="3"/>
      <c r="AA349" s="3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"/>
      <c r="N350" s="2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3"/>
      <c r="Z350" s="3"/>
      <c r="AA350" s="3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"/>
      <c r="N351" s="2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3"/>
      <c r="Z351" s="3"/>
      <c r="AA351" s="3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"/>
      <c r="N352" s="2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3"/>
      <c r="Z352" s="3"/>
      <c r="AA352" s="3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"/>
      <c r="N353" s="2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3"/>
      <c r="Z353" s="3"/>
      <c r="AA353" s="3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"/>
      <c r="N354" s="2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3"/>
      <c r="Z354" s="3"/>
      <c r="AA354" s="3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"/>
      <c r="N355" s="2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3"/>
      <c r="Z355" s="3"/>
      <c r="AA355" s="3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"/>
      <c r="N356" s="2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3"/>
      <c r="Z356" s="3"/>
      <c r="AA356" s="3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"/>
      <c r="N357" s="2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3"/>
      <c r="Z357" s="3"/>
      <c r="AA357" s="3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"/>
      <c r="N358" s="2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3"/>
      <c r="Z358" s="3"/>
      <c r="AA358" s="3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"/>
      <c r="N359" s="2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3"/>
      <c r="Z359" s="3"/>
      <c r="AA359" s="3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"/>
      <c r="N360" s="2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3"/>
      <c r="Z360" s="3"/>
      <c r="AA360" s="3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"/>
      <c r="N361" s="2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3"/>
      <c r="Z361" s="3"/>
      <c r="AA361" s="3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"/>
      <c r="N362" s="2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3"/>
      <c r="Z362" s="3"/>
      <c r="AA362" s="3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"/>
      <c r="N363" s="2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3"/>
      <c r="Z363" s="3"/>
      <c r="AA363" s="3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"/>
      <c r="N364" s="2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3"/>
      <c r="Z364" s="3"/>
      <c r="AA364" s="3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"/>
      <c r="N365" s="2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3"/>
      <c r="Z365" s="3"/>
      <c r="AA365" s="3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"/>
      <c r="N366" s="2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3"/>
      <c r="Z366" s="3"/>
      <c r="AA366" s="3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2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3"/>
      <c r="Z367" s="3"/>
      <c r="AA367" s="3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2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3"/>
      <c r="Z368" s="3"/>
      <c r="AA368" s="3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2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3"/>
      <c r="Z369" s="3"/>
      <c r="AA369" s="3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2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3"/>
      <c r="Z370" s="3"/>
      <c r="AA370" s="3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2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3"/>
      <c r="Z371" s="3"/>
      <c r="AA371" s="3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2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3"/>
      <c r="Z372" s="3"/>
      <c r="AA372" s="3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2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3"/>
      <c r="Z373" s="3"/>
      <c r="AA373" s="3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2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3"/>
      <c r="Z374" s="3"/>
      <c r="AA374" s="3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2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3"/>
      <c r="Z375" s="3"/>
      <c r="AA375" s="3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2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3"/>
      <c r="Z376" s="3"/>
      <c r="AA376" s="3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2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3"/>
      <c r="Z377" s="3"/>
      <c r="AA377" s="3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2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3"/>
      <c r="Z378" s="3"/>
      <c r="AA378" s="3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2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3"/>
      <c r="Z379" s="3"/>
      <c r="AA379" s="3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2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3"/>
      <c r="Z380" s="3"/>
      <c r="AA380" s="3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2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3"/>
      <c r="Z381" s="3"/>
      <c r="AA381" s="3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2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3"/>
      <c r="Z382" s="3"/>
      <c r="AA382" s="3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2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3"/>
      <c r="Z383" s="3"/>
      <c r="AA383" s="3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2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3"/>
      <c r="Z384" s="3"/>
      <c r="AA384" s="3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2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3"/>
      <c r="Z385" s="3"/>
      <c r="AA385" s="3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2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3"/>
      <c r="Z386" s="3"/>
      <c r="AA386" s="3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2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3"/>
      <c r="Z387" s="3"/>
      <c r="AA387" s="3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2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3"/>
      <c r="Z388" s="3"/>
      <c r="AA388" s="3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2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3"/>
      <c r="Z389" s="3"/>
      <c r="AA389" s="3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2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3"/>
      <c r="Z390" s="3"/>
      <c r="AA390" s="3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2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3"/>
      <c r="Z391" s="3"/>
      <c r="AA391" s="3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2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3"/>
      <c r="Z392" s="3"/>
      <c r="AA392" s="3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2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3"/>
      <c r="Z393" s="3"/>
      <c r="AA393" s="3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2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3"/>
      <c r="Z394" s="3"/>
      <c r="AA394" s="3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2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3"/>
      <c r="Z395" s="3"/>
      <c r="AA395" s="3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2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3"/>
      <c r="Z396" s="3"/>
      <c r="AA396" s="3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2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3"/>
      <c r="Z397" s="3"/>
      <c r="AA397" s="3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2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3"/>
      <c r="Z398" s="3"/>
      <c r="AA398" s="3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2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3"/>
      <c r="Z399" s="3"/>
      <c r="AA399" s="3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2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3"/>
      <c r="Z400" s="3"/>
      <c r="AA400" s="3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2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3"/>
      <c r="Z401" s="3"/>
      <c r="AA401" s="3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2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3"/>
      <c r="Z402" s="3"/>
      <c r="AA402" s="3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2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3"/>
      <c r="Z403" s="3"/>
      <c r="AA403" s="3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2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3"/>
      <c r="Z404" s="3"/>
      <c r="AA404" s="3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2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3"/>
      <c r="Z405" s="3"/>
      <c r="AA405" s="3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2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3"/>
      <c r="Z406" s="3"/>
      <c r="AA406" s="3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2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3"/>
      <c r="Z407" s="3"/>
      <c r="AA407" s="3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2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3"/>
      <c r="Z408" s="3"/>
      <c r="AA408" s="3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2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3"/>
      <c r="Z409" s="3"/>
      <c r="AA409" s="3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2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3"/>
      <c r="Z410" s="3"/>
      <c r="AA410" s="3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2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3"/>
      <c r="Z411" s="3"/>
      <c r="AA411" s="3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2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3"/>
      <c r="Z412" s="3"/>
      <c r="AA412" s="3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2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3"/>
      <c r="Z413" s="3"/>
      <c r="AA413" s="3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2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3"/>
      <c r="Z414" s="3"/>
      <c r="AA414" s="3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2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3"/>
      <c r="Z415" s="3"/>
      <c r="AA415" s="3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2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3"/>
      <c r="Z416" s="3"/>
      <c r="AA416" s="3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2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3"/>
      <c r="Z417" s="3"/>
      <c r="AA417" s="3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2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3"/>
      <c r="Z418" s="3"/>
      <c r="AA418" s="3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2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3"/>
      <c r="Z419" s="3"/>
      <c r="AA419" s="3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2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3"/>
      <c r="Z420" s="3"/>
      <c r="AA420" s="3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2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3"/>
      <c r="Z421" s="3"/>
      <c r="AA421" s="3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2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3"/>
      <c r="Z422" s="3"/>
      <c r="AA422" s="3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2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3"/>
      <c r="Z423" s="3"/>
      <c r="AA423" s="3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2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3"/>
      <c r="Z424" s="3"/>
      <c r="AA424" s="3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2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3"/>
      <c r="Z425" s="3"/>
      <c r="AA425" s="3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2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3"/>
      <c r="Z426" s="3"/>
      <c r="AA426" s="3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2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3"/>
      <c r="Z427" s="3"/>
      <c r="AA427" s="3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2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3"/>
      <c r="Z428" s="3"/>
      <c r="AA428" s="3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2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3"/>
      <c r="Z429" s="3"/>
      <c r="AA429" s="3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2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3"/>
      <c r="Z430" s="3"/>
      <c r="AA430" s="3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2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3"/>
      <c r="Z431" s="3"/>
      <c r="AA431" s="3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2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3"/>
      <c r="Z432" s="3"/>
      <c r="AA432" s="3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2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3"/>
      <c r="Z433" s="3"/>
      <c r="AA433" s="3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2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3"/>
      <c r="Z434" s="3"/>
      <c r="AA434" s="3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2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3"/>
      <c r="Z435" s="3"/>
      <c r="AA435" s="3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2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3"/>
      <c r="Z436" s="3"/>
      <c r="AA436" s="3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2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3"/>
      <c r="Z437" s="3"/>
      <c r="AA437" s="3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2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3"/>
      <c r="Z438" s="3"/>
      <c r="AA438" s="3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2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3"/>
      <c r="Z439" s="3"/>
      <c r="AA439" s="3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2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3"/>
      <c r="Z440" s="3"/>
      <c r="AA440" s="3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2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3"/>
      <c r="Z441" s="3"/>
      <c r="AA441" s="3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2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3"/>
      <c r="Z442" s="3"/>
      <c r="AA442" s="3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2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3"/>
      <c r="Z443" s="3"/>
      <c r="AA443" s="3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2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3"/>
      <c r="Z444" s="3"/>
      <c r="AA444" s="3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2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3"/>
      <c r="Z445" s="3"/>
      <c r="AA445" s="3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2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3"/>
      <c r="Z446" s="3"/>
      <c r="AA446" s="3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2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3"/>
      <c r="Z447" s="3"/>
      <c r="AA447" s="3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2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3"/>
      <c r="Z448" s="3"/>
      <c r="AA448" s="3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2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3"/>
      <c r="Z449" s="3"/>
      <c r="AA449" s="3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2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3"/>
      <c r="Z450" s="3"/>
      <c r="AA450" s="3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2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3"/>
      <c r="Z451" s="3"/>
      <c r="AA451" s="3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2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3"/>
      <c r="Z452" s="3"/>
      <c r="AA452" s="3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2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3"/>
      <c r="Z453" s="3"/>
      <c r="AA453" s="3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2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3"/>
      <c r="Z454" s="3"/>
      <c r="AA454" s="3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2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3"/>
      <c r="Z455" s="3"/>
      <c r="AA455" s="3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2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3"/>
      <c r="Z456" s="3"/>
      <c r="AA456" s="3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2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3"/>
      <c r="Z457" s="3"/>
      <c r="AA457" s="3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2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3"/>
      <c r="Z458" s="3"/>
      <c r="AA458" s="3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2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3"/>
      <c r="Z459" s="3"/>
      <c r="AA459" s="3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2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3"/>
      <c r="Z460" s="3"/>
      <c r="AA460" s="3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2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3"/>
      <c r="Z461" s="3"/>
      <c r="AA461" s="3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2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3"/>
      <c r="Z462" s="3"/>
      <c r="AA462" s="3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2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3"/>
      <c r="Z463" s="3"/>
      <c r="AA463" s="3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2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3"/>
      <c r="Z464" s="3"/>
      <c r="AA464" s="3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2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3"/>
      <c r="Z465" s="3"/>
      <c r="AA465" s="3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2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3"/>
      <c r="Z466" s="3"/>
      <c r="AA466" s="3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2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3"/>
      <c r="Z467" s="3"/>
      <c r="AA467" s="3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2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3"/>
      <c r="Z468" s="3"/>
      <c r="AA468" s="3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2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3"/>
      <c r="Z469" s="3"/>
      <c r="AA469" s="3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2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3"/>
      <c r="Z470" s="3"/>
      <c r="AA470" s="3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2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3"/>
      <c r="Z471" s="3"/>
      <c r="AA471" s="3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2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3"/>
      <c r="Z472" s="3"/>
      <c r="AA472" s="3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2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3"/>
      <c r="Z473" s="3"/>
      <c r="AA473" s="3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2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3"/>
      <c r="Z474" s="3"/>
      <c r="AA474" s="3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2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3"/>
      <c r="Z475" s="3"/>
      <c r="AA475" s="3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2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3"/>
      <c r="Z476" s="3"/>
      <c r="AA476" s="3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2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3"/>
      <c r="Z477" s="3"/>
      <c r="AA477" s="3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2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3"/>
      <c r="Z478" s="3"/>
      <c r="AA478" s="3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2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3"/>
      <c r="Z479" s="3"/>
      <c r="AA479" s="3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2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3"/>
      <c r="Z480" s="3"/>
      <c r="AA480" s="3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2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3"/>
      <c r="Z481" s="3"/>
      <c r="AA481" s="3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2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3"/>
      <c r="Z482" s="3"/>
      <c r="AA482" s="3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2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3"/>
      <c r="Z483" s="3"/>
      <c r="AA483" s="3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2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3"/>
      <c r="Z484" s="3"/>
      <c r="AA484" s="3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2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3"/>
      <c r="Z485" s="3"/>
      <c r="AA485" s="3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2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3"/>
      <c r="Z486" s="3"/>
      <c r="AA486" s="3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2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3"/>
      <c r="Z487" s="3"/>
      <c r="AA487" s="3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2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3"/>
      <c r="Z488" s="3"/>
      <c r="AA488" s="3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2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3"/>
      <c r="Z489" s="3"/>
      <c r="AA489" s="3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2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3"/>
      <c r="Z490" s="3"/>
      <c r="AA490" s="3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2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3"/>
      <c r="Z491" s="3"/>
      <c r="AA491" s="3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2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3"/>
      <c r="Z492" s="3"/>
      <c r="AA492" s="3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2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3"/>
      <c r="Z493" s="3"/>
      <c r="AA493" s="3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2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3"/>
      <c r="Z494" s="3"/>
      <c r="AA494" s="3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2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3"/>
      <c r="Z495" s="3"/>
      <c r="AA495" s="3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2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3"/>
      <c r="Z496" s="3"/>
      <c r="AA496" s="3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2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3"/>
      <c r="Z497" s="3"/>
      <c r="AA497" s="3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2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3"/>
      <c r="Z498" s="3"/>
      <c r="AA498" s="3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2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3"/>
      <c r="Z499" s="3"/>
      <c r="AA499" s="3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2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3"/>
      <c r="Z500" s="3"/>
      <c r="AA500" s="3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2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3"/>
      <c r="Z501" s="3"/>
      <c r="AA501" s="3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2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3"/>
      <c r="Z502" s="3"/>
      <c r="AA502" s="3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2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3"/>
      <c r="Z503" s="3"/>
      <c r="AA503" s="3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2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3"/>
      <c r="Z504" s="3"/>
      <c r="AA504" s="3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2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3"/>
      <c r="Z505" s="3"/>
      <c r="AA505" s="3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2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3"/>
      <c r="Z506" s="3"/>
      <c r="AA506" s="3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2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3"/>
      <c r="Z507" s="3"/>
      <c r="AA507" s="3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2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3"/>
      <c r="Z508" s="3"/>
      <c r="AA508" s="3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2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3"/>
      <c r="Z509" s="3"/>
      <c r="AA509" s="3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2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3"/>
      <c r="Z510" s="3"/>
      <c r="AA510" s="3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2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3"/>
      <c r="Z511" s="3"/>
      <c r="AA511" s="3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2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3"/>
      <c r="Z512" s="3"/>
      <c r="AA512" s="3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2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3"/>
      <c r="Z513" s="3"/>
      <c r="AA513" s="3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2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3"/>
      <c r="Z514" s="3"/>
      <c r="AA514" s="3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2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3"/>
      <c r="Z515" s="3"/>
      <c r="AA515" s="3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2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3"/>
      <c r="Z516" s="3"/>
      <c r="AA516" s="3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2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3"/>
      <c r="Z517" s="3"/>
      <c r="AA517" s="3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2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3"/>
      <c r="Z518" s="3"/>
      <c r="AA518" s="3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2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3"/>
      <c r="Z519" s="3"/>
      <c r="AA519" s="3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2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3"/>
      <c r="Z520" s="3"/>
      <c r="AA520" s="3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2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3"/>
      <c r="Z521" s="3"/>
      <c r="AA521" s="3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2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3"/>
      <c r="Z522" s="3"/>
      <c r="AA522" s="3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2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3"/>
      <c r="Z523" s="3"/>
      <c r="AA523" s="3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2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3"/>
      <c r="Z524" s="3"/>
      <c r="AA524" s="3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2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3"/>
      <c r="Z525" s="3"/>
      <c r="AA525" s="3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2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3"/>
      <c r="Z526" s="3"/>
      <c r="AA526" s="3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2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3"/>
      <c r="Z527" s="3"/>
      <c r="AA527" s="3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2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3"/>
      <c r="Z528" s="3"/>
      <c r="AA528" s="3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2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3"/>
      <c r="Z529" s="3"/>
      <c r="AA529" s="3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2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3"/>
      <c r="Z530" s="3"/>
      <c r="AA530" s="3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2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3"/>
      <c r="Z531" s="3"/>
      <c r="AA531" s="3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2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3"/>
      <c r="Z532" s="3"/>
      <c r="AA532" s="3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2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3"/>
      <c r="Z533" s="3"/>
      <c r="AA533" s="3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2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3"/>
      <c r="Z534" s="3"/>
      <c r="AA534" s="3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2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3"/>
      <c r="Z535" s="3"/>
      <c r="AA535" s="3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2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3"/>
      <c r="Z536" s="3"/>
      <c r="AA536" s="3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2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3"/>
      <c r="Z537" s="3"/>
      <c r="AA537" s="3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2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3"/>
      <c r="Z538" s="3"/>
      <c r="AA538" s="3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2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3"/>
      <c r="Z539" s="3"/>
      <c r="AA539" s="3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2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3"/>
      <c r="Z540" s="3"/>
      <c r="AA540" s="3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2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3"/>
      <c r="Z541" s="3"/>
      <c r="AA541" s="3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2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3"/>
      <c r="Z542" s="3"/>
      <c r="AA542" s="3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2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3"/>
      <c r="Z543" s="3"/>
      <c r="AA543" s="3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2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3"/>
      <c r="Z544" s="3"/>
      <c r="AA544" s="3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2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3"/>
      <c r="Z545" s="3"/>
      <c r="AA545" s="3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2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3"/>
      <c r="Z546" s="3"/>
      <c r="AA546" s="3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2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3"/>
      <c r="Z547" s="3"/>
      <c r="AA547" s="3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2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3"/>
      <c r="Z548" s="3"/>
      <c r="AA548" s="3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2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3"/>
      <c r="Z549" s="3"/>
      <c r="AA549" s="3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2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3"/>
      <c r="Z550" s="3"/>
      <c r="AA550" s="3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2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3"/>
      <c r="Z551" s="3"/>
      <c r="AA551" s="3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2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3"/>
      <c r="Z552" s="3"/>
      <c r="AA552" s="3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2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3"/>
      <c r="Z553" s="3"/>
      <c r="AA553" s="3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2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3"/>
      <c r="Z554" s="3"/>
      <c r="AA554" s="3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2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3"/>
      <c r="Z555" s="3"/>
      <c r="AA555" s="3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2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3"/>
      <c r="Z556" s="3"/>
      <c r="AA556" s="3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2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3"/>
      <c r="Z557" s="3"/>
      <c r="AA557" s="3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2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3"/>
      <c r="Z558" s="3"/>
      <c r="AA558" s="3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2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3"/>
      <c r="Z559" s="3"/>
      <c r="AA559" s="3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2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3"/>
      <c r="Z560" s="3"/>
      <c r="AA560" s="3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2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3"/>
      <c r="Z561" s="3"/>
      <c r="AA561" s="3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2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3"/>
      <c r="Z562" s="3"/>
      <c r="AA562" s="3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2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3"/>
      <c r="Z563" s="3"/>
      <c r="AA563" s="3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2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3"/>
      <c r="Z564" s="3"/>
      <c r="AA564" s="3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2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3"/>
      <c r="Z565" s="3"/>
      <c r="AA565" s="3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2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3"/>
      <c r="Z566" s="3"/>
      <c r="AA566" s="3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2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3"/>
      <c r="Z567" s="3"/>
      <c r="AA567" s="3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2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3"/>
      <c r="Z568" s="3"/>
      <c r="AA568" s="3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2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3"/>
      <c r="Z569" s="3"/>
      <c r="AA569" s="3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2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3"/>
      <c r="Z570" s="3"/>
      <c r="AA570" s="3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2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3"/>
      <c r="Z571" s="3"/>
      <c r="AA571" s="3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2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3"/>
      <c r="Z572" s="3"/>
      <c r="AA572" s="3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2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3"/>
      <c r="Z573" s="3"/>
      <c r="AA573" s="3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2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3"/>
      <c r="Z574" s="3"/>
      <c r="AA574" s="3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2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3"/>
      <c r="Z575" s="3"/>
      <c r="AA575" s="3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2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3"/>
      <c r="Z576" s="3"/>
      <c r="AA576" s="3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2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3"/>
      <c r="Z577" s="3"/>
      <c r="AA577" s="3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2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3"/>
      <c r="Z578" s="3"/>
      <c r="AA578" s="3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2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3"/>
      <c r="Z579" s="3"/>
      <c r="AA579" s="3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2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3"/>
      <c r="Z580" s="3"/>
      <c r="AA580" s="3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2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3"/>
      <c r="Z581" s="3"/>
      <c r="AA581" s="3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2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3"/>
      <c r="Z582" s="3"/>
      <c r="AA582" s="3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2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3"/>
      <c r="Z583" s="3"/>
      <c r="AA583" s="3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2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3"/>
      <c r="Z584" s="3"/>
      <c r="AA584" s="3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2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3"/>
      <c r="Z585" s="3"/>
      <c r="AA585" s="3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"/>
      <c r="N586" s="2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3"/>
      <c r="Z586" s="3"/>
      <c r="AA586" s="3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"/>
      <c r="N587" s="2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3"/>
      <c r="Z587" s="3"/>
      <c r="AA587" s="3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"/>
      <c r="N588" s="2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3"/>
      <c r="Z588" s="3"/>
      <c r="AA588" s="3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"/>
      <c r="N589" s="2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3"/>
      <c r="Z589" s="3"/>
      <c r="AA589" s="3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"/>
      <c r="N590" s="2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3"/>
      <c r="Z590" s="3"/>
      <c r="AA590" s="3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"/>
      <c r="N591" s="2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3"/>
      <c r="Z591" s="3"/>
      <c r="AA591" s="3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"/>
      <c r="N592" s="2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3"/>
      <c r="Z592" s="3"/>
      <c r="AA592" s="3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"/>
      <c r="N593" s="2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3"/>
      <c r="Z593" s="3"/>
      <c r="AA593" s="3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"/>
      <c r="N594" s="2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3"/>
      <c r="Z594" s="3"/>
      <c r="AA594" s="3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"/>
      <c r="N595" s="2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3"/>
      <c r="Z595" s="3"/>
      <c r="AA595" s="3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"/>
      <c r="N596" s="2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3"/>
      <c r="Z596" s="3"/>
      <c r="AA596" s="3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"/>
      <c r="N597" s="2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3"/>
      <c r="Z597" s="3"/>
      <c r="AA597" s="3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"/>
      <c r="N598" s="2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3"/>
      <c r="Z598" s="3"/>
      <c r="AA598" s="3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"/>
      <c r="N599" s="2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3"/>
      <c r="Z599" s="3"/>
      <c r="AA599" s="3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2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3"/>
      <c r="Z600" s="3"/>
      <c r="AA600" s="3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"/>
      <c r="N601" s="2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3"/>
      <c r="Z601" s="3"/>
      <c r="AA601" s="3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"/>
      <c r="N602" s="2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3"/>
      <c r="Z602" s="3"/>
      <c r="AA602" s="3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"/>
      <c r="N603" s="2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3"/>
      <c r="Z603" s="3"/>
      <c r="AA603" s="3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"/>
      <c r="N604" s="2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3"/>
      <c r="Z604" s="3"/>
      <c r="AA604" s="3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"/>
      <c r="N605" s="2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3"/>
      <c r="Z605" s="3"/>
      <c r="AA605" s="3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"/>
      <c r="N606" s="2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3"/>
      <c r="Z606" s="3"/>
      <c r="AA606" s="3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"/>
      <c r="N607" s="2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3"/>
      <c r="Z607" s="3"/>
      <c r="AA607" s="3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"/>
      <c r="N608" s="2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3"/>
      <c r="Z608" s="3"/>
      <c r="AA608" s="3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"/>
      <c r="N609" s="2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3"/>
      <c r="Z609" s="3"/>
      <c r="AA609" s="3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"/>
      <c r="N610" s="2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3"/>
      <c r="Z610" s="3"/>
      <c r="AA610" s="3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"/>
      <c r="N611" s="2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3"/>
      <c r="Z611" s="3"/>
      <c r="AA611" s="3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"/>
      <c r="N612" s="2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3"/>
      <c r="Z612" s="3"/>
      <c r="AA612" s="3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"/>
      <c r="N613" s="2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3"/>
      <c r="Z613" s="3"/>
      <c r="AA613" s="3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"/>
      <c r="N614" s="2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3"/>
      <c r="Z614" s="3"/>
      <c r="AA614" s="3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"/>
      <c r="N615" s="2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3"/>
      <c r="Z615" s="3"/>
      <c r="AA615" s="3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"/>
      <c r="N616" s="2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3"/>
      <c r="Z616" s="3"/>
      <c r="AA616" s="3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"/>
      <c r="N617" s="2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3"/>
      <c r="Z617" s="3"/>
      <c r="AA617" s="3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"/>
      <c r="N618" s="2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3"/>
      <c r="Z618" s="3"/>
      <c r="AA618" s="3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"/>
      <c r="N619" s="2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3"/>
      <c r="Z619" s="3"/>
      <c r="AA619" s="3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"/>
      <c r="N620" s="2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3"/>
      <c r="Z620" s="3"/>
      <c r="AA620" s="3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"/>
      <c r="N621" s="2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3"/>
      <c r="Z621" s="3"/>
      <c r="AA621" s="3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"/>
      <c r="N622" s="2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3"/>
      <c r="Z622" s="3"/>
      <c r="AA622" s="3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"/>
      <c r="N623" s="2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3"/>
      <c r="Z623" s="3"/>
      <c r="AA623" s="3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"/>
      <c r="N624" s="2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3"/>
      <c r="Z624" s="3"/>
      <c r="AA624" s="3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"/>
      <c r="N625" s="2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3"/>
      <c r="Z625" s="3"/>
      <c r="AA625" s="3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"/>
      <c r="N626" s="2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3"/>
      <c r="Z626" s="3"/>
      <c r="AA626" s="3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"/>
      <c r="N627" s="2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3"/>
      <c r="Z627" s="3"/>
      <c r="AA627" s="3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"/>
      <c r="N628" s="2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3"/>
      <c r="Z628" s="3"/>
      <c r="AA628" s="3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"/>
      <c r="N629" s="2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3"/>
      <c r="Z629" s="3"/>
      <c r="AA629" s="3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"/>
      <c r="N630" s="2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3"/>
      <c r="Z630" s="3"/>
      <c r="AA630" s="3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"/>
      <c r="N631" s="2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3"/>
      <c r="Z631" s="3"/>
      <c r="AA631" s="3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"/>
      <c r="N632" s="2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3"/>
      <c r="Z632" s="3"/>
      <c r="AA632" s="3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"/>
      <c r="N633" s="2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3"/>
      <c r="Z633" s="3"/>
      <c r="AA633" s="3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"/>
      <c r="N634" s="2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3"/>
      <c r="Z634" s="3"/>
      <c r="AA634" s="3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"/>
      <c r="N635" s="2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3"/>
      <c r="Z635" s="3"/>
      <c r="AA635" s="3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"/>
      <c r="N636" s="2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3"/>
      <c r="Z636" s="3"/>
      <c r="AA636" s="3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"/>
      <c r="N637" s="2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3"/>
      <c r="Z637" s="3"/>
      <c r="AA637" s="3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"/>
      <c r="N638" s="2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3"/>
      <c r="Z638" s="3"/>
      <c r="AA638" s="3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"/>
      <c r="N639" s="2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3"/>
      <c r="Z639" s="3"/>
      <c r="AA639" s="3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"/>
      <c r="N640" s="2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3"/>
      <c r="Z640" s="3"/>
      <c r="AA640" s="3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"/>
      <c r="N641" s="2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3"/>
      <c r="Z641" s="3"/>
      <c r="AA641" s="3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"/>
      <c r="N642" s="2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3"/>
      <c r="Z642" s="3"/>
      <c r="AA642" s="3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"/>
      <c r="N643" s="2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3"/>
      <c r="Z643" s="3"/>
      <c r="AA643" s="3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"/>
      <c r="N644" s="2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3"/>
      <c r="Z644" s="3"/>
      <c r="AA644" s="3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2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3"/>
      <c r="Z645" s="3"/>
      <c r="AA645" s="3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2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3"/>
      <c r="Z646" s="3"/>
      <c r="AA646" s="3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2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3"/>
      <c r="Z647" s="3"/>
      <c r="AA647" s="3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2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3"/>
      <c r="Z648" s="3"/>
      <c r="AA648" s="3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2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3"/>
      <c r="Z649" s="3"/>
      <c r="AA649" s="3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2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3"/>
      <c r="Z650" s="3"/>
      <c r="AA650" s="3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2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3"/>
      <c r="Z651" s="3"/>
      <c r="AA651" s="3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2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3"/>
      <c r="Z652" s="3"/>
      <c r="AA652" s="3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2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3"/>
      <c r="Z653" s="3"/>
      <c r="AA653" s="3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2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3"/>
      <c r="Z654" s="3"/>
      <c r="AA654" s="3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2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3"/>
      <c r="Z655" s="3"/>
      <c r="AA655" s="3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2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3"/>
      <c r="Z656" s="3"/>
      <c r="AA656" s="3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2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3"/>
      <c r="Z657" s="3"/>
      <c r="AA657" s="3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2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3"/>
      <c r="Z658" s="3"/>
      <c r="AA658" s="3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2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3"/>
      <c r="Z659" s="3"/>
      <c r="AA659" s="3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2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3"/>
      <c r="Z660" s="3"/>
      <c r="AA660" s="3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2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3"/>
      <c r="Z661" s="3"/>
      <c r="AA661" s="3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2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3"/>
      <c r="Z662" s="3"/>
      <c r="AA662" s="3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2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3"/>
      <c r="Z663" s="3"/>
      <c r="AA663" s="3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2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3"/>
      <c r="Z664" s="3"/>
      <c r="AA664" s="3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2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3"/>
      <c r="Z665" s="3"/>
      <c r="AA665" s="3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2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3"/>
      <c r="Z666" s="3"/>
      <c r="AA666" s="3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2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3"/>
      <c r="Z667" s="3"/>
      <c r="AA667" s="3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2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3"/>
      <c r="Z668" s="3"/>
      <c r="AA668" s="3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2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3"/>
      <c r="Z669" s="3"/>
      <c r="AA669" s="3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2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3"/>
      <c r="Z670" s="3"/>
      <c r="AA670" s="3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2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3"/>
      <c r="Z671" s="3"/>
      <c r="AA671" s="3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2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3"/>
      <c r="Z672" s="3"/>
      <c r="AA672" s="3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2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3"/>
      <c r="Z673" s="3"/>
      <c r="AA673" s="3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2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3"/>
      <c r="Z674" s="3"/>
      <c r="AA674" s="3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2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3"/>
      <c r="Z675" s="3"/>
      <c r="AA675" s="3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2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3"/>
      <c r="Z676" s="3"/>
      <c r="AA676" s="3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2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3"/>
      <c r="Z677" s="3"/>
      <c r="AA677" s="3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2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3"/>
      <c r="Z678" s="3"/>
      <c r="AA678" s="3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2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3"/>
      <c r="Z679" s="3"/>
      <c r="AA679" s="3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2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3"/>
      <c r="Z680" s="3"/>
      <c r="AA680" s="3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2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3"/>
      <c r="Z681" s="3"/>
      <c r="AA681" s="3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2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3"/>
      <c r="Z682" s="3"/>
      <c r="AA682" s="3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2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3"/>
      <c r="Z683" s="3"/>
      <c r="AA683" s="3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2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3"/>
      <c r="Z684" s="3"/>
      <c r="AA684" s="3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2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3"/>
      <c r="Z685" s="3"/>
      <c r="AA685" s="3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2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3"/>
      <c r="Z686" s="3"/>
      <c r="AA686" s="3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2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3"/>
      <c r="Z687" s="3"/>
      <c r="AA687" s="3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2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3"/>
      <c r="Z688" s="3"/>
      <c r="AA688" s="3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2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3"/>
      <c r="Z689" s="3"/>
      <c r="AA689" s="3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2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3"/>
      <c r="Z690" s="3"/>
      <c r="AA690" s="3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2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3"/>
      <c r="Z691" s="3"/>
      <c r="AA691" s="3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2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3"/>
      <c r="Z692" s="3"/>
      <c r="AA692" s="3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2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3"/>
      <c r="Z693" s="3"/>
      <c r="AA693" s="3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2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3"/>
      <c r="Z694" s="3"/>
      <c r="AA694" s="3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2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3"/>
      <c r="Z695" s="3"/>
      <c r="AA695" s="3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2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3"/>
      <c r="Z696" s="3"/>
      <c r="AA696" s="3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2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3"/>
      <c r="Z697" s="3"/>
      <c r="AA697" s="3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2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3"/>
      <c r="Z698" s="3"/>
      <c r="AA698" s="3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2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3"/>
      <c r="Z699" s="3"/>
      <c r="AA699" s="3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2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3"/>
      <c r="Z700" s="3"/>
      <c r="AA700" s="3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2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3"/>
      <c r="Z701" s="3"/>
      <c r="AA701" s="3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2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3"/>
      <c r="Z702" s="3"/>
      <c r="AA702" s="3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2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3"/>
      <c r="Z703" s="3"/>
      <c r="AA703" s="3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2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3"/>
      <c r="Z704" s="3"/>
      <c r="AA704" s="3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2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3"/>
      <c r="Z705" s="3"/>
      <c r="AA705" s="3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2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3"/>
      <c r="Z706" s="3"/>
      <c r="AA706" s="3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2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3"/>
      <c r="Z707" s="3"/>
      <c r="AA707" s="3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2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3"/>
      <c r="Z708" s="3"/>
      <c r="AA708" s="3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2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3"/>
      <c r="Z709" s="3"/>
      <c r="AA709" s="3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2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3"/>
      <c r="Z710" s="3"/>
      <c r="AA710" s="3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2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3"/>
      <c r="Z711" s="3"/>
      <c r="AA711" s="3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2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3"/>
      <c r="Z712" s="3"/>
      <c r="AA712" s="3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2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3"/>
      <c r="Z713" s="3"/>
      <c r="AA713" s="3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2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3"/>
      <c r="Z714" s="3"/>
      <c r="AA714" s="3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2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3"/>
      <c r="Z715" s="3"/>
      <c r="AA715" s="3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2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3"/>
      <c r="Z716" s="3"/>
      <c r="AA716" s="3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2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3"/>
      <c r="Z717" s="3"/>
      <c r="AA717" s="3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2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3"/>
      <c r="Z718" s="3"/>
      <c r="AA718" s="3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2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3"/>
      <c r="Z719" s="3"/>
      <c r="AA719" s="3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2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3"/>
      <c r="Z720" s="3"/>
      <c r="AA720" s="3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2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3"/>
      <c r="Z721" s="3"/>
      <c r="AA721" s="3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2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3"/>
      <c r="Z722" s="3"/>
      <c r="AA722" s="3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2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3"/>
      <c r="Z723" s="3"/>
      <c r="AA723" s="3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2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3"/>
      <c r="Z724" s="3"/>
      <c r="AA724" s="3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2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3"/>
      <c r="Z725" s="3"/>
      <c r="AA725" s="3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2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3"/>
      <c r="Z726" s="3"/>
      <c r="AA726" s="3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2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3"/>
      <c r="Z727" s="3"/>
      <c r="AA727" s="3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2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3"/>
      <c r="Z728" s="3"/>
      <c r="AA728" s="3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2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3"/>
      <c r="Z729" s="3"/>
      <c r="AA729" s="3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2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3"/>
      <c r="Z730" s="3"/>
      <c r="AA730" s="3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2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3"/>
      <c r="Z731" s="3"/>
      <c r="AA731" s="3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2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3"/>
      <c r="Z732" s="3"/>
      <c r="AA732" s="3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2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3"/>
      <c r="Z733" s="3"/>
      <c r="AA733" s="3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2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3"/>
      <c r="Z734" s="3"/>
      <c r="AA734" s="3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2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3"/>
      <c r="Z735" s="3"/>
      <c r="AA735" s="3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2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3"/>
      <c r="Z736" s="3"/>
      <c r="AA736" s="3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2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3"/>
      <c r="Z737" s="3"/>
      <c r="AA737" s="3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2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3"/>
      <c r="Z738" s="3"/>
      <c r="AA738" s="3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2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3"/>
      <c r="Z739" s="3"/>
      <c r="AA739" s="3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2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3"/>
      <c r="Z740" s="3"/>
      <c r="AA740" s="3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2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3"/>
      <c r="Z741" s="3"/>
      <c r="AA741" s="3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2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3"/>
      <c r="Z742" s="3"/>
      <c r="AA742" s="3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2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3"/>
      <c r="Z743" s="3"/>
      <c r="AA743" s="3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2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3"/>
      <c r="Z744" s="3"/>
      <c r="AA744" s="3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2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3"/>
      <c r="Z745" s="3"/>
      <c r="AA745" s="3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2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3"/>
      <c r="Z746" s="3"/>
      <c r="AA746" s="3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2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3"/>
      <c r="Z747" s="3"/>
      <c r="AA747" s="3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2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3"/>
      <c r="Z748" s="3"/>
      <c r="AA748" s="3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2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3"/>
      <c r="Z749" s="3"/>
      <c r="AA749" s="3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2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3"/>
      <c r="Z750" s="3"/>
      <c r="AA750" s="3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2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3"/>
      <c r="Z751" s="3"/>
      <c r="AA751" s="3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2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3"/>
      <c r="Z752" s="3"/>
      <c r="AA752" s="3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2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3"/>
      <c r="Z753" s="3"/>
      <c r="AA753" s="3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2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3"/>
      <c r="Z754" s="3"/>
      <c r="AA754" s="3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2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3"/>
      <c r="Z755" s="3"/>
      <c r="AA755" s="3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2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3"/>
      <c r="Z756" s="3"/>
      <c r="AA756" s="3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2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3"/>
      <c r="Z757" s="3"/>
      <c r="AA757" s="3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2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3"/>
      <c r="Z758" s="3"/>
      <c r="AA758" s="3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2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3"/>
      <c r="Z759" s="3"/>
      <c r="AA759" s="3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2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3"/>
      <c r="Z760" s="3"/>
      <c r="AA760" s="3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2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3"/>
      <c r="Z761" s="3"/>
      <c r="AA761" s="3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2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3"/>
      <c r="Z762" s="3"/>
      <c r="AA762" s="3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2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3"/>
      <c r="Z763" s="3"/>
      <c r="AA763" s="3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2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3"/>
      <c r="Z764" s="3"/>
      <c r="AA764" s="3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2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3"/>
      <c r="Z765" s="3"/>
      <c r="AA765" s="3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2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3"/>
      <c r="Z766" s="3"/>
      <c r="AA766" s="3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2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3"/>
      <c r="Z767" s="3"/>
      <c r="AA767" s="3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2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3"/>
      <c r="Z768" s="3"/>
      <c r="AA768" s="3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2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3"/>
      <c r="Z769" s="3"/>
      <c r="AA769" s="3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2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3"/>
      <c r="Z770" s="3"/>
      <c r="AA770" s="3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2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3"/>
      <c r="Z771" s="3"/>
      <c r="AA771" s="3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2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3"/>
      <c r="Z772" s="3"/>
      <c r="AA772" s="3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2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3"/>
      <c r="Z773" s="3"/>
      <c r="AA773" s="3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2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3"/>
      <c r="Z774" s="3"/>
      <c r="AA774" s="3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2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3"/>
      <c r="Z775" s="3"/>
      <c r="AA775" s="3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2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3"/>
      <c r="Z776" s="3"/>
      <c r="AA776" s="3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2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3"/>
      <c r="Z777" s="3"/>
      <c r="AA777" s="3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2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3"/>
      <c r="Z778" s="3"/>
      <c r="AA778" s="3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2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3"/>
      <c r="Z779" s="3"/>
      <c r="AA779" s="3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2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3"/>
      <c r="Z780" s="3"/>
      <c r="AA780" s="3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2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3"/>
      <c r="Z781" s="3"/>
      <c r="AA781" s="3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2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3"/>
      <c r="Z782" s="3"/>
      <c r="AA782" s="3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2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3"/>
      <c r="Z783" s="3"/>
      <c r="AA783" s="3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2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3"/>
      <c r="Z784" s="3"/>
      <c r="AA784" s="3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2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3"/>
      <c r="Z785" s="3"/>
      <c r="AA785" s="3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2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3"/>
      <c r="Z786" s="3"/>
      <c r="AA786" s="3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2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3"/>
      <c r="Z787" s="3"/>
      <c r="AA787" s="3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2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3"/>
      <c r="Z788" s="3"/>
      <c r="AA788" s="3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2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3"/>
      <c r="Z789" s="3"/>
      <c r="AA789" s="3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2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3"/>
      <c r="Z790" s="3"/>
      <c r="AA790" s="3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2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3"/>
      <c r="Z791" s="3"/>
      <c r="AA791" s="3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2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3"/>
      <c r="Z792" s="3"/>
      <c r="AA792" s="3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2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3"/>
      <c r="Z793" s="3"/>
      <c r="AA793" s="3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2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3"/>
      <c r="Z794" s="3"/>
      <c r="AA794" s="3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2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3"/>
      <c r="Z795" s="3"/>
      <c r="AA795" s="3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2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3"/>
      <c r="Z796" s="3"/>
      <c r="AA796" s="3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2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3"/>
      <c r="Z797" s="3"/>
      <c r="AA797" s="3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2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3"/>
      <c r="Z798" s="3"/>
      <c r="AA798" s="3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2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3"/>
      <c r="Z799" s="3"/>
      <c r="AA799" s="3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2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3"/>
      <c r="Z800" s="3"/>
      <c r="AA800" s="3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2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3"/>
      <c r="Z801" s="3"/>
      <c r="AA801" s="3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2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3"/>
      <c r="Z802" s="3"/>
      <c r="AA802" s="3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2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3"/>
      <c r="Z803" s="3"/>
      <c r="AA803" s="3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2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3"/>
      <c r="Z804" s="3"/>
      <c r="AA804" s="3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2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3"/>
      <c r="Z805" s="3"/>
      <c r="AA805" s="3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2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3"/>
      <c r="Z806" s="3"/>
      <c r="AA806" s="3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2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3"/>
      <c r="Z807" s="3"/>
      <c r="AA807" s="3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2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3"/>
      <c r="Z808" s="3"/>
      <c r="AA808" s="3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2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3"/>
      <c r="Z809" s="3"/>
      <c r="AA809" s="3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2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3"/>
      <c r="Z810" s="3"/>
      <c r="AA810" s="3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2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3"/>
      <c r="Z811" s="3"/>
      <c r="AA811" s="3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2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3"/>
      <c r="Z812" s="3"/>
      <c r="AA812" s="3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2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3"/>
      <c r="Z813" s="3"/>
      <c r="AA813" s="3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2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3"/>
      <c r="Z814" s="3"/>
      <c r="AA814" s="3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2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3"/>
      <c r="Z815" s="3"/>
      <c r="AA815" s="3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2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3"/>
      <c r="Z816" s="3"/>
      <c r="AA816" s="3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2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3"/>
      <c r="Z817" s="3"/>
      <c r="AA817" s="3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2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3"/>
      <c r="Z818" s="3"/>
      <c r="AA818" s="3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2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3"/>
      <c r="Z819" s="3"/>
      <c r="AA819" s="3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2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3"/>
      <c r="Z820" s="3"/>
      <c r="AA820" s="3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2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3"/>
      <c r="Z821" s="3"/>
      <c r="AA821" s="3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2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3"/>
      <c r="Z822" s="3"/>
      <c r="AA822" s="3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2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3"/>
      <c r="Z823" s="3"/>
      <c r="AA823" s="3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2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3"/>
      <c r="Z824" s="3"/>
      <c r="AA824" s="3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2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3"/>
      <c r="Z825" s="3"/>
      <c r="AA825" s="3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2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3"/>
      <c r="Z826" s="3"/>
      <c r="AA826" s="3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2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3"/>
      <c r="Z827" s="3"/>
      <c r="AA827" s="3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2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3"/>
      <c r="Z828" s="3"/>
      <c r="AA828" s="3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2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3"/>
      <c r="Z829" s="3"/>
      <c r="AA829" s="3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2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3"/>
      <c r="Z830" s="3"/>
      <c r="AA830" s="3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2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3"/>
      <c r="Z831" s="3"/>
      <c r="AA831" s="3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2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3"/>
      <c r="Z832" s="3"/>
      <c r="AA832" s="3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2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3"/>
      <c r="Z833" s="3"/>
      <c r="AA833" s="3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2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3"/>
      <c r="Z834" s="3"/>
      <c r="AA834" s="3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2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3"/>
      <c r="Z835" s="3"/>
      <c r="AA835" s="3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2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3"/>
      <c r="Z836" s="3"/>
      <c r="AA836" s="3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2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3"/>
      <c r="Z837" s="3"/>
      <c r="AA837" s="3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2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3"/>
      <c r="Z838" s="3"/>
      <c r="AA838" s="3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2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3"/>
      <c r="Z839" s="3"/>
      <c r="AA839" s="3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2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3"/>
      <c r="Z840" s="3"/>
      <c r="AA840" s="3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2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3"/>
      <c r="Z841" s="3"/>
      <c r="AA841" s="3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2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3"/>
      <c r="Z842" s="3"/>
      <c r="AA842" s="3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2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3"/>
      <c r="Z843" s="3"/>
      <c r="AA843" s="3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2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3"/>
      <c r="Z844" s="3"/>
      <c r="AA844" s="3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2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3"/>
      <c r="Z845" s="3"/>
      <c r="AA845" s="3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2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3"/>
      <c r="Z846" s="3"/>
      <c r="AA846" s="3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2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3"/>
      <c r="Z847" s="3"/>
      <c r="AA847" s="3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2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3"/>
      <c r="Z848" s="3"/>
      <c r="AA848" s="3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2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3"/>
      <c r="Z849" s="3"/>
      <c r="AA849" s="3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2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3"/>
      <c r="Z850" s="3"/>
      <c r="AA850" s="3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2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3"/>
      <c r="Z851" s="3"/>
      <c r="AA851" s="3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2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3"/>
      <c r="Z852" s="3"/>
      <c r="AA852" s="3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2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3"/>
      <c r="Z853" s="3"/>
      <c r="AA853" s="3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2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3"/>
      <c r="Z854" s="3"/>
      <c r="AA854" s="3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2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3"/>
      <c r="Z855" s="3"/>
      <c r="AA855" s="3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2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3"/>
      <c r="Z856" s="3"/>
      <c r="AA856" s="3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2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3"/>
      <c r="Z857" s="3"/>
      <c r="AA857" s="3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2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3"/>
      <c r="Z858" s="3"/>
      <c r="AA858" s="3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2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3"/>
      <c r="Z859" s="3"/>
      <c r="AA859" s="3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2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3"/>
      <c r="Z860" s="3"/>
      <c r="AA860" s="3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2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3"/>
      <c r="Z861" s="3"/>
      <c r="AA861" s="3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2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3"/>
      <c r="Z862" s="3"/>
      <c r="AA862" s="3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2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3"/>
      <c r="Z863" s="3"/>
      <c r="AA863" s="3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2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3"/>
      <c r="Z864" s="3"/>
      <c r="AA864" s="3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2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3"/>
      <c r="Z865" s="3"/>
      <c r="AA865" s="3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2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3"/>
      <c r="Z866" s="3"/>
      <c r="AA866" s="3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2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3"/>
      <c r="Z867" s="3"/>
      <c r="AA867" s="3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2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3"/>
      <c r="Z868" s="3"/>
      <c r="AA868" s="3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2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3"/>
      <c r="Z869" s="3"/>
      <c r="AA869" s="3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2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3"/>
      <c r="Z870" s="3"/>
      <c r="AA870" s="3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2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3"/>
      <c r="Z871" s="3"/>
      <c r="AA871" s="3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2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3"/>
      <c r="Z872" s="3"/>
      <c r="AA872" s="3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2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3"/>
      <c r="Z873" s="3"/>
      <c r="AA873" s="3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2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3"/>
      <c r="Z874" s="3"/>
      <c r="AA874" s="3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2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3"/>
      <c r="Z875" s="3"/>
      <c r="AA875" s="3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2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3"/>
      <c r="Z876" s="3"/>
      <c r="AA876" s="3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2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3"/>
      <c r="Z877" s="3"/>
      <c r="AA877" s="3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2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3"/>
      <c r="Z878" s="3"/>
      <c r="AA878" s="3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2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3"/>
      <c r="Z879" s="3"/>
      <c r="AA879" s="3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2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3"/>
      <c r="Z880" s="3"/>
      <c r="AA880" s="3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2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3"/>
      <c r="Z881" s="3"/>
      <c r="AA881" s="3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2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3"/>
      <c r="Z882" s="3"/>
      <c r="AA882" s="3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2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3"/>
      <c r="Z883" s="3"/>
      <c r="AA883" s="3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2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3"/>
      <c r="Z884" s="3"/>
      <c r="AA884" s="3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2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3"/>
      <c r="Z885" s="3"/>
      <c r="AA885" s="3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2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3"/>
      <c r="Z886" s="3"/>
      <c r="AA886" s="3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2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3"/>
      <c r="Z887" s="3"/>
      <c r="AA887" s="3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2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3"/>
      <c r="Z888" s="3"/>
      <c r="AA888" s="3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2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3"/>
      <c r="Z889" s="3"/>
      <c r="AA889" s="3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2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3"/>
      <c r="Z890" s="3"/>
      <c r="AA890" s="3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2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3"/>
      <c r="Z891" s="3"/>
      <c r="AA891" s="3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2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3"/>
      <c r="Z892" s="3"/>
      <c r="AA892" s="3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2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3"/>
      <c r="Z893" s="3"/>
      <c r="AA893" s="3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2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3"/>
      <c r="Z894" s="3"/>
      <c r="AA894" s="3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2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3"/>
      <c r="Z895" s="3"/>
      <c r="AA895" s="3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2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3"/>
      <c r="Z896" s="3"/>
      <c r="AA896" s="3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2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3"/>
      <c r="Z897" s="3"/>
      <c r="AA897" s="3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2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3"/>
      <c r="Z898" s="3"/>
      <c r="AA898" s="3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2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3"/>
      <c r="Z899" s="3"/>
      <c r="AA899" s="3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2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3"/>
      <c r="Z900" s="3"/>
      <c r="AA900" s="3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2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3"/>
      <c r="Z901" s="3"/>
      <c r="AA901" s="3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2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3"/>
      <c r="Z902" s="3"/>
      <c r="AA902" s="3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2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3"/>
      <c r="Z903" s="3"/>
      <c r="AA903" s="3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2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3"/>
      <c r="Z904" s="3"/>
      <c r="AA904" s="3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2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3"/>
      <c r="Z905" s="3"/>
      <c r="AA905" s="3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2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3"/>
      <c r="Z906" s="3"/>
      <c r="AA906" s="3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2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3"/>
      <c r="Z907" s="3"/>
      <c r="AA907" s="3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2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3"/>
      <c r="Z908" s="3"/>
      <c r="AA908" s="3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2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3"/>
      <c r="Z909" s="3"/>
      <c r="AA909" s="3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2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3"/>
      <c r="Z910" s="3"/>
      <c r="AA910" s="3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2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3"/>
      <c r="Z911" s="3"/>
      <c r="AA911" s="3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2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3"/>
      <c r="Z912" s="3"/>
      <c r="AA912" s="3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2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3"/>
      <c r="Z913" s="3"/>
      <c r="AA913" s="3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2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3"/>
      <c r="Z914" s="3"/>
      <c r="AA914" s="3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2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3"/>
      <c r="Z915" s="3"/>
      <c r="AA915" s="3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2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3"/>
      <c r="Z916" s="3"/>
      <c r="AA916" s="3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2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3"/>
      <c r="Z917" s="3"/>
      <c r="AA917" s="3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2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3"/>
      <c r="Z918" s="3"/>
      <c r="AA918" s="3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2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3"/>
      <c r="Z919" s="3"/>
      <c r="AA919" s="3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2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3"/>
      <c r="Z920" s="3"/>
      <c r="AA920" s="3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2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3"/>
      <c r="Z921" s="3"/>
      <c r="AA921" s="3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2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3"/>
      <c r="Z922" s="3"/>
      <c r="AA922" s="3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2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3"/>
      <c r="Z923" s="3"/>
      <c r="AA923" s="3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2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3"/>
      <c r="Z924" s="3"/>
      <c r="AA924" s="3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2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3"/>
      <c r="Z925" s="3"/>
      <c r="AA925" s="3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2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3"/>
      <c r="Z926" s="3"/>
      <c r="AA926" s="3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2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3"/>
      <c r="Z927" s="3"/>
      <c r="AA927" s="3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2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3"/>
      <c r="Z928" s="3"/>
      <c r="AA928" s="3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2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3"/>
      <c r="Z929" s="3"/>
      <c r="AA929" s="3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2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3"/>
      <c r="Z930" s="3"/>
      <c r="AA930" s="3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2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3"/>
      <c r="Z931" s="3"/>
      <c r="AA931" s="3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2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3"/>
      <c r="Z932" s="3"/>
      <c r="AA932" s="3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2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3"/>
      <c r="Z933" s="3"/>
      <c r="AA933" s="3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2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3"/>
      <c r="Z934" s="3"/>
      <c r="AA934" s="3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2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3"/>
      <c r="Z935" s="3"/>
      <c r="AA935" s="3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2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3"/>
      <c r="Z936" s="3"/>
      <c r="AA936" s="3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2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3"/>
      <c r="Z937" s="3"/>
      <c r="AA937" s="3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2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3"/>
      <c r="Z938" s="3"/>
      <c r="AA938" s="3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2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3"/>
      <c r="Z939" s="3"/>
      <c r="AA939" s="3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2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3"/>
      <c r="Z940" s="3"/>
      <c r="AA940" s="3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2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3"/>
      <c r="Z941" s="3"/>
      <c r="AA941" s="3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2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3"/>
      <c r="Z942" s="3"/>
      <c r="AA942" s="3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2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3"/>
      <c r="Z943" s="3"/>
      <c r="AA943" s="3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2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3"/>
      <c r="Z944" s="3"/>
      <c r="AA944" s="3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2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3"/>
      <c r="Z945" s="3"/>
      <c r="AA945" s="3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2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3"/>
      <c r="Z946" s="3"/>
      <c r="AA946" s="3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2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3"/>
      <c r="Z947" s="3"/>
      <c r="AA947" s="3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2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3"/>
      <c r="Z948" s="3"/>
      <c r="AA948" s="3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2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3"/>
      <c r="Z949" s="3"/>
      <c r="AA949" s="3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2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3"/>
      <c r="Z950" s="3"/>
      <c r="AA950" s="3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2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3"/>
      <c r="Z951" s="3"/>
      <c r="AA951" s="3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2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3"/>
      <c r="Z952" s="3"/>
      <c r="AA952" s="3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2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3"/>
      <c r="Z953" s="3"/>
      <c r="AA953" s="3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2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3"/>
      <c r="Z954" s="3"/>
      <c r="AA954" s="3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2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3"/>
      <c r="Z955" s="3"/>
      <c r="AA955" s="3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2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3"/>
      <c r="Z956" s="3"/>
      <c r="AA956" s="3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2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3"/>
      <c r="Z957" s="3"/>
      <c r="AA957" s="3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2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3"/>
      <c r="Z958" s="3"/>
      <c r="AA958" s="3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2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3"/>
      <c r="Z959" s="3"/>
      <c r="AA959" s="3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2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3"/>
      <c r="Z960" s="3"/>
      <c r="AA960" s="3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2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3"/>
      <c r="Z961" s="3"/>
      <c r="AA961" s="3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2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3"/>
      <c r="Z962" s="3"/>
      <c r="AA962" s="3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2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3"/>
      <c r="Z963" s="3"/>
      <c r="AA963" s="3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2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3"/>
      <c r="Z964" s="3"/>
      <c r="AA964" s="3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2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3"/>
      <c r="Z965" s="3"/>
      <c r="AA965" s="3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2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3"/>
      <c r="Z966" s="3"/>
      <c r="AA966" s="3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2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3"/>
      <c r="Z967" s="3"/>
      <c r="AA967" s="3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2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3"/>
      <c r="Z968" s="3"/>
      <c r="AA968" s="3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2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3"/>
      <c r="Z969" s="3"/>
      <c r="AA969" s="3"/>
    </row>
  </sheetData>
  <mergeCells count="98">
    <mergeCell ref="D3:G3"/>
    <mergeCell ref="H3:K3"/>
    <mergeCell ref="U4:V5"/>
    <mergeCell ref="W4:X5"/>
    <mergeCell ref="B2:C5"/>
    <mergeCell ref="D2:K2"/>
    <mergeCell ref="L2:N3"/>
    <mergeCell ref="O2:P3"/>
    <mergeCell ref="Q2:R3"/>
    <mergeCell ref="S2:X3"/>
    <mergeCell ref="Y2:Y3"/>
    <mergeCell ref="N4:N5"/>
    <mergeCell ref="O4:O5"/>
    <mergeCell ref="L4:L5"/>
    <mergeCell ref="M4:M5"/>
    <mergeCell ref="J7:K8"/>
    <mergeCell ref="L7:L8"/>
    <mergeCell ref="M7:M8"/>
    <mergeCell ref="N7:N8"/>
    <mergeCell ref="L9:L10"/>
    <mergeCell ref="J11:K13"/>
    <mergeCell ref="L11:L13"/>
    <mergeCell ref="M11:M13"/>
    <mergeCell ref="N11:N13"/>
    <mergeCell ref="S11:U13"/>
    <mergeCell ref="V11:X13"/>
    <mergeCell ref="Y11:Y13"/>
    <mergeCell ref="B14:AA14"/>
    <mergeCell ref="F11:G13"/>
    <mergeCell ref="F15:G16"/>
    <mergeCell ref="J15:K16"/>
    <mergeCell ref="L15:L16"/>
    <mergeCell ref="M15:M16"/>
    <mergeCell ref="N15:N16"/>
    <mergeCell ref="S15:U16"/>
    <mergeCell ref="V15:X16"/>
    <mergeCell ref="Y15:Y16"/>
    <mergeCell ref="B17:AA17"/>
    <mergeCell ref="B18:AA18"/>
    <mergeCell ref="S19:X19"/>
    <mergeCell ref="B19:C19"/>
    <mergeCell ref="B20:C20"/>
    <mergeCell ref="F20:G20"/>
    <mergeCell ref="J20:K20"/>
    <mergeCell ref="B21:C21"/>
    <mergeCell ref="F21:G21"/>
    <mergeCell ref="J21:K21"/>
    <mergeCell ref="S23:X23"/>
    <mergeCell ref="S24:X24"/>
    <mergeCell ref="S20:X20"/>
    <mergeCell ref="S21:X21"/>
    <mergeCell ref="B22:AA22"/>
    <mergeCell ref="B23:C23"/>
    <mergeCell ref="F23:G23"/>
    <mergeCell ref="J23:K23"/>
    <mergeCell ref="B24:C24"/>
    <mergeCell ref="J26:K26"/>
    <mergeCell ref="J27:K27"/>
    <mergeCell ref="B25:C25"/>
    <mergeCell ref="S25:X25"/>
    <mergeCell ref="B26:C26"/>
    <mergeCell ref="F26:G26"/>
    <mergeCell ref="S26:X26"/>
    <mergeCell ref="F27:G27"/>
    <mergeCell ref="S27:X27"/>
    <mergeCell ref="Z2:Z3"/>
    <mergeCell ref="AA2:AA3"/>
    <mergeCell ref="H4:I4"/>
    <mergeCell ref="J4:K4"/>
    <mergeCell ref="P4:P5"/>
    <mergeCell ref="Q4:Q5"/>
    <mergeCell ref="S7:X8"/>
    <mergeCell ref="Y7:Y8"/>
    <mergeCell ref="R4:R5"/>
    <mergeCell ref="S4:T5"/>
    <mergeCell ref="B6:AA6"/>
    <mergeCell ref="M9:M10"/>
    <mergeCell ref="N9:N10"/>
    <mergeCell ref="S9:T10"/>
    <mergeCell ref="U9:V10"/>
    <mergeCell ref="W9:X10"/>
    <mergeCell ref="Y9:Y10"/>
    <mergeCell ref="D4:E4"/>
    <mergeCell ref="F4:G4"/>
    <mergeCell ref="B7:B8"/>
    <mergeCell ref="F7:G8"/>
    <mergeCell ref="B9:B10"/>
    <mergeCell ref="B11:B13"/>
    <mergeCell ref="B15:B16"/>
    <mergeCell ref="S28:X28"/>
    <mergeCell ref="S29:X29"/>
    <mergeCell ref="B27:C27"/>
    <mergeCell ref="B28:C28"/>
    <mergeCell ref="F28:G28"/>
    <mergeCell ref="J28:K28"/>
    <mergeCell ref="B29:C29"/>
    <mergeCell ref="F29:G29"/>
    <mergeCell ref="J29:K29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11" width="5.13"/>
    <col customWidth="1" min="12" max="18" width="6.38"/>
    <col customWidth="1" min="19" max="24" width="1.38"/>
    <col customWidth="1" min="25" max="27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3"/>
      <c r="P1" s="3"/>
      <c r="Q1" s="1"/>
      <c r="R1" s="1"/>
      <c r="S1" s="1"/>
      <c r="T1" s="1"/>
      <c r="U1" s="1"/>
      <c r="V1" s="1"/>
      <c r="W1" s="1"/>
      <c r="X1" s="1"/>
      <c r="Y1" s="3"/>
      <c r="Z1" s="3"/>
      <c r="AA1" s="3"/>
    </row>
    <row r="2">
      <c r="A2" s="1"/>
      <c r="B2" s="4" t="s">
        <v>207</v>
      </c>
      <c r="C2" s="5"/>
      <c r="D2" s="6" t="s">
        <v>3</v>
      </c>
      <c r="E2" s="7"/>
      <c r="F2" s="7"/>
      <c r="G2" s="7"/>
      <c r="H2" s="7"/>
      <c r="I2" s="7"/>
      <c r="J2" s="7"/>
      <c r="K2" s="8"/>
      <c r="L2" s="9" t="s">
        <v>4</v>
      </c>
      <c r="M2" s="10"/>
      <c r="N2" s="5"/>
      <c r="O2" s="11" t="s">
        <v>5</v>
      </c>
      <c r="P2" s="5"/>
      <c r="Q2" s="12" t="s">
        <v>6</v>
      </c>
      <c r="R2" s="5"/>
      <c r="S2" s="9" t="s">
        <v>7</v>
      </c>
      <c r="T2" s="10"/>
      <c r="U2" s="10"/>
      <c r="V2" s="10"/>
      <c r="W2" s="10"/>
      <c r="X2" s="5"/>
      <c r="Y2" s="13" t="s">
        <v>8</v>
      </c>
      <c r="Z2" s="13" t="s">
        <v>9</v>
      </c>
      <c r="AA2" s="14" t="s">
        <v>10</v>
      </c>
    </row>
    <row r="3">
      <c r="A3" s="1"/>
      <c r="B3" s="15"/>
      <c r="C3" s="16"/>
      <c r="D3" s="17" t="s">
        <v>11</v>
      </c>
      <c r="E3" s="18"/>
      <c r="F3" s="18"/>
      <c r="G3" s="19"/>
      <c r="H3" s="20" t="s">
        <v>13</v>
      </c>
      <c r="I3" s="18"/>
      <c r="J3" s="18"/>
      <c r="K3" s="19"/>
      <c r="L3" s="21"/>
      <c r="M3" s="22"/>
      <c r="N3" s="23"/>
      <c r="O3" s="21"/>
      <c r="P3" s="23"/>
      <c r="Q3" s="21"/>
      <c r="R3" s="23"/>
      <c r="S3" s="21"/>
      <c r="T3" s="22"/>
      <c r="U3" s="22"/>
      <c r="V3" s="22"/>
      <c r="W3" s="22"/>
      <c r="X3" s="23"/>
      <c r="Y3" s="24"/>
      <c r="Z3" s="24"/>
      <c r="AA3" s="25"/>
    </row>
    <row r="4">
      <c r="A4" s="1"/>
      <c r="B4" s="15"/>
      <c r="C4" s="16"/>
      <c r="D4" s="17" t="s">
        <v>14</v>
      </c>
      <c r="E4" s="19"/>
      <c r="F4" s="26" t="s">
        <v>15</v>
      </c>
      <c r="G4" s="19"/>
      <c r="H4" s="20" t="s">
        <v>14</v>
      </c>
      <c r="I4" s="19"/>
      <c r="J4" s="27" t="s">
        <v>15</v>
      </c>
      <c r="K4" s="19"/>
      <c r="L4" s="28" t="s">
        <v>16</v>
      </c>
      <c r="M4" s="29" t="s">
        <v>17</v>
      </c>
      <c r="N4" s="30" t="s">
        <v>18</v>
      </c>
      <c r="O4" s="31" t="s">
        <v>19</v>
      </c>
      <c r="P4" s="32" t="s">
        <v>20</v>
      </c>
      <c r="Q4" s="33" t="s">
        <v>21</v>
      </c>
      <c r="R4" s="33" t="s">
        <v>22</v>
      </c>
      <c r="S4" s="34" t="s">
        <v>23</v>
      </c>
      <c r="T4" s="35"/>
      <c r="U4" s="36" t="s">
        <v>24</v>
      </c>
      <c r="V4" s="35"/>
      <c r="W4" s="37" t="s">
        <v>25</v>
      </c>
      <c r="X4" s="35"/>
      <c r="Y4" s="38" t="s">
        <v>26</v>
      </c>
      <c r="Z4" s="38" t="s">
        <v>26</v>
      </c>
      <c r="AA4" s="39" t="s">
        <v>26</v>
      </c>
    </row>
    <row r="5">
      <c r="A5" s="1"/>
      <c r="B5" s="485"/>
      <c r="C5" s="486"/>
      <c r="D5" s="487" t="s">
        <v>27</v>
      </c>
      <c r="E5" s="488" t="s">
        <v>28</v>
      </c>
      <c r="F5" s="489" t="s">
        <v>27</v>
      </c>
      <c r="G5" s="491" t="s">
        <v>28</v>
      </c>
      <c r="H5" s="492" t="s">
        <v>27</v>
      </c>
      <c r="I5" s="493" t="s">
        <v>28</v>
      </c>
      <c r="J5" s="494" t="s">
        <v>27</v>
      </c>
      <c r="K5" s="495" t="s">
        <v>28</v>
      </c>
      <c r="L5" s="496"/>
      <c r="M5" s="496"/>
      <c r="N5" s="496"/>
      <c r="O5" s="496"/>
      <c r="P5" s="496"/>
      <c r="Q5" s="496"/>
      <c r="R5" s="496"/>
      <c r="S5" s="497"/>
      <c r="T5" s="486"/>
      <c r="U5" s="497"/>
      <c r="V5" s="486"/>
      <c r="W5" s="497"/>
      <c r="X5" s="486"/>
      <c r="Y5" s="498">
        <v>1.0</v>
      </c>
      <c r="Z5" s="498">
        <v>1.0</v>
      </c>
      <c r="AA5" s="499">
        <v>1.0</v>
      </c>
    </row>
    <row r="6">
      <c r="A6" s="1"/>
      <c r="B6" s="51" t="s">
        <v>210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3"/>
    </row>
    <row r="7">
      <c r="A7" s="1"/>
      <c r="B7" s="296" t="s">
        <v>211</v>
      </c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300"/>
    </row>
    <row r="8">
      <c r="A8" s="1"/>
      <c r="B8" s="503" t="s">
        <v>212</v>
      </c>
      <c r="C8" s="155"/>
      <c r="D8" s="178">
        <v>5.0</v>
      </c>
      <c r="E8" s="396">
        <v>11.0</v>
      </c>
      <c r="F8" s="346" t="s">
        <v>32</v>
      </c>
      <c r="G8" s="155"/>
      <c r="H8" s="183">
        <v>4.0</v>
      </c>
      <c r="I8" s="505">
        <v>8.0</v>
      </c>
      <c r="J8" s="349" t="s">
        <v>32</v>
      </c>
      <c r="K8" s="155"/>
      <c r="L8" s="350"/>
      <c r="M8" s="465"/>
      <c r="N8" s="466"/>
      <c r="O8" s="483" t="str">
        <f t="shared" ref="O8:O14" si="1">IFS(OR(G8="-",ISBLANK(G8)),"-",G8&lt;1,"one-hit",G8&lt;=3,60/L8,OR(G8=4,G8=7,G8=9),"manual",G8&lt;7,2*60/L8,G8&lt;9,3*60/L8,G8&lt;=11,4*60/L8,G8&gt;11,"???")</f>
        <v>-</v>
      </c>
      <c r="P8" s="484" t="str">
        <f t="shared" ref="P8:P14" si="2">IFS(OR(K8="-",ISBLANK(K8)),"-",K8&lt;1,"one-hit",K8&lt;=3,60/L8,OR(K8=4,K8=7,K8=9),"manual",K8&lt;7,2*60/L8,K8&lt;9,3*60/L8,K8&lt;=11,4*60/L8,K8&gt;11,"???")</f>
        <v>-</v>
      </c>
      <c r="Q8" s="469" t="s">
        <v>41</v>
      </c>
      <c r="R8" s="355" t="s">
        <v>41</v>
      </c>
      <c r="S8" s="356">
        <v>15.0</v>
      </c>
      <c r="T8" s="160"/>
      <c r="U8" s="155"/>
      <c r="V8" s="470">
        <v>20.0</v>
      </c>
      <c r="W8" s="160"/>
      <c r="X8" s="155"/>
      <c r="Y8" s="357">
        <v>1.32</v>
      </c>
      <c r="Z8" s="358" t="s">
        <v>41</v>
      </c>
      <c r="AA8" s="359" t="s">
        <v>41</v>
      </c>
    </row>
    <row r="9">
      <c r="A9" s="1"/>
      <c r="B9" s="509" t="s">
        <v>214</v>
      </c>
      <c r="C9" s="303"/>
      <c r="D9" s="255">
        <v>5.0</v>
      </c>
      <c r="E9" s="256">
        <v>10.0</v>
      </c>
      <c r="F9" s="257" t="s">
        <v>32</v>
      </c>
      <c r="G9" s="303"/>
      <c r="H9" s="510">
        <v>3.0</v>
      </c>
      <c r="I9" s="512">
        <v>7.0</v>
      </c>
      <c r="J9" s="260" t="s">
        <v>32</v>
      </c>
      <c r="K9" s="303"/>
      <c r="L9" s="261"/>
      <c r="M9" s="377"/>
      <c r="N9" s="378"/>
      <c r="O9" s="431" t="str">
        <f t="shared" si="1"/>
        <v>-</v>
      </c>
      <c r="P9" s="436" t="str">
        <f t="shared" si="2"/>
        <v>-</v>
      </c>
      <c r="Q9" s="254" t="s">
        <v>41</v>
      </c>
      <c r="R9" s="266" t="s">
        <v>41</v>
      </c>
      <c r="S9" s="267">
        <v>20.0</v>
      </c>
      <c r="T9" s="249"/>
      <c r="U9" s="303"/>
      <c r="V9" s="369">
        <v>30.0</v>
      </c>
      <c r="W9" s="249"/>
      <c r="X9" s="303"/>
      <c r="Y9" s="268">
        <v>1.22</v>
      </c>
      <c r="Z9" s="268" t="s">
        <v>41</v>
      </c>
      <c r="AA9" s="525" t="s">
        <v>41</v>
      </c>
    </row>
    <row r="10">
      <c r="A10" s="1"/>
      <c r="B10" s="509" t="s">
        <v>229</v>
      </c>
      <c r="C10" s="303"/>
      <c r="D10" s="255">
        <v>5.0</v>
      </c>
      <c r="E10" s="256">
        <v>11.0</v>
      </c>
      <c r="F10" s="257" t="s">
        <v>32</v>
      </c>
      <c r="G10" s="303"/>
      <c r="H10" s="510">
        <v>3.0</v>
      </c>
      <c r="I10" s="512">
        <v>7.0</v>
      </c>
      <c r="J10" s="260" t="s">
        <v>32</v>
      </c>
      <c r="K10" s="303"/>
      <c r="L10" s="261"/>
      <c r="M10" s="377"/>
      <c r="N10" s="378"/>
      <c r="O10" s="431" t="str">
        <f t="shared" si="1"/>
        <v>-</v>
      </c>
      <c r="P10" s="436" t="str">
        <f t="shared" si="2"/>
        <v>-</v>
      </c>
      <c r="Q10" s="254" t="s">
        <v>41</v>
      </c>
      <c r="R10" s="266" t="s">
        <v>41</v>
      </c>
      <c r="S10" s="267">
        <v>8.0</v>
      </c>
      <c r="T10" s="249"/>
      <c r="U10" s="303"/>
      <c r="V10" s="369">
        <v>15.0</v>
      </c>
      <c r="W10" s="249"/>
      <c r="X10" s="303"/>
      <c r="Y10" s="268">
        <v>1.42</v>
      </c>
      <c r="Z10" s="270" t="s">
        <v>41</v>
      </c>
      <c r="AA10" s="307" t="s">
        <v>41</v>
      </c>
    </row>
    <row r="11">
      <c r="A11" s="1"/>
      <c r="B11" s="509" t="s">
        <v>232</v>
      </c>
      <c r="C11" s="303"/>
      <c r="D11" s="255">
        <v>5.0</v>
      </c>
      <c r="E11" s="256">
        <v>10.0</v>
      </c>
      <c r="F11" s="257" t="s">
        <v>32</v>
      </c>
      <c r="G11" s="303"/>
      <c r="H11" s="510">
        <v>3.0</v>
      </c>
      <c r="I11" s="512">
        <v>7.0</v>
      </c>
      <c r="J11" s="260" t="s">
        <v>32</v>
      </c>
      <c r="K11" s="303"/>
      <c r="L11" s="261"/>
      <c r="M11" s="377"/>
      <c r="N11" s="378"/>
      <c r="O11" s="431" t="str">
        <f t="shared" si="1"/>
        <v>-</v>
      </c>
      <c r="P11" s="436" t="str">
        <f t="shared" si="2"/>
        <v>-</v>
      </c>
      <c r="Q11" s="254" t="s">
        <v>41</v>
      </c>
      <c r="R11" s="266" t="s">
        <v>41</v>
      </c>
      <c r="S11" s="267">
        <v>12.0</v>
      </c>
      <c r="T11" s="249"/>
      <c r="U11" s="303"/>
      <c r="V11" s="369">
        <v>20.0</v>
      </c>
      <c r="W11" s="249"/>
      <c r="X11" s="303"/>
      <c r="Y11" s="268">
        <v>1.27</v>
      </c>
      <c r="Z11" s="268" t="s">
        <v>41</v>
      </c>
      <c r="AA11" s="525" t="s">
        <v>41</v>
      </c>
    </row>
    <row r="12">
      <c r="A12" s="1"/>
      <c r="B12" s="509" t="s">
        <v>236</v>
      </c>
      <c r="C12" s="303"/>
      <c r="D12" s="255">
        <v>4.0</v>
      </c>
      <c r="E12" s="256">
        <v>10.0</v>
      </c>
      <c r="F12" s="257" t="s">
        <v>32</v>
      </c>
      <c r="G12" s="303"/>
      <c r="H12" s="510">
        <v>3.0</v>
      </c>
      <c r="I12" s="512">
        <v>7.0</v>
      </c>
      <c r="J12" s="260" t="s">
        <v>32</v>
      </c>
      <c r="K12" s="303"/>
      <c r="L12" s="261"/>
      <c r="M12" s="377"/>
      <c r="N12" s="378"/>
      <c r="O12" s="431" t="str">
        <f t="shared" si="1"/>
        <v>-</v>
      </c>
      <c r="P12" s="436" t="str">
        <f t="shared" si="2"/>
        <v>-</v>
      </c>
      <c r="Q12" s="254" t="s">
        <v>41</v>
      </c>
      <c r="R12" s="266" t="s">
        <v>41</v>
      </c>
      <c r="S12" s="267">
        <v>10.0</v>
      </c>
      <c r="T12" s="249"/>
      <c r="U12" s="303"/>
      <c r="V12" s="369">
        <v>15.0</v>
      </c>
      <c r="W12" s="249"/>
      <c r="X12" s="303"/>
      <c r="Y12" s="268">
        <v>1.32</v>
      </c>
      <c r="Z12" s="270" t="s">
        <v>41</v>
      </c>
      <c r="AA12" s="307" t="s">
        <v>41</v>
      </c>
    </row>
    <row r="13">
      <c r="A13" s="1"/>
      <c r="B13" s="509" t="s">
        <v>242</v>
      </c>
      <c r="C13" s="303"/>
      <c r="D13" s="255">
        <v>4.0</v>
      </c>
      <c r="E13" s="256">
        <v>9.0</v>
      </c>
      <c r="F13" s="257" t="s">
        <v>32</v>
      </c>
      <c r="G13" s="303"/>
      <c r="H13" s="510">
        <v>3.0</v>
      </c>
      <c r="I13" s="512">
        <v>7.0</v>
      </c>
      <c r="J13" s="260" t="s">
        <v>32</v>
      </c>
      <c r="K13" s="303"/>
      <c r="L13" s="261"/>
      <c r="M13" s="377"/>
      <c r="N13" s="378"/>
      <c r="O13" s="431" t="str">
        <f t="shared" si="1"/>
        <v>-</v>
      </c>
      <c r="P13" s="436" t="str">
        <f t="shared" si="2"/>
        <v>-</v>
      </c>
      <c r="Q13" s="254" t="s">
        <v>41</v>
      </c>
      <c r="R13" s="266" t="s">
        <v>41</v>
      </c>
      <c r="S13" s="267">
        <v>15.0</v>
      </c>
      <c r="T13" s="249"/>
      <c r="U13" s="303"/>
      <c r="V13" s="369">
        <v>25.0</v>
      </c>
      <c r="W13" s="249"/>
      <c r="X13" s="303"/>
      <c r="Y13" s="268">
        <v>1.37</v>
      </c>
      <c r="Z13" s="268" t="s">
        <v>41</v>
      </c>
      <c r="AA13" s="525" t="s">
        <v>41</v>
      </c>
    </row>
    <row r="14">
      <c r="A14" s="1"/>
      <c r="B14" s="553" t="s">
        <v>243</v>
      </c>
      <c r="C14" s="92"/>
      <c r="D14" s="554">
        <v>2.0</v>
      </c>
      <c r="E14" s="555">
        <v>4.0</v>
      </c>
      <c r="F14" s="172" t="s">
        <v>32</v>
      </c>
      <c r="G14" s="92"/>
      <c r="H14" s="556">
        <v>2.0</v>
      </c>
      <c r="I14" s="557">
        <v>3.0</v>
      </c>
      <c r="J14" s="176" t="s">
        <v>32</v>
      </c>
      <c r="K14" s="92"/>
      <c r="L14" s="179"/>
      <c r="M14" s="289"/>
      <c r="N14" s="290"/>
      <c r="O14" s="445" t="str">
        <f t="shared" si="1"/>
        <v>-</v>
      </c>
      <c r="P14" s="560" t="str">
        <f t="shared" si="2"/>
        <v>-</v>
      </c>
      <c r="Q14" s="437" t="s">
        <v>41</v>
      </c>
      <c r="R14" s="196" t="s">
        <v>41</v>
      </c>
      <c r="S14" s="90">
        <v>7.0</v>
      </c>
      <c r="T14" s="91"/>
      <c r="U14" s="91"/>
      <c r="V14" s="91"/>
      <c r="W14" s="91"/>
      <c r="X14" s="92"/>
      <c r="Y14" s="202">
        <v>1.93</v>
      </c>
      <c r="Z14" s="392" t="s">
        <v>41</v>
      </c>
      <c r="AA14" s="393" t="s">
        <v>41</v>
      </c>
    </row>
    <row r="15">
      <c r="A15" s="1"/>
      <c r="B15" s="302" t="s">
        <v>245</v>
      </c>
      <c r="C15" s="249"/>
      <c r="D15" s="249"/>
      <c r="E15" s="249"/>
      <c r="F15" s="249"/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338"/>
    </row>
    <row r="16">
      <c r="A16" s="1"/>
      <c r="B16" s="566" t="s">
        <v>248</v>
      </c>
      <c r="C16" s="155"/>
      <c r="D16" s="569" t="s">
        <v>32</v>
      </c>
      <c r="E16" s="155"/>
      <c r="F16" s="463">
        <v>8.0</v>
      </c>
      <c r="G16" s="571">
        <v>19.0</v>
      </c>
      <c r="H16" s="572" t="s">
        <v>32</v>
      </c>
      <c r="I16" s="155"/>
      <c r="J16" s="573">
        <v>10.0</v>
      </c>
      <c r="K16" s="574">
        <v>21.0</v>
      </c>
      <c r="L16" s="350">
        <v>1160.0</v>
      </c>
      <c r="M16" s="576">
        <f t="shared" ref="M16:M17" si="3">L16/60</f>
        <v>19.33333333</v>
      </c>
      <c r="N16" s="578">
        <f t="shared" ref="N16:N17" si="4">60/L16</f>
        <v>0.05172413793</v>
      </c>
      <c r="O16" s="483" t="str">
        <f t="shared" ref="O16:O17" si="5">IFS(OR(G16="-",ISBLANK(G16)),"-",G16&lt;1,"one-hit",G16&lt;=3,60/L16,OR(G16=4,G16=7,G16=9),"manual",G16&lt;7,2*60/L16,G16&lt;9,3*60/L16,G16&lt;=11,4*60/L16,G16&gt;11,"???")</f>
        <v>???</v>
      </c>
      <c r="P16" s="484" t="str">
        <f t="shared" ref="P16:P17" si="6">IFS(OR(K16="-",ISBLANK(K16)),"-",K16&lt;1,"one-hit",K16&lt;=3,60/L16,OR(K16=4,K16=7,K16=9),"manual",K16&lt;7,2*60/L16,K16&lt;9,3*60/L16,K16&lt;=11,4*60/L16,K16&gt;11,"???")</f>
        <v>???</v>
      </c>
      <c r="Q16" s="469" t="s">
        <v>41</v>
      </c>
      <c r="R16" s="355" t="s">
        <v>41</v>
      </c>
      <c r="S16" s="356">
        <v>20.0</v>
      </c>
      <c r="T16" s="160"/>
      <c r="U16" s="160"/>
      <c r="V16" s="160"/>
      <c r="W16" s="160"/>
      <c r="X16" s="155"/>
      <c r="Y16" s="357">
        <v>1.97</v>
      </c>
      <c r="Z16" s="357" t="s">
        <v>41</v>
      </c>
      <c r="AA16" s="594" t="s">
        <v>41</v>
      </c>
    </row>
    <row r="17">
      <c r="A17" s="1"/>
      <c r="B17" s="595" t="s">
        <v>257</v>
      </c>
      <c r="C17" s="16"/>
      <c r="D17" s="195" t="s">
        <v>32</v>
      </c>
      <c r="E17" s="92"/>
      <c r="F17" s="596">
        <v>6.0</v>
      </c>
      <c r="G17" s="597">
        <v>14.0</v>
      </c>
      <c r="H17" s="599" t="s">
        <v>32</v>
      </c>
      <c r="I17" s="16"/>
      <c r="J17" s="600">
        <v>7.0</v>
      </c>
      <c r="K17" s="601">
        <v>15.0</v>
      </c>
      <c r="L17" s="64">
        <v>885.0</v>
      </c>
      <c r="M17" s="97">
        <f t="shared" si="3"/>
        <v>14.75</v>
      </c>
      <c r="N17" s="105">
        <f t="shared" si="4"/>
        <v>0.06779661017</v>
      </c>
      <c r="O17" s="445" t="str">
        <f t="shared" si="5"/>
        <v>???</v>
      </c>
      <c r="P17" s="560" t="str">
        <f t="shared" si="6"/>
        <v>???</v>
      </c>
      <c r="Q17" s="605" t="s">
        <v>41</v>
      </c>
      <c r="R17" s="88" t="s">
        <v>41</v>
      </c>
      <c r="S17" s="130">
        <v>30.0</v>
      </c>
      <c r="X17" s="16"/>
      <c r="Y17" s="135">
        <v>2.27</v>
      </c>
      <c r="Z17" s="608" t="s">
        <v>41</v>
      </c>
      <c r="AA17" s="610" t="s">
        <v>41</v>
      </c>
    </row>
    <row r="18">
      <c r="A18" s="1"/>
      <c r="B18" s="51" t="s">
        <v>262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3"/>
    </row>
    <row r="19">
      <c r="A19" s="1"/>
      <c r="B19" s="296" t="s">
        <v>89</v>
      </c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300"/>
    </row>
    <row r="20">
      <c r="A20" s="1"/>
      <c r="B20" s="370" t="s">
        <v>263</v>
      </c>
      <c r="C20" s="303"/>
      <c r="D20" s="418">
        <v>4.0</v>
      </c>
      <c r="E20" s="419">
        <v>8.0</v>
      </c>
      <c r="F20" s="590" t="s">
        <v>32</v>
      </c>
      <c r="G20" s="303"/>
      <c r="H20" s="364">
        <v>3.0</v>
      </c>
      <c r="I20" s="365">
        <v>6.0</v>
      </c>
      <c r="J20" s="461" t="s">
        <v>32</v>
      </c>
      <c r="K20" s="303"/>
      <c r="L20" s="261"/>
      <c r="M20" s="377"/>
      <c r="N20" s="378"/>
      <c r="O20" s="379" t="str">
        <f t="shared" ref="O20:O23" si="7">IFS(OR(G20="-",ISBLANK(G20)),"-",G20&lt;1,"one-hit",G20&lt;=3,60/L20,OR(G20=4,G20=7,G20=9),"manual",G20&lt;7,2*60/L20,G20&lt;9,3*60/L20,G20&lt;=11,4*60/L20,G20&gt;11,"???")</f>
        <v>-</v>
      </c>
      <c r="P20" s="449" t="str">
        <f t="shared" ref="P20:P23" si="8">IFS(OR(K20="-",ISBLANK(K20)),"-",K20&lt;1,"one-hit",K20&lt;=3,60/L20,OR(K20=4,K20=7,K20=9),"manual",K20&lt;7,2*60/L20,K20&lt;9,3*60/L20,K20&lt;=11,4*60/L20,K20&gt;11,"???")</f>
        <v>-</v>
      </c>
      <c r="Q20" s="254" t="s">
        <v>41</v>
      </c>
      <c r="R20" s="266" t="s">
        <v>41</v>
      </c>
      <c r="S20" s="267">
        <v>15.0</v>
      </c>
      <c r="T20" s="249"/>
      <c r="U20" s="249"/>
      <c r="V20" s="249"/>
      <c r="W20" s="249"/>
      <c r="X20" s="303"/>
      <c r="Y20" s="268" t="s">
        <v>41</v>
      </c>
      <c r="Z20" s="270" t="s">
        <v>41</v>
      </c>
      <c r="AA20" s="307" t="s">
        <v>41</v>
      </c>
    </row>
    <row r="21">
      <c r="A21" s="1"/>
      <c r="B21" s="370" t="s">
        <v>265</v>
      </c>
      <c r="C21" s="303"/>
      <c r="D21" s="362">
        <v>1.0</v>
      </c>
      <c r="E21" s="363">
        <v>3.0</v>
      </c>
      <c r="F21" s="590" t="s">
        <v>32</v>
      </c>
      <c r="G21" s="303"/>
      <c r="H21" s="364">
        <v>1.0</v>
      </c>
      <c r="I21" s="365">
        <v>3.0</v>
      </c>
      <c r="J21" s="461" t="s">
        <v>32</v>
      </c>
      <c r="K21" s="303"/>
      <c r="L21" s="261"/>
      <c r="M21" s="377"/>
      <c r="N21" s="378"/>
      <c r="O21" s="379" t="str">
        <f t="shared" si="7"/>
        <v>-</v>
      </c>
      <c r="P21" s="449" t="str">
        <f t="shared" si="8"/>
        <v>-</v>
      </c>
      <c r="Q21" s="254" t="s">
        <v>41</v>
      </c>
      <c r="R21" s="266" t="s">
        <v>41</v>
      </c>
      <c r="S21" s="267">
        <v>7.0</v>
      </c>
      <c r="T21" s="249"/>
      <c r="U21" s="249"/>
      <c r="V21" s="249"/>
      <c r="W21" s="249"/>
      <c r="X21" s="303"/>
      <c r="Y21" s="268" t="s">
        <v>41</v>
      </c>
      <c r="Z21" s="270" t="s">
        <v>41</v>
      </c>
      <c r="AA21" s="307" t="s">
        <v>41</v>
      </c>
    </row>
    <row r="22">
      <c r="A22" s="1"/>
      <c r="B22" s="367" t="s">
        <v>267</v>
      </c>
      <c r="C22" s="303"/>
      <c r="D22" s="418">
        <v>4.0</v>
      </c>
      <c r="E22" s="419">
        <v>8.0</v>
      </c>
      <c r="F22" s="590" t="s">
        <v>32</v>
      </c>
      <c r="G22" s="303"/>
      <c r="H22" s="364">
        <v>3.0</v>
      </c>
      <c r="I22" s="365">
        <v>6.0</v>
      </c>
      <c r="J22" s="461" t="s">
        <v>32</v>
      </c>
      <c r="K22" s="303"/>
      <c r="L22" s="261"/>
      <c r="M22" s="377"/>
      <c r="N22" s="378"/>
      <c r="O22" s="379" t="str">
        <f t="shared" si="7"/>
        <v>-</v>
      </c>
      <c r="P22" s="449" t="str">
        <f t="shared" si="8"/>
        <v>-</v>
      </c>
      <c r="Q22" s="254" t="s">
        <v>41</v>
      </c>
      <c r="R22" s="266" t="s">
        <v>41</v>
      </c>
      <c r="S22" s="267">
        <v>20.0</v>
      </c>
      <c r="T22" s="249"/>
      <c r="U22" s="249"/>
      <c r="V22" s="249"/>
      <c r="W22" s="249"/>
      <c r="X22" s="303"/>
      <c r="Y22" s="268" t="s">
        <v>41</v>
      </c>
      <c r="Z22" s="270" t="s">
        <v>41</v>
      </c>
      <c r="AA22" s="307" t="s">
        <v>41</v>
      </c>
    </row>
    <row r="23">
      <c r="A23" s="1"/>
      <c r="B23" s="370" t="s">
        <v>268</v>
      </c>
      <c r="C23" s="303"/>
      <c r="D23" s="418">
        <v>2.0</v>
      </c>
      <c r="E23" s="419">
        <v>4.0</v>
      </c>
      <c r="F23" s="257" t="s">
        <v>32</v>
      </c>
      <c r="G23" s="303"/>
      <c r="H23" s="415">
        <v>1.0</v>
      </c>
      <c r="I23" s="416">
        <v>3.0</v>
      </c>
      <c r="J23" s="260" t="s">
        <v>32</v>
      </c>
      <c r="K23" s="303"/>
      <c r="L23" s="261"/>
      <c r="M23" s="377"/>
      <c r="N23" s="378"/>
      <c r="O23" s="379" t="str">
        <f t="shared" si="7"/>
        <v>-</v>
      </c>
      <c r="P23" s="449" t="str">
        <f t="shared" si="8"/>
        <v>-</v>
      </c>
      <c r="Q23" s="254" t="s">
        <v>41</v>
      </c>
      <c r="R23" s="266" t="s">
        <v>41</v>
      </c>
      <c r="S23" s="267">
        <v>7.0</v>
      </c>
      <c r="T23" s="249"/>
      <c r="U23" s="249"/>
      <c r="V23" s="249"/>
      <c r="W23" s="249"/>
      <c r="X23" s="303"/>
      <c r="Y23" s="268" t="s">
        <v>41</v>
      </c>
      <c r="Z23" s="270" t="s">
        <v>41</v>
      </c>
      <c r="AA23" s="307" t="s">
        <v>41</v>
      </c>
    </row>
    <row r="24">
      <c r="A24" s="1"/>
      <c r="B24" s="302" t="s">
        <v>67</v>
      </c>
      <c r="C24" s="249"/>
      <c r="D24" s="249"/>
      <c r="E24" s="249"/>
      <c r="F24" s="249"/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338"/>
    </row>
    <row r="25">
      <c r="A25" s="1"/>
      <c r="B25" s="620" t="s">
        <v>269</v>
      </c>
      <c r="C25" s="303"/>
      <c r="D25" s="413"/>
      <c r="E25" s="413"/>
      <c r="F25" s="621" t="s">
        <v>32</v>
      </c>
      <c r="G25" s="303"/>
      <c r="H25" s="471">
        <v>3.0</v>
      </c>
      <c r="I25" s="471">
        <v>7.0</v>
      </c>
      <c r="J25" s="622" t="s">
        <v>32</v>
      </c>
      <c r="K25" s="303"/>
      <c r="L25" s="261"/>
      <c r="M25" s="377"/>
      <c r="N25" s="378"/>
      <c r="O25" s="379"/>
      <c r="P25" s="449"/>
      <c r="Q25" s="254"/>
      <c r="R25" s="266"/>
      <c r="S25" s="267">
        <v>10.0</v>
      </c>
      <c r="T25" s="249"/>
      <c r="U25" s="249"/>
      <c r="V25" s="249"/>
      <c r="W25" s="249"/>
      <c r="X25" s="303"/>
      <c r="Y25" s="268"/>
      <c r="Z25" s="270"/>
      <c r="AA25" s="307"/>
    </row>
    <row r="26">
      <c r="A26" s="1"/>
      <c r="B26" s="394" t="s">
        <v>270</v>
      </c>
      <c r="C26" s="303"/>
      <c r="D26" s="371" t="s">
        <v>32</v>
      </c>
      <c r="E26" s="303"/>
      <c r="F26" s="623"/>
      <c r="G26" s="624"/>
      <c r="H26" s="374" t="s">
        <v>32</v>
      </c>
      <c r="I26" s="303"/>
      <c r="J26" s="375">
        <v>7.0</v>
      </c>
      <c r="K26" s="376">
        <v>15.0</v>
      </c>
      <c r="L26" s="261"/>
      <c r="M26" s="377"/>
      <c r="N26" s="378"/>
      <c r="O26" s="379" t="str">
        <f>IFS(OR(G26="-",ISBLANK(G26)),"-",G26&lt;1,"one-hit",G26&lt;=3,60/L26,OR(G26=4,G26=7,G26=9),"manual",G26&lt;7,2*60/L26,G26&lt;9,3*60/L26,G26&lt;=11,4*60/L26,G26&gt;11,"???")</f>
        <v>-</v>
      </c>
      <c r="P26" s="449" t="str">
        <f>IFS(OR(K26="-",ISBLANK(K26)),"-",K26&lt;1,"one-hit",K26&lt;=3,60/L26,OR(K26=4,K26=7,K26=9),"manual",K26&lt;7,2*60/L26,K26&lt;9,3*60/L26,K26&lt;=11,4*60/L26,K26&gt;11,"???")</f>
        <v>???</v>
      </c>
      <c r="Q26" s="254" t="s">
        <v>41</v>
      </c>
      <c r="R26" s="266" t="s">
        <v>41</v>
      </c>
      <c r="S26" s="267">
        <v>30.0</v>
      </c>
      <c r="T26" s="249"/>
      <c r="U26" s="249"/>
      <c r="V26" s="249"/>
      <c r="W26" s="249"/>
      <c r="X26" s="303"/>
      <c r="Y26" s="268" t="s">
        <v>41</v>
      </c>
      <c r="Z26" s="270" t="s">
        <v>41</v>
      </c>
      <c r="AA26" s="307" t="s">
        <v>41</v>
      </c>
    </row>
    <row r="27">
      <c r="A27" s="1"/>
      <c r="B27" s="302" t="s">
        <v>73</v>
      </c>
      <c r="C27" s="249"/>
      <c r="D27" s="249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249"/>
      <c r="W27" s="249"/>
      <c r="X27" s="249"/>
      <c r="Y27" s="249"/>
      <c r="Z27" s="249"/>
      <c r="AA27" s="338"/>
    </row>
    <row r="28">
      <c r="A28" s="1"/>
      <c r="B28" s="370" t="s">
        <v>274</v>
      </c>
      <c r="C28" s="303"/>
      <c r="D28" s="362"/>
      <c r="E28" s="363"/>
      <c r="F28" s="625" t="s">
        <v>32</v>
      </c>
      <c r="G28" s="303"/>
      <c r="H28" s="364">
        <v>1.0</v>
      </c>
      <c r="I28" s="365">
        <v>2.0</v>
      </c>
      <c r="J28" s="461" t="s">
        <v>32</v>
      </c>
      <c r="K28" s="303"/>
      <c r="L28" s="261"/>
      <c r="M28" s="377"/>
      <c r="N28" s="378"/>
      <c r="O28" s="379" t="str">
        <f t="shared" ref="O28:O35" si="9">IFS(OR(G28="-",ISBLANK(G28)),"-",G28&lt;1,"one-hit",G28&lt;=3,60/L28,OR(G28=4,G28=7,G28=9),"manual",G28&lt;7,2*60/L28,G28&lt;9,3*60/L28,G28&lt;=11,4*60/L28,G28&gt;11,"???")</f>
        <v>-</v>
      </c>
      <c r="P28" s="449" t="str">
        <f t="shared" ref="P28:P35" si="10">IFS(OR(K28="-",ISBLANK(K28)),"-",K28&lt;1,"one-hit",K28&lt;=3,60/L28,OR(K28=4,K28=7,K28=9),"manual",K28&lt;7,2*60/L28,K28&lt;9,3*60/L28,K28&lt;=11,4*60/L28,K28&gt;11,"???")</f>
        <v>-</v>
      </c>
      <c r="Q28" s="254" t="s">
        <v>41</v>
      </c>
      <c r="R28" s="266" t="s">
        <v>41</v>
      </c>
      <c r="S28" s="267">
        <v>1.0</v>
      </c>
      <c r="T28" s="249"/>
      <c r="U28" s="249"/>
      <c r="V28" s="249"/>
      <c r="W28" s="249"/>
      <c r="X28" s="303"/>
      <c r="Y28" s="268" t="s">
        <v>41</v>
      </c>
      <c r="Z28" s="270" t="s">
        <v>41</v>
      </c>
      <c r="AA28" s="307" t="s">
        <v>41</v>
      </c>
    </row>
    <row r="29">
      <c r="A29" s="1"/>
      <c r="B29" s="367" t="s">
        <v>276</v>
      </c>
      <c r="C29" s="303"/>
      <c r="D29" s="362"/>
      <c r="E29" s="363"/>
      <c r="F29" s="625" t="s">
        <v>32</v>
      </c>
      <c r="G29" s="303"/>
      <c r="H29" s="364">
        <v>3.0</v>
      </c>
      <c r="I29" s="365">
        <v>7.0</v>
      </c>
      <c r="J29" s="461" t="s">
        <v>32</v>
      </c>
      <c r="K29" s="303"/>
      <c r="L29" s="261"/>
      <c r="M29" s="377"/>
      <c r="N29" s="378"/>
      <c r="O29" s="379" t="str">
        <f t="shared" si="9"/>
        <v>-</v>
      </c>
      <c r="P29" s="449" t="str">
        <f t="shared" si="10"/>
        <v>-</v>
      </c>
      <c r="Q29" s="254" t="s">
        <v>41</v>
      </c>
      <c r="R29" s="266" t="s">
        <v>41</v>
      </c>
      <c r="S29" s="267">
        <v>20.0</v>
      </c>
      <c r="T29" s="249"/>
      <c r="U29" s="249"/>
      <c r="V29" s="249"/>
      <c r="W29" s="249"/>
      <c r="X29" s="303"/>
      <c r="Y29" s="268" t="s">
        <v>41</v>
      </c>
      <c r="Z29" s="270" t="s">
        <v>41</v>
      </c>
      <c r="AA29" s="307" t="s">
        <v>41</v>
      </c>
    </row>
    <row r="30">
      <c r="A30" s="1"/>
      <c r="B30" s="367" t="s">
        <v>277</v>
      </c>
      <c r="C30" s="303"/>
      <c r="D30" s="362"/>
      <c r="E30" s="363"/>
      <c r="F30" s="625" t="s">
        <v>32</v>
      </c>
      <c r="G30" s="303"/>
      <c r="H30" s="364">
        <v>3.0</v>
      </c>
      <c r="I30" s="365">
        <v>7.0</v>
      </c>
      <c r="J30" s="461" t="s">
        <v>32</v>
      </c>
      <c r="K30" s="303"/>
      <c r="L30" s="261"/>
      <c r="M30" s="377"/>
      <c r="N30" s="378"/>
      <c r="O30" s="379" t="str">
        <f t="shared" si="9"/>
        <v>-</v>
      </c>
      <c r="P30" s="449" t="str">
        <f t="shared" si="10"/>
        <v>-</v>
      </c>
      <c r="Q30" s="254" t="s">
        <v>41</v>
      </c>
      <c r="R30" s="266" t="s">
        <v>41</v>
      </c>
      <c r="S30" s="267">
        <v>15.0</v>
      </c>
      <c r="T30" s="249"/>
      <c r="U30" s="249"/>
      <c r="V30" s="249"/>
      <c r="W30" s="249"/>
      <c r="X30" s="303"/>
      <c r="Y30" s="268" t="s">
        <v>41</v>
      </c>
      <c r="Z30" s="270" t="s">
        <v>41</v>
      </c>
      <c r="AA30" s="307" t="s">
        <v>41</v>
      </c>
    </row>
    <row r="31">
      <c r="A31" s="1"/>
      <c r="B31" s="630" t="s">
        <v>279</v>
      </c>
      <c r="C31" s="303"/>
      <c r="D31" s="255">
        <v>2.0</v>
      </c>
      <c r="E31" s="256">
        <v>4.0</v>
      </c>
      <c r="F31" s="631" t="s">
        <v>32</v>
      </c>
      <c r="G31" s="303"/>
      <c r="H31" s="258">
        <v>2.0</v>
      </c>
      <c r="I31" s="259">
        <v>3.0</v>
      </c>
      <c r="J31" s="260" t="s">
        <v>32</v>
      </c>
      <c r="K31" s="303"/>
      <c r="L31" s="261"/>
      <c r="M31" s="377"/>
      <c r="N31" s="378"/>
      <c r="O31" s="379" t="str">
        <f t="shared" si="9"/>
        <v>-</v>
      </c>
      <c r="P31" s="449" t="str">
        <f t="shared" si="10"/>
        <v>-</v>
      </c>
      <c r="Q31" s="254" t="s">
        <v>41</v>
      </c>
      <c r="R31" s="266" t="s">
        <v>41</v>
      </c>
      <c r="S31" s="267">
        <v>6.0</v>
      </c>
      <c r="T31" s="249"/>
      <c r="U31" s="249"/>
      <c r="V31" s="249"/>
      <c r="W31" s="249"/>
      <c r="X31" s="303"/>
      <c r="Y31" s="268">
        <v>1.97</v>
      </c>
      <c r="Z31" s="270" t="s">
        <v>41</v>
      </c>
      <c r="AA31" s="307" t="s">
        <v>41</v>
      </c>
    </row>
    <row r="32">
      <c r="A32" s="1"/>
      <c r="B32" s="367" t="s">
        <v>280</v>
      </c>
      <c r="C32" s="303"/>
      <c r="D32" s="362"/>
      <c r="E32" s="363"/>
      <c r="F32" s="625" t="s">
        <v>32</v>
      </c>
      <c r="G32" s="303"/>
      <c r="H32" s="364" t="s">
        <v>41</v>
      </c>
      <c r="I32" s="365" t="s">
        <v>41</v>
      </c>
      <c r="J32" s="461" t="s">
        <v>32</v>
      </c>
      <c r="K32" s="303"/>
      <c r="L32" s="261"/>
      <c r="M32" s="377"/>
      <c r="N32" s="378"/>
      <c r="O32" s="379" t="str">
        <f t="shared" si="9"/>
        <v>-</v>
      </c>
      <c r="P32" s="449" t="str">
        <f t="shared" si="10"/>
        <v>-</v>
      </c>
      <c r="Q32" s="254" t="s">
        <v>41</v>
      </c>
      <c r="R32" s="266" t="s">
        <v>41</v>
      </c>
      <c r="S32" s="267">
        <v>8.0</v>
      </c>
      <c r="T32" s="249"/>
      <c r="U32" s="249"/>
      <c r="V32" s="249"/>
      <c r="W32" s="249"/>
      <c r="X32" s="303"/>
      <c r="Y32" s="268" t="s">
        <v>41</v>
      </c>
      <c r="Z32" s="270" t="s">
        <v>41</v>
      </c>
      <c r="AA32" s="307" t="s">
        <v>41</v>
      </c>
    </row>
    <row r="33">
      <c r="A33" s="1"/>
      <c r="B33" s="370" t="s">
        <v>281</v>
      </c>
      <c r="C33" s="303"/>
      <c r="D33" s="362"/>
      <c r="E33" s="363"/>
      <c r="F33" s="625" t="s">
        <v>32</v>
      </c>
      <c r="G33" s="303"/>
      <c r="H33" s="364">
        <v>2.0</v>
      </c>
      <c r="I33" s="365">
        <v>3.0</v>
      </c>
      <c r="J33" s="461" t="s">
        <v>32</v>
      </c>
      <c r="K33" s="303"/>
      <c r="L33" s="261"/>
      <c r="M33" s="377"/>
      <c r="N33" s="378"/>
      <c r="O33" s="379" t="str">
        <f t="shared" si="9"/>
        <v>-</v>
      </c>
      <c r="P33" s="449" t="str">
        <f t="shared" si="10"/>
        <v>-</v>
      </c>
      <c r="Q33" s="254" t="s">
        <v>41</v>
      </c>
      <c r="R33" s="266" t="s">
        <v>41</v>
      </c>
      <c r="S33" s="267">
        <v>7.0</v>
      </c>
      <c r="T33" s="249"/>
      <c r="U33" s="249"/>
      <c r="V33" s="249"/>
      <c r="W33" s="249"/>
      <c r="X33" s="303"/>
      <c r="Y33" s="268" t="s">
        <v>41</v>
      </c>
      <c r="Z33" s="270" t="s">
        <v>41</v>
      </c>
      <c r="AA33" s="307" t="s">
        <v>41</v>
      </c>
    </row>
    <row r="34">
      <c r="A34" s="1"/>
      <c r="B34" s="367" t="s">
        <v>283</v>
      </c>
      <c r="C34" s="303"/>
      <c r="D34" s="362"/>
      <c r="E34" s="363"/>
      <c r="F34" s="625" t="s">
        <v>32</v>
      </c>
      <c r="G34" s="303"/>
      <c r="H34" s="364">
        <v>3.0</v>
      </c>
      <c r="I34" s="365">
        <v>7.0</v>
      </c>
      <c r="J34" s="461" t="s">
        <v>32</v>
      </c>
      <c r="K34" s="303"/>
      <c r="L34" s="261"/>
      <c r="M34" s="377"/>
      <c r="N34" s="378"/>
      <c r="O34" s="379" t="str">
        <f t="shared" si="9"/>
        <v>-</v>
      </c>
      <c r="P34" s="449" t="str">
        <f t="shared" si="10"/>
        <v>-</v>
      </c>
      <c r="Q34" s="254" t="s">
        <v>41</v>
      </c>
      <c r="R34" s="266" t="s">
        <v>41</v>
      </c>
      <c r="S34" s="267">
        <v>8.0</v>
      </c>
      <c r="T34" s="249"/>
      <c r="U34" s="249"/>
      <c r="V34" s="249"/>
      <c r="W34" s="249"/>
      <c r="X34" s="303"/>
      <c r="Y34" s="268" t="s">
        <v>41</v>
      </c>
      <c r="Z34" s="270" t="s">
        <v>41</v>
      </c>
      <c r="AA34" s="307" t="s">
        <v>41</v>
      </c>
    </row>
    <row r="35">
      <c r="A35" s="1"/>
      <c r="B35" s="630" t="s">
        <v>284</v>
      </c>
      <c r="C35" s="303"/>
      <c r="D35" s="255">
        <v>2.0</v>
      </c>
      <c r="E35" s="256">
        <v>5.0</v>
      </c>
      <c r="F35" s="631" t="s">
        <v>32</v>
      </c>
      <c r="G35" s="303"/>
      <c r="H35" s="258">
        <v>2.0</v>
      </c>
      <c r="I35" s="259">
        <v>3.0</v>
      </c>
      <c r="J35" s="260" t="s">
        <v>32</v>
      </c>
      <c r="K35" s="303"/>
      <c r="L35" s="261"/>
      <c r="M35" s="377"/>
      <c r="N35" s="378"/>
      <c r="O35" s="379" t="str">
        <f t="shared" si="9"/>
        <v>-</v>
      </c>
      <c r="P35" s="449" t="str">
        <f t="shared" si="10"/>
        <v>-</v>
      </c>
      <c r="Q35" s="254" t="s">
        <v>41</v>
      </c>
      <c r="R35" s="266" t="s">
        <v>41</v>
      </c>
      <c r="S35" s="267">
        <v>6.0</v>
      </c>
      <c r="T35" s="249"/>
      <c r="U35" s="249"/>
      <c r="V35" s="249"/>
      <c r="W35" s="249"/>
      <c r="X35" s="303"/>
      <c r="Y35" s="268">
        <v>1.97</v>
      </c>
      <c r="Z35" s="270" t="s">
        <v>41</v>
      </c>
      <c r="AA35" s="307" t="s">
        <v>41</v>
      </c>
    </row>
    <row r="36">
      <c r="A36" s="1"/>
      <c r="B36" s="394" t="s">
        <v>285</v>
      </c>
      <c r="C36" s="303"/>
      <c r="D36" s="401" t="s">
        <v>32</v>
      </c>
      <c r="E36" s="303"/>
      <c r="F36" s="640" t="s">
        <v>41</v>
      </c>
      <c r="G36" s="641" t="s">
        <v>41</v>
      </c>
      <c r="H36" s="402" t="s">
        <v>32</v>
      </c>
      <c r="I36" s="303"/>
      <c r="J36" s="473" t="s">
        <v>41</v>
      </c>
      <c r="K36" s="474" t="s">
        <v>41</v>
      </c>
      <c r="L36" s="261"/>
      <c r="M36" s="377"/>
      <c r="N36" s="378"/>
      <c r="O36" s="379"/>
      <c r="P36" s="449"/>
      <c r="Q36" s="254"/>
      <c r="R36" s="266"/>
      <c r="S36" s="267">
        <v>30.0</v>
      </c>
      <c r="T36" s="249"/>
      <c r="U36" s="249"/>
      <c r="V36" s="249"/>
      <c r="W36" s="249"/>
      <c r="X36" s="303"/>
      <c r="Y36" s="268"/>
      <c r="Z36" s="270"/>
      <c r="AA36" s="307"/>
    </row>
    <row r="37">
      <c r="A37" s="1"/>
      <c r="B37" s="394" t="s">
        <v>286</v>
      </c>
      <c r="C37" s="303"/>
      <c r="D37" s="401" t="s">
        <v>32</v>
      </c>
      <c r="E37" s="303"/>
      <c r="F37" s="643"/>
      <c r="G37" s="644"/>
      <c r="H37" s="402" t="s">
        <v>32</v>
      </c>
      <c r="I37" s="303"/>
      <c r="J37" s="387">
        <v>10.0</v>
      </c>
      <c r="K37" s="388">
        <v>21.0</v>
      </c>
      <c r="L37" s="261"/>
      <c r="M37" s="377"/>
      <c r="N37" s="378"/>
      <c r="O37" s="379"/>
      <c r="P37" s="449"/>
      <c r="Q37" s="254"/>
      <c r="R37" s="266"/>
      <c r="S37" s="267">
        <v>20.0</v>
      </c>
      <c r="T37" s="249"/>
      <c r="U37" s="249"/>
      <c r="V37" s="249"/>
      <c r="W37" s="249"/>
      <c r="X37" s="303"/>
      <c r="Y37" s="268"/>
      <c r="Z37" s="270"/>
      <c r="AA37" s="307"/>
    </row>
    <row r="38">
      <c r="A38" s="1"/>
      <c r="B38" s="370" t="s">
        <v>287</v>
      </c>
      <c r="C38" s="303"/>
      <c r="D38" s="362"/>
      <c r="E38" s="363"/>
      <c r="F38" s="625" t="s">
        <v>32</v>
      </c>
      <c r="G38" s="303"/>
      <c r="H38" s="364" t="s">
        <v>41</v>
      </c>
      <c r="I38" s="365" t="s">
        <v>41</v>
      </c>
      <c r="J38" s="461" t="s">
        <v>32</v>
      </c>
      <c r="K38" s="303"/>
      <c r="L38" s="261"/>
      <c r="M38" s="377"/>
      <c r="N38" s="378"/>
      <c r="O38" s="379" t="str">
        <f t="shared" ref="O38:O39" si="11">IFS(OR(G38="-",ISBLANK(G38)),"-",G38&lt;1,"one-hit",G38&lt;=3,60/L38,OR(G38=4,G38=7,G38=9),"manual",G38&lt;7,2*60/L38,G38&lt;9,3*60/L38,G38&lt;=11,4*60/L38,G38&gt;11,"???")</f>
        <v>-</v>
      </c>
      <c r="P38" s="449" t="str">
        <f t="shared" ref="P38:P39" si="12">IFS(OR(K38="-",ISBLANK(K38)),"-",K38&lt;1,"one-hit",K38&lt;=3,60/L38,OR(K38=4,K38=7,K38=9),"manual",K38&lt;7,2*60/L38,K38&lt;9,3*60/L38,K38&lt;=11,4*60/L38,K38&gt;11,"???")</f>
        <v>-</v>
      </c>
      <c r="Q38" s="254" t="s">
        <v>41</v>
      </c>
      <c r="R38" s="266" t="s">
        <v>41</v>
      </c>
      <c r="S38" s="267">
        <v>7.0</v>
      </c>
      <c r="T38" s="249"/>
      <c r="U38" s="249"/>
      <c r="V38" s="249"/>
      <c r="W38" s="249"/>
      <c r="X38" s="303"/>
      <c r="Y38" s="268" t="s">
        <v>41</v>
      </c>
      <c r="Z38" s="270" t="s">
        <v>41</v>
      </c>
      <c r="AA38" s="307" t="s">
        <v>41</v>
      </c>
    </row>
    <row r="39">
      <c r="A39" s="1"/>
      <c r="B39" s="367" t="s">
        <v>288</v>
      </c>
      <c r="C39" s="303"/>
      <c r="D39" s="362"/>
      <c r="E39" s="363"/>
      <c r="F39" s="625" t="s">
        <v>32</v>
      </c>
      <c r="G39" s="303"/>
      <c r="H39" s="364">
        <v>7.0</v>
      </c>
      <c r="I39" s="365">
        <v>17.0</v>
      </c>
      <c r="J39" s="461" t="s">
        <v>32</v>
      </c>
      <c r="K39" s="303"/>
      <c r="L39" s="261"/>
      <c r="M39" s="377"/>
      <c r="N39" s="378"/>
      <c r="O39" s="379" t="str">
        <f t="shared" si="11"/>
        <v>-</v>
      </c>
      <c r="P39" s="449" t="str">
        <f t="shared" si="12"/>
        <v>-</v>
      </c>
      <c r="Q39" s="254" t="s">
        <v>41</v>
      </c>
      <c r="R39" s="266" t="s">
        <v>41</v>
      </c>
      <c r="S39" s="267">
        <v>15.0</v>
      </c>
      <c r="T39" s="249"/>
      <c r="U39" s="249"/>
      <c r="V39" s="249"/>
      <c r="W39" s="249"/>
      <c r="X39" s="303"/>
      <c r="Y39" s="268" t="s">
        <v>41</v>
      </c>
      <c r="Z39" s="270" t="s">
        <v>41</v>
      </c>
      <c r="AA39" s="307" t="s">
        <v>41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"/>
      <c r="N40" s="2"/>
      <c r="O40" s="3"/>
      <c r="P40" s="3"/>
      <c r="Q40" s="1"/>
      <c r="R40" s="1"/>
      <c r="S40" s="1"/>
      <c r="T40" s="1"/>
      <c r="U40" s="1"/>
      <c r="V40" s="1"/>
      <c r="W40" s="1"/>
      <c r="X40" s="1"/>
      <c r="Y40" s="3"/>
      <c r="Z40" s="3"/>
      <c r="AA40" s="3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  <c r="N41" s="2"/>
      <c r="O41" s="3"/>
      <c r="P41" s="3"/>
      <c r="Q41" s="1"/>
      <c r="R41" s="1"/>
      <c r="S41" s="1"/>
      <c r="T41" s="1"/>
      <c r="U41" s="1"/>
      <c r="V41" s="1"/>
      <c r="W41" s="1"/>
      <c r="X41" s="1"/>
      <c r="Y41" s="3"/>
      <c r="Z41" s="3"/>
      <c r="AA41" s="3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"/>
      <c r="N42" s="2"/>
      <c r="O42" s="3"/>
      <c r="P42" s="3"/>
      <c r="Q42" s="1"/>
      <c r="R42" s="1"/>
      <c r="S42" s="1"/>
      <c r="T42" s="1"/>
      <c r="U42" s="1"/>
      <c r="V42" s="1"/>
      <c r="W42" s="1"/>
      <c r="X42" s="1"/>
      <c r="Y42" s="3"/>
      <c r="Z42" s="3"/>
      <c r="AA42" s="3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"/>
      <c r="N43" s="2"/>
      <c r="O43" s="3"/>
      <c r="P43" s="3"/>
      <c r="Q43" s="1"/>
      <c r="R43" s="1"/>
      <c r="S43" s="1"/>
      <c r="T43" s="1"/>
      <c r="U43" s="1"/>
      <c r="V43" s="1"/>
      <c r="W43" s="1"/>
      <c r="X43" s="1"/>
      <c r="Y43" s="3"/>
      <c r="Z43" s="3"/>
      <c r="AA43" s="3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2"/>
      <c r="N44" s="2"/>
      <c r="O44" s="3"/>
      <c r="P44" s="3"/>
      <c r="Q44" s="1"/>
      <c r="R44" s="1"/>
      <c r="S44" s="1"/>
      <c r="T44" s="1"/>
      <c r="U44" s="1"/>
      <c r="V44" s="1"/>
      <c r="W44" s="1"/>
      <c r="X44" s="1"/>
      <c r="Y44" s="3"/>
      <c r="Z44" s="3"/>
      <c r="AA44" s="3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"/>
      <c r="N45" s="2"/>
      <c r="O45" s="3"/>
      <c r="P45" s="3"/>
      <c r="Q45" s="1"/>
      <c r="R45" s="1"/>
      <c r="S45" s="1"/>
      <c r="T45" s="1"/>
      <c r="U45" s="1"/>
      <c r="V45" s="1"/>
      <c r="W45" s="1"/>
      <c r="X45" s="1"/>
      <c r="Y45" s="3"/>
      <c r="Z45" s="3"/>
      <c r="AA45" s="3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"/>
      <c r="N46" s="2"/>
      <c r="O46" s="3"/>
      <c r="P46" s="3"/>
      <c r="Q46" s="1"/>
      <c r="R46" s="1"/>
      <c r="S46" s="1"/>
      <c r="T46" s="1"/>
      <c r="U46" s="1"/>
      <c r="V46" s="1"/>
      <c r="W46" s="1"/>
      <c r="X46" s="1"/>
      <c r="Y46" s="3"/>
      <c r="Z46" s="3"/>
      <c r="AA46" s="3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"/>
      <c r="N47" s="2"/>
      <c r="O47" s="3"/>
      <c r="P47" s="3"/>
      <c r="Q47" s="1"/>
      <c r="R47" s="1"/>
      <c r="S47" s="1"/>
      <c r="T47" s="1"/>
      <c r="U47" s="1"/>
      <c r="V47" s="1"/>
      <c r="W47" s="1"/>
      <c r="X47" s="1"/>
      <c r="Y47" s="3"/>
      <c r="Z47" s="3"/>
      <c r="AA47" s="3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2"/>
      <c r="O48" s="3"/>
      <c r="P48" s="3"/>
      <c r="Q48" s="1"/>
      <c r="R48" s="1"/>
      <c r="S48" s="1"/>
      <c r="T48" s="1"/>
      <c r="U48" s="1"/>
      <c r="V48" s="1"/>
      <c r="W48" s="1"/>
      <c r="X48" s="1"/>
      <c r="Y48" s="3"/>
      <c r="Z48" s="3"/>
      <c r="AA48" s="3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N49" s="2"/>
      <c r="O49" s="3"/>
      <c r="P49" s="3"/>
      <c r="Q49" s="1"/>
      <c r="R49" s="1"/>
      <c r="S49" s="1"/>
      <c r="T49" s="1"/>
      <c r="U49" s="1"/>
      <c r="V49" s="1"/>
      <c r="W49" s="1"/>
      <c r="X49" s="1"/>
      <c r="Y49" s="3"/>
      <c r="Z49" s="3"/>
      <c r="AA49" s="3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2"/>
      <c r="O50" s="3"/>
      <c r="P50" s="3"/>
      <c r="Q50" s="1"/>
      <c r="R50" s="1"/>
      <c r="S50" s="1"/>
      <c r="T50" s="1"/>
      <c r="U50" s="1"/>
      <c r="V50" s="1"/>
      <c r="W50" s="1"/>
      <c r="X50" s="1"/>
      <c r="Y50" s="3"/>
      <c r="Z50" s="3"/>
      <c r="AA50" s="3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2"/>
      <c r="O51" s="3"/>
      <c r="P51" s="3"/>
      <c r="Q51" s="1"/>
      <c r="R51" s="1"/>
      <c r="S51" s="1"/>
      <c r="T51" s="1"/>
      <c r="U51" s="1"/>
      <c r="V51" s="1"/>
      <c r="W51" s="1"/>
      <c r="X51" s="1"/>
      <c r="Y51" s="3"/>
      <c r="Z51" s="3"/>
      <c r="AA51" s="3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2"/>
      <c r="O52" s="3"/>
      <c r="P52" s="3"/>
      <c r="Q52" s="1"/>
      <c r="R52" s="1"/>
      <c r="S52" s="1"/>
      <c r="T52" s="1"/>
      <c r="U52" s="1"/>
      <c r="V52" s="1"/>
      <c r="W52" s="1"/>
      <c r="X52" s="1"/>
      <c r="Y52" s="3"/>
      <c r="Z52" s="3"/>
      <c r="AA52" s="3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N53" s="2"/>
      <c r="O53" s="3"/>
      <c r="P53" s="3"/>
      <c r="Q53" s="1"/>
      <c r="R53" s="1"/>
      <c r="S53" s="1"/>
      <c r="T53" s="1"/>
      <c r="U53" s="1"/>
      <c r="V53" s="1"/>
      <c r="W53" s="1"/>
      <c r="X53" s="1"/>
      <c r="Y53" s="3"/>
      <c r="Z53" s="3"/>
      <c r="AA53" s="3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N54" s="2"/>
      <c r="O54" s="3"/>
      <c r="P54" s="3"/>
      <c r="Q54" s="1"/>
      <c r="R54" s="1"/>
      <c r="S54" s="1"/>
      <c r="T54" s="1"/>
      <c r="U54" s="1"/>
      <c r="V54" s="1"/>
      <c r="W54" s="1"/>
      <c r="X54" s="1"/>
      <c r="Y54" s="3"/>
      <c r="Z54" s="3"/>
      <c r="AA54" s="3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2"/>
      <c r="O55" s="3"/>
      <c r="P55" s="3"/>
      <c r="Q55" s="1"/>
      <c r="R55" s="1"/>
      <c r="S55" s="1"/>
      <c r="T55" s="1"/>
      <c r="U55" s="1"/>
      <c r="V55" s="1"/>
      <c r="W55" s="1"/>
      <c r="X55" s="1"/>
      <c r="Y55" s="3"/>
      <c r="Z55" s="3"/>
      <c r="AA55" s="3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N56" s="2"/>
      <c r="O56" s="3"/>
      <c r="P56" s="3"/>
      <c r="Q56" s="1"/>
      <c r="R56" s="1"/>
      <c r="S56" s="1"/>
      <c r="T56" s="1"/>
      <c r="U56" s="1"/>
      <c r="V56" s="1"/>
      <c r="W56" s="1"/>
      <c r="X56" s="1"/>
      <c r="Y56" s="3"/>
      <c r="Z56" s="3"/>
      <c r="AA56" s="3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2"/>
      <c r="O57" s="3"/>
      <c r="P57" s="3"/>
      <c r="Q57" s="1"/>
      <c r="R57" s="1"/>
      <c r="S57" s="1"/>
      <c r="T57" s="1"/>
      <c r="U57" s="1"/>
      <c r="V57" s="1"/>
      <c r="W57" s="1"/>
      <c r="X57" s="1"/>
      <c r="Y57" s="3"/>
      <c r="Z57" s="3"/>
      <c r="AA57" s="3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2"/>
      <c r="O58" s="3"/>
      <c r="P58" s="3"/>
      <c r="Q58" s="1"/>
      <c r="R58" s="1"/>
      <c r="S58" s="1"/>
      <c r="T58" s="1"/>
      <c r="U58" s="1"/>
      <c r="V58" s="1"/>
      <c r="W58" s="1"/>
      <c r="X58" s="1"/>
      <c r="Y58" s="3"/>
      <c r="Z58" s="3"/>
      <c r="AA58" s="3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2"/>
      <c r="O59" s="3"/>
      <c r="P59" s="3"/>
      <c r="Q59" s="1"/>
      <c r="R59" s="1"/>
      <c r="S59" s="1"/>
      <c r="T59" s="1"/>
      <c r="U59" s="1"/>
      <c r="V59" s="1"/>
      <c r="W59" s="1"/>
      <c r="X59" s="1"/>
      <c r="Y59" s="3"/>
      <c r="Z59" s="3"/>
      <c r="AA59" s="3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2"/>
      <c r="O60" s="3"/>
      <c r="P60" s="3"/>
      <c r="Q60" s="1"/>
      <c r="R60" s="1"/>
      <c r="S60" s="1"/>
      <c r="T60" s="1"/>
      <c r="U60" s="1"/>
      <c r="V60" s="1"/>
      <c r="W60" s="1"/>
      <c r="X60" s="1"/>
      <c r="Y60" s="3"/>
      <c r="Z60" s="3"/>
      <c r="AA60" s="3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2"/>
      <c r="O61" s="3"/>
      <c r="P61" s="3"/>
      <c r="Q61" s="1"/>
      <c r="R61" s="1"/>
      <c r="S61" s="1"/>
      <c r="T61" s="1"/>
      <c r="U61" s="1"/>
      <c r="V61" s="1"/>
      <c r="W61" s="1"/>
      <c r="X61" s="1"/>
      <c r="Y61" s="3"/>
      <c r="Z61" s="3"/>
      <c r="AA61" s="3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2"/>
      <c r="O62" s="3"/>
      <c r="P62" s="3"/>
      <c r="Q62" s="1"/>
      <c r="R62" s="1"/>
      <c r="S62" s="1"/>
      <c r="T62" s="1"/>
      <c r="U62" s="1"/>
      <c r="V62" s="1"/>
      <c r="W62" s="1"/>
      <c r="X62" s="1"/>
      <c r="Y62" s="3"/>
      <c r="Z62" s="3"/>
      <c r="AA62" s="3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2"/>
      <c r="O63" s="3"/>
      <c r="P63" s="3"/>
      <c r="Q63" s="1"/>
      <c r="R63" s="1"/>
      <c r="S63" s="1"/>
      <c r="T63" s="1"/>
      <c r="U63" s="1"/>
      <c r="V63" s="1"/>
      <c r="W63" s="1"/>
      <c r="X63" s="1"/>
      <c r="Y63" s="3"/>
      <c r="Z63" s="3"/>
      <c r="AA63" s="3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2"/>
      <c r="O64" s="3"/>
      <c r="P64" s="3"/>
      <c r="Q64" s="1"/>
      <c r="R64" s="1"/>
      <c r="S64" s="1"/>
      <c r="T64" s="1"/>
      <c r="U64" s="1"/>
      <c r="V64" s="1"/>
      <c r="W64" s="1"/>
      <c r="X64" s="1"/>
      <c r="Y64" s="3"/>
      <c r="Z64" s="3"/>
      <c r="AA64" s="3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2"/>
      <c r="O65" s="3"/>
      <c r="P65" s="3"/>
      <c r="Q65" s="1"/>
      <c r="R65" s="1"/>
      <c r="S65" s="1"/>
      <c r="T65" s="1"/>
      <c r="U65" s="1"/>
      <c r="V65" s="1"/>
      <c r="W65" s="1"/>
      <c r="X65" s="1"/>
      <c r="Y65" s="3"/>
      <c r="Z65" s="3"/>
      <c r="AA65" s="3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2"/>
      <c r="O66" s="3"/>
      <c r="P66" s="3"/>
      <c r="Q66" s="1"/>
      <c r="R66" s="1"/>
      <c r="S66" s="1"/>
      <c r="T66" s="1"/>
      <c r="U66" s="1"/>
      <c r="V66" s="1"/>
      <c r="W66" s="1"/>
      <c r="X66" s="1"/>
      <c r="Y66" s="3"/>
      <c r="Z66" s="3"/>
      <c r="AA66" s="3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2"/>
      <c r="O67" s="3"/>
      <c r="P67" s="3"/>
      <c r="Q67" s="1"/>
      <c r="R67" s="1"/>
      <c r="S67" s="1"/>
      <c r="T67" s="1"/>
      <c r="U67" s="1"/>
      <c r="V67" s="1"/>
      <c r="W67" s="1"/>
      <c r="X67" s="1"/>
      <c r="Y67" s="3"/>
      <c r="Z67" s="3"/>
      <c r="AA67" s="3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2"/>
      <c r="O68" s="3"/>
      <c r="P68" s="3"/>
      <c r="Q68" s="1"/>
      <c r="R68" s="1"/>
      <c r="S68" s="1"/>
      <c r="T68" s="1"/>
      <c r="U68" s="1"/>
      <c r="V68" s="1"/>
      <c r="W68" s="1"/>
      <c r="X68" s="1"/>
      <c r="Y68" s="3"/>
      <c r="Z68" s="3"/>
      <c r="AA68" s="3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2"/>
      <c r="O69" s="3"/>
      <c r="P69" s="3"/>
      <c r="Q69" s="1"/>
      <c r="R69" s="1"/>
      <c r="S69" s="1"/>
      <c r="T69" s="1"/>
      <c r="U69" s="1"/>
      <c r="V69" s="1"/>
      <c r="W69" s="1"/>
      <c r="X69" s="1"/>
      <c r="Y69" s="3"/>
      <c r="Z69" s="3"/>
      <c r="AA69" s="3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2"/>
      <c r="O70" s="3"/>
      <c r="P70" s="3"/>
      <c r="Q70" s="1"/>
      <c r="R70" s="1"/>
      <c r="S70" s="1"/>
      <c r="T70" s="1"/>
      <c r="U70" s="1"/>
      <c r="V70" s="1"/>
      <c r="W70" s="1"/>
      <c r="X70" s="1"/>
      <c r="Y70" s="3"/>
      <c r="Z70" s="3"/>
      <c r="AA70" s="3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O71" s="3"/>
      <c r="P71" s="3"/>
      <c r="Q71" s="1"/>
      <c r="R71" s="1"/>
      <c r="S71" s="1"/>
      <c r="T71" s="1"/>
      <c r="U71" s="1"/>
      <c r="V71" s="1"/>
      <c r="W71" s="1"/>
      <c r="X71" s="1"/>
      <c r="Y71" s="3"/>
      <c r="Z71" s="3"/>
      <c r="AA71" s="3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2"/>
      <c r="O72" s="3"/>
      <c r="P72" s="3"/>
      <c r="Q72" s="1"/>
      <c r="R72" s="1"/>
      <c r="S72" s="1"/>
      <c r="T72" s="1"/>
      <c r="U72" s="1"/>
      <c r="V72" s="1"/>
      <c r="W72" s="1"/>
      <c r="X72" s="1"/>
      <c r="Y72" s="3"/>
      <c r="Z72" s="3"/>
      <c r="AA72" s="3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2"/>
      <c r="O73" s="3"/>
      <c r="P73" s="3"/>
      <c r="Q73" s="1"/>
      <c r="R73" s="1"/>
      <c r="S73" s="1"/>
      <c r="T73" s="1"/>
      <c r="U73" s="1"/>
      <c r="V73" s="1"/>
      <c r="W73" s="1"/>
      <c r="X73" s="1"/>
      <c r="Y73" s="3"/>
      <c r="Z73" s="3"/>
      <c r="AA73" s="3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2"/>
      <c r="O74" s="3"/>
      <c r="P74" s="3"/>
      <c r="Q74" s="1"/>
      <c r="R74" s="1"/>
      <c r="S74" s="1"/>
      <c r="T74" s="1"/>
      <c r="U74" s="1"/>
      <c r="V74" s="1"/>
      <c r="W74" s="1"/>
      <c r="X74" s="1"/>
      <c r="Y74" s="3"/>
      <c r="Z74" s="3"/>
      <c r="AA74" s="3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2"/>
      <c r="O75" s="3"/>
      <c r="P75" s="3"/>
      <c r="Q75" s="1"/>
      <c r="R75" s="1"/>
      <c r="S75" s="1"/>
      <c r="T75" s="1"/>
      <c r="U75" s="1"/>
      <c r="V75" s="1"/>
      <c r="W75" s="1"/>
      <c r="X75" s="1"/>
      <c r="Y75" s="3"/>
      <c r="Z75" s="3"/>
      <c r="AA75" s="3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2"/>
      <c r="O76" s="3"/>
      <c r="P76" s="3"/>
      <c r="Q76" s="1"/>
      <c r="R76" s="1"/>
      <c r="S76" s="1"/>
      <c r="T76" s="1"/>
      <c r="U76" s="1"/>
      <c r="V76" s="1"/>
      <c r="W76" s="1"/>
      <c r="X76" s="1"/>
      <c r="Y76" s="3"/>
      <c r="Z76" s="3"/>
      <c r="AA76" s="3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2"/>
      <c r="O77" s="3"/>
      <c r="P77" s="3"/>
      <c r="Q77" s="1"/>
      <c r="R77" s="1"/>
      <c r="S77" s="1"/>
      <c r="T77" s="1"/>
      <c r="U77" s="1"/>
      <c r="V77" s="1"/>
      <c r="W77" s="1"/>
      <c r="X77" s="1"/>
      <c r="Y77" s="3"/>
      <c r="Z77" s="3"/>
      <c r="AA77" s="3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2"/>
      <c r="O78" s="3"/>
      <c r="P78" s="3"/>
      <c r="Q78" s="1"/>
      <c r="R78" s="1"/>
      <c r="S78" s="1"/>
      <c r="T78" s="1"/>
      <c r="U78" s="1"/>
      <c r="V78" s="1"/>
      <c r="W78" s="1"/>
      <c r="X78" s="1"/>
      <c r="Y78" s="3"/>
      <c r="Z78" s="3"/>
      <c r="AA78" s="3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2"/>
      <c r="O79" s="3"/>
      <c r="P79" s="3"/>
      <c r="Q79" s="1"/>
      <c r="R79" s="1"/>
      <c r="S79" s="1"/>
      <c r="T79" s="1"/>
      <c r="U79" s="1"/>
      <c r="V79" s="1"/>
      <c r="W79" s="1"/>
      <c r="X79" s="1"/>
      <c r="Y79" s="3"/>
      <c r="Z79" s="3"/>
      <c r="AA79" s="3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2"/>
      <c r="O80" s="3"/>
      <c r="P80" s="3"/>
      <c r="Q80" s="1"/>
      <c r="R80" s="1"/>
      <c r="S80" s="1"/>
      <c r="T80" s="1"/>
      <c r="U80" s="1"/>
      <c r="V80" s="1"/>
      <c r="W80" s="1"/>
      <c r="X80" s="1"/>
      <c r="Y80" s="3"/>
      <c r="Z80" s="3"/>
      <c r="AA80" s="3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2"/>
      <c r="O81" s="3"/>
      <c r="P81" s="3"/>
      <c r="Q81" s="1"/>
      <c r="R81" s="1"/>
      <c r="S81" s="1"/>
      <c r="T81" s="1"/>
      <c r="U81" s="1"/>
      <c r="V81" s="1"/>
      <c r="W81" s="1"/>
      <c r="X81" s="1"/>
      <c r="Y81" s="3"/>
      <c r="Z81" s="3"/>
      <c r="AA81" s="3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2"/>
      <c r="O82" s="3"/>
      <c r="P82" s="3"/>
      <c r="Q82" s="1"/>
      <c r="R82" s="1"/>
      <c r="S82" s="1"/>
      <c r="T82" s="1"/>
      <c r="U82" s="1"/>
      <c r="V82" s="1"/>
      <c r="W82" s="1"/>
      <c r="X82" s="1"/>
      <c r="Y82" s="3"/>
      <c r="Z82" s="3"/>
      <c r="AA82" s="3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2"/>
      <c r="O83" s="3"/>
      <c r="P83" s="3"/>
      <c r="Q83" s="1"/>
      <c r="R83" s="1"/>
      <c r="S83" s="1"/>
      <c r="T83" s="1"/>
      <c r="U83" s="1"/>
      <c r="V83" s="1"/>
      <c r="W83" s="1"/>
      <c r="X83" s="1"/>
      <c r="Y83" s="3"/>
      <c r="Z83" s="3"/>
      <c r="AA83" s="3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2"/>
      <c r="O84" s="3"/>
      <c r="P84" s="3"/>
      <c r="Q84" s="1"/>
      <c r="R84" s="1"/>
      <c r="S84" s="1"/>
      <c r="T84" s="1"/>
      <c r="U84" s="1"/>
      <c r="V84" s="1"/>
      <c r="W84" s="1"/>
      <c r="X84" s="1"/>
      <c r="Y84" s="3"/>
      <c r="Z84" s="3"/>
      <c r="AA84" s="3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2"/>
      <c r="O85" s="3"/>
      <c r="P85" s="3"/>
      <c r="Q85" s="1"/>
      <c r="R85" s="1"/>
      <c r="S85" s="1"/>
      <c r="T85" s="1"/>
      <c r="U85" s="1"/>
      <c r="V85" s="1"/>
      <c r="W85" s="1"/>
      <c r="X85" s="1"/>
      <c r="Y85" s="3"/>
      <c r="Z85" s="3"/>
      <c r="AA85" s="3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2"/>
      <c r="O86" s="3"/>
      <c r="P86" s="3"/>
      <c r="Q86" s="1"/>
      <c r="R86" s="1"/>
      <c r="S86" s="1"/>
      <c r="T86" s="1"/>
      <c r="U86" s="1"/>
      <c r="V86" s="1"/>
      <c r="W86" s="1"/>
      <c r="X86" s="1"/>
      <c r="Y86" s="3"/>
      <c r="Z86" s="3"/>
      <c r="AA86" s="3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2"/>
      <c r="O87" s="3"/>
      <c r="P87" s="3"/>
      <c r="Q87" s="1"/>
      <c r="R87" s="1"/>
      <c r="S87" s="1"/>
      <c r="T87" s="1"/>
      <c r="U87" s="1"/>
      <c r="V87" s="1"/>
      <c r="W87" s="1"/>
      <c r="X87" s="1"/>
      <c r="Y87" s="3"/>
      <c r="Z87" s="3"/>
      <c r="AA87" s="3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2"/>
      <c r="O88" s="3"/>
      <c r="P88" s="3"/>
      <c r="Q88" s="1"/>
      <c r="R88" s="1"/>
      <c r="S88" s="1"/>
      <c r="T88" s="1"/>
      <c r="U88" s="1"/>
      <c r="V88" s="1"/>
      <c r="W88" s="1"/>
      <c r="X88" s="1"/>
      <c r="Y88" s="3"/>
      <c r="Z88" s="3"/>
      <c r="AA88" s="3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2"/>
      <c r="O89" s="3"/>
      <c r="P89" s="3"/>
      <c r="Q89" s="1"/>
      <c r="R89" s="1"/>
      <c r="S89" s="1"/>
      <c r="T89" s="1"/>
      <c r="U89" s="1"/>
      <c r="V89" s="1"/>
      <c r="W89" s="1"/>
      <c r="X89" s="1"/>
      <c r="Y89" s="3"/>
      <c r="Z89" s="3"/>
      <c r="AA89" s="3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2"/>
      <c r="O90" s="3"/>
      <c r="P90" s="3"/>
      <c r="Q90" s="1"/>
      <c r="R90" s="1"/>
      <c r="S90" s="1"/>
      <c r="T90" s="1"/>
      <c r="U90" s="1"/>
      <c r="V90" s="1"/>
      <c r="W90" s="1"/>
      <c r="X90" s="1"/>
      <c r="Y90" s="3"/>
      <c r="Z90" s="3"/>
      <c r="AA90" s="3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2"/>
      <c r="O91" s="3"/>
      <c r="P91" s="3"/>
      <c r="Q91" s="1"/>
      <c r="R91" s="1"/>
      <c r="S91" s="1"/>
      <c r="T91" s="1"/>
      <c r="U91" s="1"/>
      <c r="V91" s="1"/>
      <c r="W91" s="1"/>
      <c r="X91" s="1"/>
      <c r="Y91" s="3"/>
      <c r="Z91" s="3"/>
      <c r="AA91" s="3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2"/>
      <c r="O92" s="3"/>
      <c r="P92" s="3"/>
      <c r="Q92" s="1"/>
      <c r="R92" s="1"/>
      <c r="S92" s="1"/>
      <c r="T92" s="1"/>
      <c r="U92" s="1"/>
      <c r="V92" s="1"/>
      <c r="W92" s="1"/>
      <c r="X92" s="1"/>
      <c r="Y92" s="3"/>
      <c r="Z92" s="3"/>
      <c r="AA92" s="3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2"/>
      <c r="O93" s="3"/>
      <c r="P93" s="3"/>
      <c r="Q93" s="1"/>
      <c r="R93" s="1"/>
      <c r="S93" s="1"/>
      <c r="T93" s="1"/>
      <c r="U93" s="1"/>
      <c r="V93" s="1"/>
      <c r="W93" s="1"/>
      <c r="X93" s="1"/>
      <c r="Y93" s="3"/>
      <c r="Z93" s="3"/>
      <c r="AA93" s="3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2"/>
      <c r="O94" s="3"/>
      <c r="P94" s="3"/>
      <c r="Q94" s="1"/>
      <c r="R94" s="1"/>
      <c r="S94" s="1"/>
      <c r="T94" s="1"/>
      <c r="U94" s="1"/>
      <c r="V94" s="1"/>
      <c r="W94" s="1"/>
      <c r="X94" s="1"/>
      <c r="Y94" s="3"/>
      <c r="Z94" s="3"/>
      <c r="AA94" s="3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2"/>
      <c r="O95" s="3"/>
      <c r="P95" s="3"/>
      <c r="Q95" s="1"/>
      <c r="R95" s="1"/>
      <c r="S95" s="1"/>
      <c r="T95" s="1"/>
      <c r="U95" s="1"/>
      <c r="V95" s="1"/>
      <c r="W95" s="1"/>
      <c r="X95" s="1"/>
      <c r="Y95" s="3"/>
      <c r="Z95" s="3"/>
      <c r="AA95" s="3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2"/>
      <c r="O96" s="3"/>
      <c r="P96" s="3"/>
      <c r="Q96" s="1"/>
      <c r="R96" s="1"/>
      <c r="S96" s="1"/>
      <c r="T96" s="1"/>
      <c r="U96" s="1"/>
      <c r="V96" s="1"/>
      <c r="W96" s="1"/>
      <c r="X96" s="1"/>
      <c r="Y96" s="3"/>
      <c r="Z96" s="3"/>
      <c r="AA96" s="3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2"/>
      <c r="O97" s="3"/>
      <c r="P97" s="3"/>
      <c r="Q97" s="1"/>
      <c r="R97" s="1"/>
      <c r="S97" s="1"/>
      <c r="T97" s="1"/>
      <c r="U97" s="1"/>
      <c r="V97" s="1"/>
      <c r="W97" s="1"/>
      <c r="X97" s="1"/>
      <c r="Y97" s="3"/>
      <c r="Z97" s="3"/>
      <c r="AA97" s="3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2"/>
      <c r="O98" s="3"/>
      <c r="P98" s="3"/>
      <c r="Q98" s="1"/>
      <c r="R98" s="1"/>
      <c r="S98" s="1"/>
      <c r="T98" s="1"/>
      <c r="U98" s="1"/>
      <c r="V98" s="1"/>
      <c r="W98" s="1"/>
      <c r="X98" s="1"/>
      <c r="Y98" s="3"/>
      <c r="Z98" s="3"/>
      <c r="AA98" s="3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2"/>
      <c r="O99" s="3"/>
      <c r="P99" s="3"/>
      <c r="Q99" s="1"/>
      <c r="R99" s="1"/>
      <c r="S99" s="1"/>
      <c r="T99" s="1"/>
      <c r="U99" s="1"/>
      <c r="V99" s="1"/>
      <c r="W99" s="1"/>
      <c r="X99" s="1"/>
      <c r="Y99" s="3"/>
      <c r="Z99" s="3"/>
      <c r="AA99" s="3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2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3"/>
      <c r="Z100" s="3"/>
      <c r="AA100" s="3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2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3"/>
      <c r="Z101" s="3"/>
      <c r="AA101" s="3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2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3"/>
      <c r="Z102" s="3"/>
      <c r="AA102" s="3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2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3"/>
      <c r="Z103" s="3"/>
      <c r="AA103" s="3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2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3"/>
      <c r="Z104" s="3"/>
      <c r="AA104" s="3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2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3"/>
      <c r="Z105" s="3"/>
      <c r="AA105" s="3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2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3"/>
      <c r="Z106" s="3"/>
      <c r="AA106" s="3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2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3"/>
      <c r="Z107" s="3"/>
      <c r="AA107" s="3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2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3"/>
      <c r="Z108" s="3"/>
      <c r="AA108" s="3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2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3"/>
      <c r="Z109" s="3"/>
      <c r="AA109" s="3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2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3"/>
      <c r="Z110" s="3"/>
      <c r="AA110" s="3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2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3"/>
      <c r="Z111" s="3"/>
      <c r="AA111" s="3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2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3"/>
      <c r="Z112" s="3"/>
      <c r="AA112" s="3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2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3"/>
      <c r="Z113" s="3"/>
      <c r="AA113" s="3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2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3"/>
      <c r="Z114" s="3"/>
      <c r="AA114" s="3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2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3"/>
      <c r="Z115" s="3"/>
      <c r="AA115" s="3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2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3"/>
      <c r="Z116" s="3"/>
      <c r="AA116" s="3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2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3"/>
      <c r="Z117" s="3"/>
      <c r="AA117" s="3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2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3"/>
      <c r="Z118" s="3"/>
      <c r="AA118" s="3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2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3"/>
      <c r="Z119" s="3"/>
      <c r="AA119" s="3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2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3"/>
      <c r="Z120" s="3"/>
      <c r="AA120" s="3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2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3"/>
      <c r="Z121" s="3"/>
      <c r="AA121" s="3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2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3"/>
      <c r="Z122" s="3"/>
      <c r="AA122" s="3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2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3"/>
      <c r="Z123" s="3"/>
      <c r="AA123" s="3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2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3"/>
      <c r="Z124" s="3"/>
      <c r="AA124" s="3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2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3"/>
      <c r="Z125" s="3"/>
      <c r="AA125" s="3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2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3"/>
      <c r="Z126" s="3"/>
      <c r="AA126" s="3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2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3"/>
      <c r="Z127" s="3"/>
      <c r="AA127" s="3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2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3"/>
      <c r="Z128" s="3"/>
      <c r="AA128" s="3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2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3"/>
      <c r="Z129" s="3"/>
      <c r="AA129" s="3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2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3"/>
      <c r="Z130" s="3"/>
      <c r="AA130" s="3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2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3"/>
      <c r="Z131" s="3"/>
      <c r="AA131" s="3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2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3"/>
      <c r="Z132" s="3"/>
      <c r="AA132" s="3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2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3"/>
      <c r="Z133" s="3"/>
      <c r="AA133" s="3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2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3"/>
      <c r="Z134" s="3"/>
      <c r="AA134" s="3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2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3"/>
      <c r="Z135" s="3"/>
      <c r="AA135" s="3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2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3"/>
      <c r="Z136" s="3"/>
      <c r="AA136" s="3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2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3"/>
      <c r="Z137" s="3"/>
      <c r="AA137" s="3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2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3"/>
      <c r="Z138" s="3"/>
      <c r="AA138" s="3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2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3"/>
      <c r="Z139" s="3"/>
      <c r="AA139" s="3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2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3"/>
      <c r="Z140" s="3"/>
      <c r="AA140" s="3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2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3"/>
      <c r="Z141" s="3"/>
      <c r="AA141" s="3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2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3"/>
      <c r="Z142" s="3"/>
      <c r="AA142" s="3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2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3"/>
      <c r="Z143" s="3"/>
      <c r="AA143" s="3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2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3"/>
      <c r="Z144" s="3"/>
      <c r="AA144" s="3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2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3"/>
      <c r="Z145" s="3"/>
      <c r="AA145" s="3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2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3"/>
      <c r="Z146" s="3"/>
      <c r="AA146" s="3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2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3"/>
      <c r="Z147" s="3"/>
      <c r="AA147" s="3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2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3"/>
      <c r="Z148" s="3"/>
      <c r="AA148" s="3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2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3"/>
      <c r="Z149" s="3"/>
      <c r="AA149" s="3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2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3"/>
      <c r="Z150" s="3"/>
      <c r="AA150" s="3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2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3"/>
      <c r="Z151" s="3"/>
      <c r="AA151" s="3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2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3"/>
      <c r="Z152" s="3"/>
      <c r="AA152" s="3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2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3"/>
      <c r="Z153" s="3"/>
      <c r="AA153" s="3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2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3"/>
      <c r="Z154" s="3"/>
      <c r="AA154" s="3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3"/>
      <c r="Z155" s="3"/>
      <c r="AA155" s="3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2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3"/>
      <c r="Z156" s="3"/>
      <c r="AA156" s="3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2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3"/>
      <c r="Z157" s="3"/>
      <c r="AA157" s="3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2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3"/>
      <c r="Z158" s="3"/>
      <c r="AA158" s="3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2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3"/>
      <c r="Z159" s="3"/>
      <c r="AA159" s="3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2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3"/>
      <c r="Z160" s="3"/>
      <c r="AA160" s="3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2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3"/>
      <c r="Z161" s="3"/>
      <c r="AA161" s="3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2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3"/>
      <c r="Z162" s="3"/>
      <c r="AA162" s="3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2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3"/>
      <c r="Z163" s="3"/>
      <c r="AA163" s="3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2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3"/>
      <c r="Z164" s="3"/>
      <c r="AA164" s="3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2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3"/>
      <c r="Z165" s="3"/>
      <c r="AA165" s="3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2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3"/>
      <c r="Z166" s="3"/>
      <c r="AA166" s="3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2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3"/>
      <c r="Z167" s="3"/>
      <c r="AA167" s="3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2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3"/>
      <c r="Z168" s="3"/>
      <c r="AA168" s="3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2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3"/>
      <c r="Z169" s="3"/>
      <c r="AA169" s="3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2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3"/>
      <c r="Z170" s="3"/>
      <c r="AA170" s="3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2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3"/>
      <c r="Z171" s="3"/>
      <c r="AA171" s="3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2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3"/>
      <c r="Z172" s="3"/>
      <c r="AA172" s="3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2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3"/>
      <c r="Z173" s="3"/>
      <c r="AA173" s="3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2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3"/>
      <c r="Z174" s="3"/>
      <c r="AA174" s="3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2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3"/>
      <c r="Z175" s="3"/>
      <c r="AA175" s="3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3"/>
      <c r="Z176" s="3"/>
      <c r="AA176" s="3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2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3"/>
      <c r="Z177" s="3"/>
      <c r="AA177" s="3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2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3"/>
      <c r="Z178" s="3"/>
      <c r="AA178" s="3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2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3"/>
      <c r="Z179" s="3"/>
      <c r="AA179" s="3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2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3"/>
      <c r="Z180" s="3"/>
      <c r="AA180" s="3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2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3"/>
      <c r="Z181" s="3"/>
      <c r="AA181" s="3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2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3"/>
      <c r="Z182" s="3"/>
      <c r="AA182" s="3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2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3"/>
      <c r="Z183" s="3"/>
      <c r="AA183" s="3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2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3"/>
      <c r="Z184" s="3"/>
      <c r="AA184" s="3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2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3"/>
      <c r="Z185" s="3"/>
      <c r="AA185" s="3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2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3"/>
      <c r="Z186" s="3"/>
      <c r="AA186" s="3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2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3"/>
      <c r="Z187" s="3"/>
      <c r="AA187" s="3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2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3"/>
      <c r="Z188" s="3"/>
      <c r="AA188" s="3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2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3"/>
      <c r="Z189" s="3"/>
      <c r="AA189" s="3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2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3"/>
      <c r="Z190" s="3"/>
      <c r="AA190" s="3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2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3"/>
      <c r="Z191" s="3"/>
      <c r="AA191" s="3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2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3"/>
      <c r="Z192" s="3"/>
      <c r="AA192" s="3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2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3"/>
      <c r="Z193" s="3"/>
      <c r="AA193" s="3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2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3"/>
      <c r="Z194" s="3"/>
      <c r="AA194" s="3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2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3"/>
      <c r="Z195" s="3"/>
      <c r="AA195" s="3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2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3"/>
      <c r="Z196" s="3"/>
      <c r="AA196" s="3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2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3"/>
      <c r="Z197" s="3"/>
      <c r="AA197" s="3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2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3"/>
      <c r="Z198" s="3"/>
      <c r="AA198" s="3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2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3"/>
      <c r="Z199" s="3"/>
      <c r="AA199" s="3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2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3"/>
      <c r="Z200" s="3"/>
      <c r="AA200" s="3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2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3"/>
      <c r="Z201" s="3"/>
      <c r="AA201" s="3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2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3"/>
      <c r="Z202" s="3"/>
      <c r="AA202" s="3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2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3"/>
      <c r="Z203" s="3"/>
      <c r="AA203" s="3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2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3"/>
      <c r="Z204" s="3"/>
      <c r="AA204" s="3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2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3"/>
      <c r="Z205" s="3"/>
      <c r="AA205" s="3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2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3"/>
      <c r="Z206" s="3"/>
      <c r="AA206" s="3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2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3"/>
      <c r="Z207" s="3"/>
      <c r="AA207" s="3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2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3"/>
      <c r="Z208" s="3"/>
      <c r="AA208" s="3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2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3"/>
      <c r="Z209" s="3"/>
      <c r="AA209" s="3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2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3"/>
      <c r="Z210" s="3"/>
      <c r="AA210" s="3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2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3"/>
      <c r="Z211" s="3"/>
      <c r="AA211" s="3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2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3"/>
      <c r="Z212" s="3"/>
      <c r="AA212" s="3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2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3"/>
      <c r="Z213" s="3"/>
      <c r="AA213" s="3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2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3"/>
      <c r="Z214" s="3"/>
      <c r="AA214" s="3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2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3"/>
      <c r="Z215" s="3"/>
      <c r="AA215" s="3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2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3"/>
      <c r="Z216" s="3"/>
      <c r="AA216" s="3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2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3"/>
      <c r="Z217" s="3"/>
      <c r="AA217" s="3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2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3"/>
      <c r="Z218" s="3"/>
      <c r="AA218" s="3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2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3"/>
      <c r="Z219" s="3"/>
      <c r="AA219" s="3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2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3"/>
      <c r="Z220" s="3"/>
      <c r="AA220" s="3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2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3"/>
      <c r="Z221" s="3"/>
      <c r="AA221" s="3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2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3"/>
      <c r="Z222" s="3"/>
      <c r="AA222" s="3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2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3"/>
      <c r="Z223" s="3"/>
      <c r="AA223" s="3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2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3"/>
      <c r="Z224" s="3"/>
      <c r="AA224" s="3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2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3"/>
      <c r="Z225" s="3"/>
      <c r="AA225" s="3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2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3"/>
      <c r="Z226" s="3"/>
      <c r="AA226" s="3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2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3"/>
      <c r="Z227" s="3"/>
      <c r="AA227" s="3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2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3"/>
      <c r="Z228" s="3"/>
      <c r="AA228" s="3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2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3"/>
      <c r="Z229" s="3"/>
      <c r="AA229" s="3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2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3"/>
      <c r="Z230" s="3"/>
      <c r="AA230" s="3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2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3"/>
      <c r="Z231" s="3"/>
      <c r="AA231" s="3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2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3"/>
      <c r="Z232" s="3"/>
      <c r="AA232" s="3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"/>
      <c r="N233" s="2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3"/>
      <c r="Z233" s="3"/>
      <c r="AA233" s="3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"/>
      <c r="N234" s="2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3"/>
      <c r="Z234" s="3"/>
      <c r="AA234" s="3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"/>
      <c r="N235" s="2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3"/>
      <c r="Z235" s="3"/>
      <c r="AA235" s="3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"/>
      <c r="N236" s="2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3"/>
      <c r="Z236" s="3"/>
      <c r="AA236" s="3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"/>
      <c r="N237" s="2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3"/>
      <c r="Z237" s="3"/>
      <c r="AA237" s="3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"/>
      <c r="N238" s="2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3"/>
      <c r="Z238" s="3"/>
      <c r="AA238" s="3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"/>
      <c r="N239" s="2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3"/>
      <c r="Z239" s="3"/>
      <c r="AA239" s="3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"/>
      <c r="N240" s="2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3"/>
      <c r="Z240" s="3"/>
      <c r="AA240" s="3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"/>
      <c r="N241" s="2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3"/>
      <c r="Z241" s="3"/>
      <c r="AA241" s="3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"/>
      <c r="N242" s="2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3"/>
      <c r="Z242" s="3"/>
      <c r="AA242" s="3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"/>
      <c r="N243" s="2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3"/>
      <c r="Z243" s="3"/>
      <c r="AA243" s="3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"/>
      <c r="N244" s="2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3"/>
      <c r="Z244" s="3"/>
      <c r="AA244" s="3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"/>
      <c r="N245" s="2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3"/>
      <c r="Z245" s="3"/>
      <c r="AA245" s="3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"/>
      <c r="N246" s="2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3"/>
      <c r="Z246" s="3"/>
      <c r="AA246" s="3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"/>
      <c r="N247" s="2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3"/>
      <c r="Z247" s="3"/>
      <c r="AA247" s="3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"/>
      <c r="N248" s="2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3"/>
      <c r="Z248" s="3"/>
      <c r="AA248" s="3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"/>
      <c r="N249" s="2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3"/>
      <c r="Z249" s="3"/>
      <c r="AA249" s="3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"/>
      <c r="N250" s="2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3"/>
      <c r="Z250" s="3"/>
      <c r="AA250" s="3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"/>
      <c r="N251" s="2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3"/>
      <c r="Z251" s="3"/>
      <c r="AA251" s="3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"/>
      <c r="N252" s="2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3"/>
      <c r="Z252" s="3"/>
      <c r="AA252" s="3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"/>
      <c r="N253" s="2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3"/>
      <c r="Z253" s="3"/>
      <c r="AA253" s="3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"/>
      <c r="N254" s="2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3"/>
      <c r="Z254" s="3"/>
      <c r="AA254" s="3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"/>
      <c r="N255" s="2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3"/>
      <c r="Z255" s="3"/>
      <c r="AA255" s="3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"/>
      <c r="N256" s="2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3"/>
      <c r="Z256" s="3"/>
      <c r="AA256" s="3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"/>
      <c r="N257" s="2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3"/>
      <c r="Z257" s="3"/>
      <c r="AA257" s="3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"/>
      <c r="N258" s="2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3"/>
      <c r="Z258" s="3"/>
      <c r="AA258" s="3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"/>
      <c r="N259" s="2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3"/>
      <c r="Z259" s="3"/>
      <c r="AA259" s="3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"/>
      <c r="N260" s="2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3"/>
      <c r="Z260" s="3"/>
      <c r="AA260" s="3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"/>
      <c r="N261" s="2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3"/>
      <c r="Z261" s="3"/>
      <c r="AA261" s="3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"/>
      <c r="N262" s="2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3"/>
      <c r="Z262" s="3"/>
      <c r="AA262" s="3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"/>
      <c r="N263" s="2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3"/>
      <c r="Z263" s="3"/>
      <c r="AA263" s="3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"/>
      <c r="N264" s="2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3"/>
      <c r="Z264" s="3"/>
      <c r="AA264" s="3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"/>
      <c r="N265" s="2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3"/>
      <c r="Z265" s="3"/>
      <c r="AA265" s="3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"/>
      <c r="N266" s="2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3"/>
      <c r="Z266" s="3"/>
      <c r="AA266" s="3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"/>
      <c r="N267" s="2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3"/>
      <c r="Z267" s="3"/>
      <c r="AA267" s="3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"/>
      <c r="N268" s="2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3"/>
      <c r="Z268" s="3"/>
      <c r="AA268" s="3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"/>
      <c r="N269" s="2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3"/>
      <c r="Z269" s="3"/>
      <c r="AA269" s="3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"/>
      <c r="N270" s="2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3"/>
      <c r="Z270" s="3"/>
      <c r="AA270" s="3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"/>
      <c r="N271" s="2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3"/>
      <c r="Z271" s="3"/>
      <c r="AA271" s="3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"/>
      <c r="N272" s="2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3"/>
      <c r="Z272" s="3"/>
      <c r="AA272" s="3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"/>
      <c r="N273" s="2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3"/>
      <c r="Z273" s="3"/>
      <c r="AA273" s="3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"/>
      <c r="N274" s="2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3"/>
      <c r="Z274" s="3"/>
      <c r="AA274" s="3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"/>
      <c r="N275" s="2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3"/>
      <c r="Z275" s="3"/>
      <c r="AA275" s="3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"/>
      <c r="N276" s="2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3"/>
      <c r="Z276" s="3"/>
      <c r="AA276" s="3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"/>
      <c r="N277" s="2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3"/>
      <c r="Z277" s="3"/>
      <c r="AA277" s="3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"/>
      <c r="N278" s="2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3"/>
      <c r="Z278" s="3"/>
      <c r="AA278" s="3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"/>
      <c r="N279" s="2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3"/>
      <c r="Z279" s="3"/>
      <c r="AA279" s="3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"/>
      <c r="N280" s="2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3"/>
      <c r="Z280" s="3"/>
      <c r="AA280" s="3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"/>
      <c r="N281" s="2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3"/>
      <c r="Z281" s="3"/>
      <c r="AA281" s="3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"/>
      <c r="N282" s="2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3"/>
      <c r="Z282" s="3"/>
      <c r="AA282" s="3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"/>
      <c r="N283" s="2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3"/>
      <c r="Z283" s="3"/>
      <c r="AA283" s="3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"/>
      <c r="N284" s="2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3"/>
      <c r="Z284" s="3"/>
      <c r="AA284" s="3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"/>
      <c r="N285" s="2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3"/>
      <c r="Z285" s="3"/>
      <c r="AA285" s="3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"/>
      <c r="N286" s="2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3"/>
      <c r="Z286" s="3"/>
      <c r="AA286" s="3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"/>
      <c r="N287" s="2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3"/>
      <c r="Z287" s="3"/>
      <c r="AA287" s="3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"/>
      <c r="N288" s="2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3"/>
      <c r="Z288" s="3"/>
      <c r="AA288" s="3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"/>
      <c r="N289" s="2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3"/>
      <c r="Z289" s="3"/>
      <c r="AA289" s="3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"/>
      <c r="N290" s="2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3"/>
      <c r="Z290" s="3"/>
      <c r="AA290" s="3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"/>
      <c r="N291" s="2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3"/>
      <c r="Z291" s="3"/>
      <c r="AA291" s="3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"/>
      <c r="N292" s="2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3"/>
      <c r="Z292" s="3"/>
      <c r="AA292" s="3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"/>
      <c r="N293" s="2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3"/>
      <c r="Z293" s="3"/>
      <c r="AA293" s="3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"/>
      <c r="N294" s="2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3"/>
      <c r="Z294" s="3"/>
      <c r="AA294" s="3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"/>
      <c r="N295" s="2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3"/>
      <c r="Z295" s="3"/>
      <c r="AA295" s="3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2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3"/>
      <c r="Z296" s="3"/>
      <c r="AA296" s="3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"/>
      <c r="N297" s="2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3"/>
      <c r="Z297" s="3"/>
      <c r="AA297" s="3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2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3"/>
      <c r="Z298" s="3"/>
      <c r="AA298" s="3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"/>
      <c r="N299" s="2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3"/>
      <c r="Z299" s="3"/>
      <c r="AA299" s="3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2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3"/>
      <c r="Z300" s="3"/>
      <c r="AA300" s="3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"/>
      <c r="N301" s="2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3"/>
      <c r="Z301" s="3"/>
      <c r="AA301" s="3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2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3"/>
      <c r="Z302" s="3"/>
      <c r="AA302" s="3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"/>
      <c r="N303" s="2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3"/>
      <c r="Z303" s="3"/>
      <c r="AA303" s="3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2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3"/>
      <c r="Z304" s="3"/>
      <c r="AA304" s="3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"/>
      <c r="N305" s="2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3"/>
      <c r="Z305" s="3"/>
      <c r="AA305" s="3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2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3"/>
      <c r="Z306" s="3"/>
      <c r="AA306" s="3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"/>
      <c r="N307" s="2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3"/>
      <c r="Z307" s="3"/>
      <c r="AA307" s="3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2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3"/>
      <c r="Z308" s="3"/>
      <c r="AA308" s="3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"/>
      <c r="N309" s="2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3"/>
      <c r="Z309" s="3"/>
      <c r="AA309" s="3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2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3"/>
      <c r="Z310" s="3"/>
      <c r="AA310" s="3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"/>
      <c r="N311" s="2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3"/>
      <c r="Z311" s="3"/>
      <c r="AA311" s="3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2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3"/>
      <c r="Z312" s="3"/>
      <c r="AA312" s="3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"/>
      <c r="N313" s="2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3"/>
      <c r="Z313" s="3"/>
      <c r="AA313" s="3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2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3"/>
      <c r="Z314" s="3"/>
      <c r="AA314" s="3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"/>
      <c r="N315" s="2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3"/>
      <c r="Z315" s="3"/>
      <c r="AA315" s="3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2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3"/>
      <c r="Z316" s="3"/>
      <c r="AA316" s="3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"/>
      <c r="N317" s="2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3"/>
      <c r="Z317" s="3"/>
      <c r="AA317" s="3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2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3"/>
      <c r="Z318" s="3"/>
      <c r="AA318" s="3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"/>
      <c r="N319" s="2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3"/>
      <c r="Z319" s="3"/>
      <c r="AA319" s="3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2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3"/>
      <c r="Z320" s="3"/>
      <c r="AA320" s="3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"/>
      <c r="N321" s="2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3"/>
      <c r="Z321" s="3"/>
      <c r="AA321" s="3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2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3"/>
      <c r="Z322" s="3"/>
      <c r="AA322" s="3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"/>
      <c r="N323" s="2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3"/>
      <c r="Z323" s="3"/>
      <c r="AA323" s="3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2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3"/>
      <c r="Z324" s="3"/>
      <c r="AA324" s="3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"/>
      <c r="N325" s="2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3"/>
      <c r="Z325" s="3"/>
      <c r="AA325" s="3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2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3"/>
      <c r="Z326" s="3"/>
      <c r="AA326" s="3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"/>
      <c r="N327" s="2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3"/>
      <c r="Z327" s="3"/>
      <c r="AA327" s="3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2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3"/>
      <c r="Z328" s="3"/>
      <c r="AA328" s="3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"/>
      <c r="N329" s="2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3"/>
      <c r="Z329" s="3"/>
      <c r="AA329" s="3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"/>
      <c r="N330" s="2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3"/>
      <c r="Z330" s="3"/>
      <c r="AA330" s="3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"/>
      <c r="N331" s="2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3"/>
      <c r="Z331" s="3"/>
      <c r="AA331" s="3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"/>
      <c r="N332" s="2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3"/>
      <c r="Z332" s="3"/>
      <c r="AA332" s="3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"/>
      <c r="N333" s="2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3"/>
      <c r="Z333" s="3"/>
      <c r="AA333" s="3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"/>
      <c r="N334" s="2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3"/>
      <c r="Z334" s="3"/>
      <c r="AA334" s="3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"/>
      <c r="N335" s="2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3"/>
      <c r="Z335" s="3"/>
      <c r="AA335" s="3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"/>
      <c r="N336" s="2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3"/>
      <c r="Z336" s="3"/>
      <c r="AA336" s="3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"/>
      <c r="N337" s="2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3"/>
      <c r="Z337" s="3"/>
      <c r="AA337" s="3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"/>
      <c r="N338" s="2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3"/>
      <c r="Z338" s="3"/>
      <c r="AA338" s="3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"/>
      <c r="N339" s="2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3"/>
      <c r="Z339" s="3"/>
      <c r="AA339" s="3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"/>
      <c r="N340" s="2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3"/>
      <c r="Z340" s="3"/>
      <c r="AA340" s="3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"/>
      <c r="N341" s="2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3"/>
      <c r="Z341" s="3"/>
      <c r="AA341" s="3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"/>
      <c r="N342" s="2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3"/>
      <c r="Z342" s="3"/>
      <c r="AA342" s="3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"/>
      <c r="N343" s="2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3"/>
      <c r="Z343" s="3"/>
      <c r="AA343" s="3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"/>
      <c r="N344" s="2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3"/>
      <c r="Z344" s="3"/>
      <c r="AA344" s="3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"/>
      <c r="N345" s="2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3"/>
      <c r="Z345" s="3"/>
      <c r="AA345" s="3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"/>
      <c r="N346" s="2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3"/>
      <c r="Z346" s="3"/>
      <c r="AA346" s="3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"/>
      <c r="N347" s="2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3"/>
      <c r="Z347" s="3"/>
      <c r="AA347" s="3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"/>
      <c r="N348" s="2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3"/>
      <c r="Z348" s="3"/>
      <c r="AA348" s="3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"/>
      <c r="N349" s="2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3"/>
      <c r="Z349" s="3"/>
      <c r="AA349" s="3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"/>
      <c r="N350" s="2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3"/>
      <c r="Z350" s="3"/>
      <c r="AA350" s="3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"/>
      <c r="N351" s="2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3"/>
      <c r="Z351" s="3"/>
      <c r="AA351" s="3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"/>
      <c r="N352" s="2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3"/>
      <c r="Z352" s="3"/>
      <c r="AA352" s="3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"/>
      <c r="N353" s="2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3"/>
      <c r="Z353" s="3"/>
      <c r="AA353" s="3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"/>
      <c r="N354" s="2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3"/>
      <c r="Z354" s="3"/>
      <c r="AA354" s="3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"/>
      <c r="N355" s="2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3"/>
      <c r="Z355" s="3"/>
      <c r="AA355" s="3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"/>
      <c r="N356" s="2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3"/>
      <c r="Z356" s="3"/>
      <c r="AA356" s="3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"/>
      <c r="N357" s="2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3"/>
      <c r="Z357" s="3"/>
      <c r="AA357" s="3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"/>
      <c r="N358" s="2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3"/>
      <c r="Z358" s="3"/>
      <c r="AA358" s="3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"/>
      <c r="N359" s="2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3"/>
      <c r="Z359" s="3"/>
      <c r="AA359" s="3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"/>
      <c r="N360" s="2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3"/>
      <c r="Z360" s="3"/>
      <c r="AA360" s="3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"/>
      <c r="N361" s="2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3"/>
      <c r="Z361" s="3"/>
      <c r="AA361" s="3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"/>
      <c r="N362" s="2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3"/>
      <c r="Z362" s="3"/>
      <c r="AA362" s="3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"/>
      <c r="N363" s="2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3"/>
      <c r="Z363" s="3"/>
      <c r="AA363" s="3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"/>
      <c r="N364" s="2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3"/>
      <c r="Z364" s="3"/>
      <c r="AA364" s="3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"/>
      <c r="N365" s="2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3"/>
      <c r="Z365" s="3"/>
      <c r="AA365" s="3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"/>
      <c r="N366" s="2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3"/>
      <c r="Z366" s="3"/>
      <c r="AA366" s="3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2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3"/>
      <c r="Z367" s="3"/>
      <c r="AA367" s="3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2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3"/>
      <c r="Z368" s="3"/>
      <c r="AA368" s="3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2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3"/>
      <c r="Z369" s="3"/>
      <c r="AA369" s="3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2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3"/>
      <c r="Z370" s="3"/>
      <c r="AA370" s="3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2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3"/>
      <c r="Z371" s="3"/>
      <c r="AA371" s="3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2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3"/>
      <c r="Z372" s="3"/>
      <c r="AA372" s="3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2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3"/>
      <c r="Z373" s="3"/>
      <c r="AA373" s="3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2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3"/>
      <c r="Z374" s="3"/>
      <c r="AA374" s="3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2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3"/>
      <c r="Z375" s="3"/>
      <c r="AA375" s="3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2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3"/>
      <c r="Z376" s="3"/>
      <c r="AA376" s="3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2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3"/>
      <c r="Z377" s="3"/>
      <c r="AA377" s="3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2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3"/>
      <c r="Z378" s="3"/>
      <c r="AA378" s="3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2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3"/>
      <c r="Z379" s="3"/>
      <c r="AA379" s="3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2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3"/>
      <c r="Z380" s="3"/>
      <c r="AA380" s="3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2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3"/>
      <c r="Z381" s="3"/>
      <c r="AA381" s="3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2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3"/>
      <c r="Z382" s="3"/>
      <c r="AA382" s="3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2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3"/>
      <c r="Z383" s="3"/>
      <c r="AA383" s="3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2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3"/>
      <c r="Z384" s="3"/>
      <c r="AA384" s="3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2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3"/>
      <c r="Z385" s="3"/>
      <c r="AA385" s="3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2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3"/>
      <c r="Z386" s="3"/>
      <c r="AA386" s="3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2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3"/>
      <c r="Z387" s="3"/>
      <c r="AA387" s="3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2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3"/>
      <c r="Z388" s="3"/>
      <c r="AA388" s="3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2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3"/>
      <c r="Z389" s="3"/>
      <c r="AA389" s="3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2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3"/>
      <c r="Z390" s="3"/>
      <c r="AA390" s="3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2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3"/>
      <c r="Z391" s="3"/>
      <c r="AA391" s="3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2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3"/>
      <c r="Z392" s="3"/>
      <c r="AA392" s="3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2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3"/>
      <c r="Z393" s="3"/>
      <c r="AA393" s="3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2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3"/>
      <c r="Z394" s="3"/>
      <c r="AA394" s="3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2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3"/>
      <c r="Z395" s="3"/>
      <c r="AA395" s="3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2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3"/>
      <c r="Z396" s="3"/>
      <c r="AA396" s="3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2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3"/>
      <c r="Z397" s="3"/>
      <c r="AA397" s="3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2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3"/>
      <c r="Z398" s="3"/>
      <c r="AA398" s="3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2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3"/>
      <c r="Z399" s="3"/>
      <c r="AA399" s="3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2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3"/>
      <c r="Z400" s="3"/>
      <c r="AA400" s="3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2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3"/>
      <c r="Z401" s="3"/>
      <c r="AA401" s="3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2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3"/>
      <c r="Z402" s="3"/>
      <c r="AA402" s="3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2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3"/>
      <c r="Z403" s="3"/>
      <c r="AA403" s="3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2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3"/>
      <c r="Z404" s="3"/>
      <c r="AA404" s="3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2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3"/>
      <c r="Z405" s="3"/>
      <c r="AA405" s="3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2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3"/>
      <c r="Z406" s="3"/>
      <c r="AA406" s="3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2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3"/>
      <c r="Z407" s="3"/>
      <c r="AA407" s="3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2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3"/>
      <c r="Z408" s="3"/>
      <c r="AA408" s="3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2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3"/>
      <c r="Z409" s="3"/>
      <c r="AA409" s="3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2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3"/>
      <c r="Z410" s="3"/>
      <c r="AA410" s="3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2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3"/>
      <c r="Z411" s="3"/>
      <c r="AA411" s="3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2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3"/>
      <c r="Z412" s="3"/>
      <c r="AA412" s="3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2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3"/>
      <c r="Z413" s="3"/>
      <c r="AA413" s="3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2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3"/>
      <c r="Z414" s="3"/>
      <c r="AA414" s="3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2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3"/>
      <c r="Z415" s="3"/>
      <c r="AA415" s="3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2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3"/>
      <c r="Z416" s="3"/>
      <c r="AA416" s="3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2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3"/>
      <c r="Z417" s="3"/>
      <c r="AA417" s="3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2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3"/>
      <c r="Z418" s="3"/>
      <c r="AA418" s="3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2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3"/>
      <c r="Z419" s="3"/>
      <c r="AA419" s="3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2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3"/>
      <c r="Z420" s="3"/>
      <c r="AA420" s="3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2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3"/>
      <c r="Z421" s="3"/>
      <c r="AA421" s="3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2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3"/>
      <c r="Z422" s="3"/>
      <c r="AA422" s="3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2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3"/>
      <c r="Z423" s="3"/>
      <c r="AA423" s="3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2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3"/>
      <c r="Z424" s="3"/>
      <c r="AA424" s="3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2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3"/>
      <c r="Z425" s="3"/>
      <c r="AA425" s="3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2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3"/>
      <c r="Z426" s="3"/>
      <c r="AA426" s="3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2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3"/>
      <c r="Z427" s="3"/>
      <c r="AA427" s="3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2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3"/>
      <c r="Z428" s="3"/>
      <c r="AA428" s="3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2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3"/>
      <c r="Z429" s="3"/>
      <c r="AA429" s="3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2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3"/>
      <c r="Z430" s="3"/>
      <c r="AA430" s="3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2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3"/>
      <c r="Z431" s="3"/>
      <c r="AA431" s="3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2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3"/>
      <c r="Z432" s="3"/>
      <c r="AA432" s="3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2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3"/>
      <c r="Z433" s="3"/>
      <c r="AA433" s="3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2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3"/>
      <c r="Z434" s="3"/>
      <c r="AA434" s="3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2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3"/>
      <c r="Z435" s="3"/>
      <c r="AA435" s="3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2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3"/>
      <c r="Z436" s="3"/>
      <c r="AA436" s="3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2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3"/>
      <c r="Z437" s="3"/>
      <c r="AA437" s="3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2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3"/>
      <c r="Z438" s="3"/>
      <c r="AA438" s="3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2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3"/>
      <c r="Z439" s="3"/>
      <c r="AA439" s="3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2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3"/>
      <c r="Z440" s="3"/>
      <c r="AA440" s="3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2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3"/>
      <c r="Z441" s="3"/>
      <c r="AA441" s="3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2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3"/>
      <c r="Z442" s="3"/>
      <c r="AA442" s="3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2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3"/>
      <c r="Z443" s="3"/>
      <c r="AA443" s="3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2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3"/>
      <c r="Z444" s="3"/>
      <c r="AA444" s="3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2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3"/>
      <c r="Z445" s="3"/>
      <c r="AA445" s="3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2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3"/>
      <c r="Z446" s="3"/>
      <c r="AA446" s="3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2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3"/>
      <c r="Z447" s="3"/>
      <c r="AA447" s="3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2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3"/>
      <c r="Z448" s="3"/>
      <c r="AA448" s="3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2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3"/>
      <c r="Z449" s="3"/>
      <c r="AA449" s="3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2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3"/>
      <c r="Z450" s="3"/>
      <c r="AA450" s="3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2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3"/>
      <c r="Z451" s="3"/>
      <c r="AA451" s="3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2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3"/>
      <c r="Z452" s="3"/>
      <c r="AA452" s="3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2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3"/>
      <c r="Z453" s="3"/>
      <c r="AA453" s="3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2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3"/>
      <c r="Z454" s="3"/>
      <c r="AA454" s="3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2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3"/>
      <c r="Z455" s="3"/>
      <c r="AA455" s="3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2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3"/>
      <c r="Z456" s="3"/>
      <c r="AA456" s="3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2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3"/>
      <c r="Z457" s="3"/>
      <c r="AA457" s="3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2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3"/>
      <c r="Z458" s="3"/>
      <c r="AA458" s="3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2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3"/>
      <c r="Z459" s="3"/>
      <c r="AA459" s="3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2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3"/>
      <c r="Z460" s="3"/>
      <c r="AA460" s="3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2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3"/>
      <c r="Z461" s="3"/>
      <c r="AA461" s="3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2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3"/>
      <c r="Z462" s="3"/>
      <c r="AA462" s="3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2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3"/>
      <c r="Z463" s="3"/>
      <c r="AA463" s="3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2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3"/>
      <c r="Z464" s="3"/>
      <c r="AA464" s="3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2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3"/>
      <c r="Z465" s="3"/>
      <c r="AA465" s="3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2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3"/>
      <c r="Z466" s="3"/>
      <c r="AA466" s="3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2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3"/>
      <c r="Z467" s="3"/>
      <c r="AA467" s="3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2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3"/>
      <c r="Z468" s="3"/>
      <c r="AA468" s="3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2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3"/>
      <c r="Z469" s="3"/>
      <c r="AA469" s="3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2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3"/>
      <c r="Z470" s="3"/>
      <c r="AA470" s="3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2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3"/>
      <c r="Z471" s="3"/>
      <c r="AA471" s="3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2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3"/>
      <c r="Z472" s="3"/>
      <c r="AA472" s="3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2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3"/>
      <c r="Z473" s="3"/>
      <c r="AA473" s="3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2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3"/>
      <c r="Z474" s="3"/>
      <c r="AA474" s="3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2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3"/>
      <c r="Z475" s="3"/>
      <c r="AA475" s="3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2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3"/>
      <c r="Z476" s="3"/>
      <c r="AA476" s="3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2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3"/>
      <c r="Z477" s="3"/>
      <c r="AA477" s="3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2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3"/>
      <c r="Z478" s="3"/>
      <c r="AA478" s="3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2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3"/>
      <c r="Z479" s="3"/>
      <c r="AA479" s="3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2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3"/>
      <c r="Z480" s="3"/>
      <c r="AA480" s="3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2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3"/>
      <c r="Z481" s="3"/>
      <c r="AA481" s="3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2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3"/>
      <c r="Z482" s="3"/>
      <c r="AA482" s="3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2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3"/>
      <c r="Z483" s="3"/>
      <c r="AA483" s="3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2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3"/>
      <c r="Z484" s="3"/>
      <c r="AA484" s="3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2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3"/>
      <c r="Z485" s="3"/>
      <c r="AA485" s="3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2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3"/>
      <c r="Z486" s="3"/>
      <c r="AA486" s="3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2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3"/>
      <c r="Z487" s="3"/>
      <c r="AA487" s="3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2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3"/>
      <c r="Z488" s="3"/>
      <c r="AA488" s="3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2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3"/>
      <c r="Z489" s="3"/>
      <c r="AA489" s="3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2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3"/>
      <c r="Z490" s="3"/>
      <c r="AA490" s="3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2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3"/>
      <c r="Z491" s="3"/>
      <c r="AA491" s="3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2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3"/>
      <c r="Z492" s="3"/>
      <c r="AA492" s="3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2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3"/>
      <c r="Z493" s="3"/>
      <c r="AA493" s="3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2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3"/>
      <c r="Z494" s="3"/>
      <c r="AA494" s="3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2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3"/>
      <c r="Z495" s="3"/>
      <c r="AA495" s="3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2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3"/>
      <c r="Z496" s="3"/>
      <c r="AA496" s="3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2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3"/>
      <c r="Z497" s="3"/>
      <c r="AA497" s="3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2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3"/>
      <c r="Z498" s="3"/>
      <c r="AA498" s="3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2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3"/>
      <c r="Z499" s="3"/>
      <c r="AA499" s="3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2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3"/>
      <c r="Z500" s="3"/>
      <c r="AA500" s="3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2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3"/>
      <c r="Z501" s="3"/>
      <c r="AA501" s="3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2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3"/>
      <c r="Z502" s="3"/>
      <c r="AA502" s="3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2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3"/>
      <c r="Z503" s="3"/>
      <c r="AA503" s="3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2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3"/>
      <c r="Z504" s="3"/>
      <c r="AA504" s="3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2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3"/>
      <c r="Z505" s="3"/>
      <c r="AA505" s="3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2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3"/>
      <c r="Z506" s="3"/>
      <c r="AA506" s="3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2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3"/>
      <c r="Z507" s="3"/>
      <c r="AA507" s="3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2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3"/>
      <c r="Z508" s="3"/>
      <c r="AA508" s="3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2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3"/>
      <c r="Z509" s="3"/>
      <c r="AA509" s="3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2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3"/>
      <c r="Z510" s="3"/>
      <c r="AA510" s="3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2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3"/>
      <c r="Z511" s="3"/>
      <c r="AA511" s="3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2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3"/>
      <c r="Z512" s="3"/>
      <c r="AA512" s="3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2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3"/>
      <c r="Z513" s="3"/>
      <c r="AA513" s="3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2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3"/>
      <c r="Z514" s="3"/>
      <c r="AA514" s="3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2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3"/>
      <c r="Z515" s="3"/>
      <c r="AA515" s="3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2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3"/>
      <c r="Z516" s="3"/>
      <c r="AA516" s="3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2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3"/>
      <c r="Z517" s="3"/>
      <c r="AA517" s="3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2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3"/>
      <c r="Z518" s="3"/>
      <c r="AA518" s="3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2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3"/>
      <c r="Z519" s="3"/>
      <c r="AA519" s="3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2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3"/>
      <c r="Z520" s="3"/>
      <c r="AA520" s="3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2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3"/>
      <c r="Z521" s="3"/>
      <c r="AA521" s="3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2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3"/>
      <c r="Z522" s="3"/>
      <c r="AA522" s="3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2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3"/>
      <c r="Z523" s="3"/>
      <c r="AA523" s="3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2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3"/>
      <c r="Z524" s="3"/>
      <c r="AA524" s="3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2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3"/>
      <c r="Z525" s="3"/>
      <c r="AA525" s="3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2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3"/>
      <c r="Z526" s="3"/>
      <c r="AA526" s="3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2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3"/>
      <c r="Z527" s="3"/>
      <c r="AA527" s="3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2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3"/>
      <c r="Z528" s="3"/>
      <c r="AA528" s="3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2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3"/>
      <c r="Z529" s="3"/>
      <c r="AA529" s="3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2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3"/>
      <c r="Z530" s="3"/>
      <c r="AA530" s="3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2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3"/>
      <c r="Z531" s="3"/>
      <c r="AA531" s="3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2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3"/>
      <c r="Z532" s="3"/>
      <c r="AA532" s="3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2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3"/>
      <c r="Z533" s="3"/>
      <c r="AA533" s="3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2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3"/>
      <c r="Z534" s="3"/>
      <c r="AA534" s="3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2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3"/>
      <c r="Z535" s="3"/>
      <c r="AA535" s="3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2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3"/>
      <c r="Z536" s="3"/>
      <c r="AA536" s="3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2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3"/>
      <c r="Z537" s="3"/>
      <c r="AA537" s="3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2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3"/>
      <c r="Z538" s="3"/>
      <c r="AA538" s="3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2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3"/>
      <c r="Z539" s="3"/>
      <c r="AA539" s="3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2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3"/>
      <c r="Z540" s="3"/>
      <c r="AA540" s="3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2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3"/>
      <c r="Z541" s="3"/>
      <c r="AA541" s="3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2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3"/>
      <c r="Z542" s="3"/>
      <c r="AA542" s="3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2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3"/>
      <c r="Z543" s="3"/>
      <c r="AA543" s="3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2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3"/>
      <c r="Z544" s="3"/>
      <c r="AA544" s="3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2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3"/>
      <c r="Z545" s="3"/>
      <c r="AA545" s="3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2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3"/>
      <c r="Z546" s="3"/>
      <c r="AA546" s="3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2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3"/>
      <c r="Z547" s="3"/>
      <c r="AA547" s="3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2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3"/>
      <c r="Z548" s="3"/>
      <c r="AA548" s="3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2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3"/>
      <c r="Z549" s="3"/>
      <c r="AA549" s="3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2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3"/>
      <c r="Z550" s="3"/>
      <c r="AA550" s="3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2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3"/>
      <c r="Z551" s="3"/>
      <c r="AA551" s="3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2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3"/>
      <c r="Z552" s="3"/>
      <c r="AA552" s="3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2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3"/>
      <c r="Z553" s="3"/>
      <c r="AA553" s="3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2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3"/>
      <c r="Z554" s="3"/>
      <c r="AA554" s="3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2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3"/>
      <c r="Z555" s="3"/>
      <c r="AA555" s="3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2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3"/>
      <c r="Z556" s="3"/>
      <c r="AA556" s="3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2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3"/>
      <c r="Z557" s="3"/>
      <c r="AA557" s="3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2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3"/>
      <c r="Z558" s="3"/>
      <c r="AA558" s="3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2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3"/>
      <c r="Z559" s="3"/>
      <c r="AA559" s="3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2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3"/>
      <c r="Z560" s="3"/>
      <c r="AA560" s="3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2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3"/>
      <c r="Z561" s="3"/>
      <c r="AA561" s="3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2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3"/>
      <c r="Z562" s="3"/>
      <c r="AA562" s="3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2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3"/>
      <c r="Z563" s="3"/>
      <c r="AA563" s="3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2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3"/>
      <c r="Z564" s="3"/>
      <c r="AA564" s="3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2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3"/>
      <c r="Z565" s="3"/>
      <c r="AA565" s="3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2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3"/>
      <c r="Z566" s="3"/>
      <c r="AA566" s="3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2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3"/>
      <c r="Z567" s="3"/>
      <c r="AA567" s="3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2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3"/>
      <c r="Z568" s="3"/>
      <c r="AA568" s="3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2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3"/>
      <c r="Z569" s="3"/>
      <c r="AA569" s="3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2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3"/>
      <c r="Z570" s="3"/>
      <c r="AA570" s="3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2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3"/>
      <c r="Z571" s="3"/>
      <c r="AA571" s="3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2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3"/>
      <c r="Z572" s="3"/>
      <c r="AA572" s="3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2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3"/>
      <c r="Z573" s="3"/>
      <c r="AA573" s="3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2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3"/>
      <c r="Z574" s="3"/>
      <c r="AA574" s="3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2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3"/>
      <c r="Z575" s="3"/>
      <c r="AA575" s="3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2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3"/>
      <c r="Z576" s="3"/>
      <c r="AA576" s="3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2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3"/>
      <c r="Z577" s="3"/>
      <c r="AA577" s="3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2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3"/>
      <c r="Z578" s="3"/>
      <c r="AA578" s="3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2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3"/>
      <c r="Z579" s="3"/>
      <c r="AA579" s="3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2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3"/>
      <c r="Z580" s="3"/>
      <c r="AA580" s="3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2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3"/>
      <c r="Z581" s="3"/>
      <c r="AA581" s="3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2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3"/>
      <c r="Z582" s="3"/>
      <c r="AA582" s="3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2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3"/>
      <c r="Z583" s="3"/>
      <c r="AA583" s="3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2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3"/>
      <c r="Z584" s="3"/>
      <c r="AA584" s="3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2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3"/>
      <c r="Z585" s="3"/>
      <c r="AA585" s="3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"/>
      <c r="N586" s="2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3"/>
      <c r="Z586" s="3"/>
      <c r="AA586" s="3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"/>
      <c r="N587" s="2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3"/>
      <c r="Z587" s="3"/>
      <c r="AA587" s="3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"/>
      <c r="N588" s="2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3"/>
      <c r="Z588" s="3"/>
      <c r="AA588" s="3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"/>
      <c r="N589" s="2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3"/>
      <c r="Z589" s="3"/>
      <c r="AA589" s="3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"/>
      <c r="N590" s="2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3"/>
      <c r="Z590" s="3"/>
      <c r="AA590" s="3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"/>
      <c r="N591" s="2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3"/>
      <c r="Z591" s="3"/>
      <c r="AA591" s="3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"/>
      <c r="N592" s="2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3"/>
      <c r="Z592" s="3"/>
      <c r="AA592" s="3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"/>
      <c r="N593" s="2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3"/>
      <c r="Z593" s="3"/>
      <c r="AA593" s="3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"/>
      <c r="N594" s="2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3"/>
      <c r="Z594" s="3"/>
      <c r="AA594" s="3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"/>
      <c r="N595" s="2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3"/>
      <c r="Z595" s="3"/>
      <c r="AA595" s="3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"/>
      <c r="N596" s="2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3"/>
      <c r="Z596" s="3"/>
      <c r="AA596" s="3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"/>
      <c r="N597" s="2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3"/>
      <c r="Z597" s="3"/>
      <c r="AA597" s="3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"/>
      <c r="N598" s="2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3"/>
      <c r="Z598" s="3"/>
      <c r="AA598" s="3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"/>
      <c r="N599" s="2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3"/>
      <c r="Z599" s="3"/>
      <c r="AA599" s="3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2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3"/>
      <c r="Z600" s="3"/>
      <c r="AA600" s="3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"/>
      <c r="N601" s="2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3"/>
      <c r="Z601" s="3"/>
      <c r="AA601" s="3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"/>
      <c r="N602" s="2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3"/>
      <c r="Z602" s="3"/>
      <c r="AA602" s="3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"/>
      <c r="N603" s="2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3"/>
      <c r="Z603" s="3"/>
      <c r="AA603" s="3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"/>
      <c r="N604" s="2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3"/>
      <c r="Z604" s="3"/>
      <c r="AA604" s="3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"/>
      <c r="N605" s="2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3"/>
      <c r="Z605" s="3"/>
      <c r="AA605" s="3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"/>
      <c r="N606" s="2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3"/>
      <c r="Z606" s="3"/>
      <c r="AA606" s="3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"/>
      <c r="N607" s="2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3"/>
      <c r="Z607" s="3"/>
      <c r="AA607" s="3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"/>
      <c r="N608" s="2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3"/>
      <c r="Z608" s="3"/>
      <c r="AA608" s="3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"/>
      <c r="N609" s="2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3"/>
      <c r="Z609" s="3"/>
      <c r="AA609" s="3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"/>
      <c r="N610" s="2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3"/>
      <c r="Z610" s="3"/>
      <c r="AA610" s="3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"/>
      <c r="N611" s="2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3"/>
      <c r="Z611" s="3"/>
      <c r="AA611" s="3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"/>
      <c r="N612" s="2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3"/>
      <c r="Z612" s="3"/>
      <c r="AA612" s="3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"/>
      <c r="N613" s="2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3"/>
      <c r="Z613" s="3"/>
      <c r="AA613" s="3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"/>
      <c r="N614" s="2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3"/>
      <c r="Z614" s="3"/>
      <c r="AA614" s="3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"/>
      <c r="N615" s="2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3"/>
      <c r="Z615" s="3"/>
      <c r="AA615" s="3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"/>
      <c r="N616" s="2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3"/>
      <c r="Z616" s="3"/>
      <c r="AA616" s="3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"/>
      <c r="N617" s="2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3"/>
      <c r="Z617" s="3"/>
      <c r="AA617" s="3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"/>
      <c r="N618" s="2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3"/>
      <c r="Z618" s="3"/>
      <c r="AA618" s="3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"/>
      <c r="N619" s="2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3"/>
      <c r="Z619" s="3"/>
      <c r="AA619" s="3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"/>
      <c r="N620" s="2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3"/>
      <c r="Z620" s="3"/>
      <c r="AA620" s="3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"/>
      <c r="N621" s="2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3"/>
      <c r="Z621" s="3"/>
      <c r="AA621" s="3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"/>
      <c r="N622" s="2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3"/>
      <c r="Z622" s="3"/>
      <c r="AA622" s="3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"/>
      <c r="N623" s="2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3"/>
      <c r="Z623" s="3"/>
      <c r="AA623" s="3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"/>
      <c r="N624" s="2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3"/>
      <c r="Z624" s="3"/>
      <c r="AA624" s="3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"/>
      <c r="N625" s="2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3"/>
      <c r="Z625" s="3"/>
      <c r="AA625" s="3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"/>
      <c r="N626" s="2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3"/>
      <c r="Z626" s="3"/>
      <c r="AA626" s="3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"/>
      <c r="N627" s="2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3"/>
      <c r="Z627" s="3"/>
      <c r="AA627" s="3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"/>
      <c r="N628" s="2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3"/>
      <c r="Z628" s="3"/>
      <c r="AA628" s="3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"/>
      <c r="N629" s="2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3"/>
      <c r="Z629" s="3"/>
      <c r="AA629" s="3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"/>
      <c r="N630" s="2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3"/>
      <c r="Z630" s="3"/>
      <c r="AA630" s="3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"/>
      <c r="N631" s="2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3"/>
      <c r="Z631" s="3"/>
      <c r="AA631" s="3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"/>
      <c r="N632" s="2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3"/>
      <c r="Z632" s="3"/>
      <c r="AA632" s="3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"/>
      <c r="N633" s="2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3"/>
      <c r="Z633" s="3"/>
      <c r="AA633" s="3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"/>
      <c r="N634" s="2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3"/>
      <c r="Z634" s="3"/>
      <c r="AA634" s="3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"/>
      <c r="N635" s="2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3"/>
      <c r="Z635" s="3"/>
      <c r="AA635" s="3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"/>
      <c r="N636" s="2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3"/>
      <c r="Z636" s="3"/>
      <c r="AA636" s="3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"/>
      <c r="N637" s="2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3"/>
      <c r="Z637" s="3"/>
      <c r="AA637" s="3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"/>
      <c r="N638" s="2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3"/>
      <c r="Z638" s="3"/>
      <c r="AA638" s="3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"/>
      <c r="N639" s="2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3"/>
      <c r="Z639" s="3"/>
      <c r="AA639" s="3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"/>
      <c r="N640" s="2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3"/>
      <c r="Z640" s="3"/>
      <c r="AA640" s="3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"/>
      <c r="N641" s="2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3"/>
      <c r="Z641" s="3"/>
      <c r="AA641" s="3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"/>
      <c r="N642" s="2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3"/>
      <c r="Z642" s="3"/>
      <c r="AA642" s="3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"/>
      <c r="N643" s="2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3"/>
      <c r="Z643" s="3"/>
      <c r="AA643" s="3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"/>
      <c r="N644" s="2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3"/>
      <c r="Z644" s="3"/>
      <c r="AA644" s="3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2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3"/>
      <c r="Z645" s="3"/>
      <c r="AA645" s="3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2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3"/>
      <c r="Z646" s="3"/>
      <c r="AA646" s="3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2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3"/>
      <c r="Z647" s="3"/>
      <c r="AA647" s="3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2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3"/>
      <c r="Z648" s="3"/>
      <c r="AA648" s="3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2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3"/>
      <c r="Z649" s="3"/>
      <c r="AA649" s="3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2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3"/>
      <c r="Z650" s="3"/>
      <c r="AA650" s="3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2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3"/>
      <c r="Z651" s="3"/>
      <c r="AA651" s="3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2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3"/>
      <c r="Z652" s="3"/>
      <c r="AA652" s="3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2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3"/>
      <c r="Z653" s="3"/>
      <c r="AA653" s="3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2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3"/>
      <c r="Z654" s="3"/>
      <c r="AA654" s="3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2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3"/>
      <c r="Z655" s="3"/>
      <c r="AA655" s="3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2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3"/>
      <c r="Z656" s="3"/>
      <c r="AA656" s="3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2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3"/>
      <c r="Z657" s="3"/>
      <c r="AA657" s="3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2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3"/>
      <c r="Z658" s="3"/>
      <c r="AA658" s="3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2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3"/>
      <c r="Z659" s="3"/>
      <c r="AA659" s="3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2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3"/>
      <c r="Z660" s="3"/>
      <c r="AA660" s="3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2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3"/>
      <c r="Z661" s="3"/>
      <c r="AA661" s="3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2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3"/>
      <c r="Z662" s="3"/>
      <c r="AA662" s="3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2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3"/>
      <c r="Z663" s="3"/>
      <c r="AA663" s="3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2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3"/>
      <c r="Z664" s="3"/>
      <c r="AA664" s="3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2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3"/>
      <c r="Z665" s="3"/>
      <c r="AA665" s="3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2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3"/>
      <c r="Z666" s="3"/>
      <c r="AA666" s="3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2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3"/>
      <c r="Z667" s="3"/>
      <c r="AA667" s="3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2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3"/>
      <c r="Z668" s="3"/>
      <c r="AA668" s="3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2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3"/>
      <c r="Z669" s="3"/>
      <c r="AA669" s="3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2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3"/>
      <c r="Z670" s="3"/>
      <c r="AA670" s="3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2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3"/>
      <c r="Z671" s="3"/>
      <c r="AA671" s="3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2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3"/>
      <c r="Z672" s="3"/>
      <c r="AA672" s="3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2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3"/>
      <c r="Z673" s="3"/>
      <c r="AA673" s="3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2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3"/>
      <c r="Z674" s="3"/>
      <c r="AA674" s="3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2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3"/>
      <c r="Z675" s="3"/>
      <c r="AA675" s="3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2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3"/>
      <c r="Z676" s="3"/>
      <c r="AA676" s="3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2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3"/>
      <c r="Z677" s="3"/>
      <c r="AA677" s="3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2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3"/>
      <c r="Z678" s="3"/>
      <c r="AA678" s="3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2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3"/>
      <c r="Z679" s="3"/>
      <c r="AA679" s="3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2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3"/>
      <c r="Z680" s="3"/>
      <c r="AA680" s="3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2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3"/>
      <c r="Z681" s="3"/>
      <c r="AA681" s="3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2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3"/>
      <c r="Z682" s="3"/>
      <c r="AA682" s="3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2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3"/>
      <c r="Z683" s="3"/>
      <c r="AA683" s="3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2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3"/>
      <c r="Z684" s="3"/>
      <c r="AA684" s="3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2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3"/>
      <c r="Z685" s="3"/>
      <c r="AA685" s="3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2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3"/>
      <c r="Z686" s="3"/>
      <c r="AA686" s="3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2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3"/>
      <c r="Z687" s="3"/>
      <c r="AA687" s="3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2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3"/>
      <c r="Z688" s="3"/>
      <c r="AA688" s="3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2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3"/>
      <c r="Z689" s="3"/>
      <c r="AA689" s="3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2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3"/>
      <c r="Z690" s="3"/>
      <c r="AA690" s="3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2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3"/>
      <c r="Z691" s="3"/>
      <c r="AA691" s="3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2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3"/>
      <c r="Z692" s="3"/>
      <c r="AA692" s="3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2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3"/>
      <c r="Z693" s="3"/>
      <c r="AA693" s="3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2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3"/>
      <c r="Z694" s="3"/>
      <c r="AA694" s="3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2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3"/>
      <c r="Z695" s="3"/>
      <c r="AA695" s="3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2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3"/>
      <c r="Z696" s="3"/>
      <c r="AA696" s="3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2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3"/>
      <c r="Z697" s="3"/>
      <c r="AA697" s="3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2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3"/>
      <c r="Z698" s="3"/>
      <c r="AA698" s="3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2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3"/>
      <c r="Z699" s="3"/>
      <c r="AA699" s="3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2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3"/>
      <c r="Z700" s="3"/>
      <c r="AA700" s="3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2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3"/>
      <c r="Z701" s="3"/>
      <c r="AA701" s="3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2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3"/>
      <c r="Z702" s="3"/>
      <c r="AA702" s="3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2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3"/>
      <c r="Z703" s="3"/>
      <c r="AA703" s="3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2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3"/>
      <c r="Z704" s="3"/>
      <c r="AA704" s="3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2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3"/>
      <c r="Z705" s="3"/>
      <c r="AA705" s="3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2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3"/>
      <c r="Z706" s="3"/>
      <c r="AA706" s="3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2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3"/>
      <c r="Z707" s="3"/>
      <c r="AA707" s="3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2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3"/>
      <c r="Z708" s="3"/>
      <c r="AA708" s="3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2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3"/>
      <c r="Z709" s="3"/>
      <c r="AA709" s="3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2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3"/>
      <c r="Z710" s="3"/>
      <c r="AA710" s="3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2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3"/>
      <c r="Z711" s="3"/>
      <c r="AA711" s="3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2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3"/>
      <c r="Z712" s="3"/>
      <c r="AA712" s="3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2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3"/>
      <c r="Z713" s="3"/>
      <c r="AA713" s="3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2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3"/>
      <c r="Z714" s="3"/>
      <c r="AA714" s="3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2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3"/>
      <c r="Z715" s="3"/>
      <c r="AA715" s="3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2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3"/>
      <c r="Z716" s="3"/>
      <c r="AA716" s="3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2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3"/>
      <c r="Z717" s="3"/>
      <c r="AA717" s="3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2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3"/>
      <c r="Z718" s="3"/>
      <c r="AA718" s="3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2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3"/>
      <c r="Z719" s="3"/>
      <c r="AA719" s="3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2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3"/>
      <c r="Z720" s="3"/>
      <c r="AA720" s="3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2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3"/>
      <c r="Z721" s="3"/>
      <c r="AA721" s="3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2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3"/>
      <c r="Z722" s="3"/>
      <c r="AA722" s="3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2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3"/>
      <c r="Z723" s="3"/>
      <c r="AA723" s="3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2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3"/>
      <c r="Z724" s="3"/>
      <c r="AA724" s="3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2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3"/>
      <c r="Z725" s="3"/>
      <c r="AA725" s="3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2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3"/>
      <c r="Z726" s="3"/>
      <c r="AA726" s="3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2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3"/>
      <c r="Z727" s="3"/>
      <c r="AA727" s="3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2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3"/>
      <c r="Z728" s="3"/>
      <c r="AA728" s="3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2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3"/>
      <c r="Z729" s="3"/>
      <c r="AA729" s="3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2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3"/>
      <c r="Z730" s="3"/>
      <c r="AA730" s="3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2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3"/>
      <c r="Z731" s="3"/>
      <c r="AA731" s="3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2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3"/>
      <c r="Z732" s="3"/>
      <c r="AA732" s="3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2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3"/>
      <c r="Z733" s="3"/>
      <c r="AA733" s="3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2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3"/>
      <c r="Z734" s="3"/>
      <c r="AA734" s="3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2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3"/>
      <c r="Z735" s="3"/>
      <c r="AA735" s="3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2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3"/>
      <c r="Z736" s="3"/>
      <c r="AA736" s="3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2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3"/>
      <c r="Z737" s="3"/>
      <c r="AA737" s="3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2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3"/>
      <c r="Z738" s="3"/>
      <c r="AA738" s="3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2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3"/>
      <c r="Z739" s="3"/>
      <c r="AA739" s="3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2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3"/>
      <c r="Z740" s="3"/>
      <c r="AA740" s="3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2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3"/>
      <c r="Z741" s="3"/>
      <c r="AA741" s="3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2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3"/>
      <c r="Z742" s="3"/>
      <c r="AA742" s="3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2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3"/>
      <c r="Z743" s="3"/>
      <c r="AA743" s="3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2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3"/>
      <c r="Z744" s="3"/>
      <c r="AA744" s="3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2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3"/>
      <c r="Z745" s="3"/>
      <c r="AA745" s="3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2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3"/>
      <c r="Z746" s="3"/>
      <c r="AA746" s="3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2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3"/>
      <c r="Z747" s="3"/>
      <c r="AA747" s="3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2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3"/>
      <c r="Z748" s="3"/>
      <c r="AA748" s="3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2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3"/>
      <c r="Z749" s="3"/>
      <c r="AA749" s="3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2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3"/>
      <c r="Z750" s="3"/>
      <c r="AA750" s="3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2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3"/>
      <c r="Z751" s="3"/>
      <c r="AA751" s="3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2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3"/>
      <c r="Z752" s="3"/>
      <c r="AA752" s="3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2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3"/>
      <c r="Z753" s="3"/>
      <c r="AA753" s="3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2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3"/>
      <c r="Z754" s="3"/>
      <c r="AA754" s="3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2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3"/>
      <c r="Z755" s="3"/>
      <c r="AA755" s="3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2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3"/>
      <c r="Z756" s="3"/>
      <c r="AA756" s="3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2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3"/>
      <c r="Z757" s="3"/>
      <c r="AA757" s="3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2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3"/>
      <c r="Z758" s="3"/>
      <c r="AA758" s="3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2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3"/>
      <c r="Z759" s="3"/>
      <c r="AA759" s="3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2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3"/>
      <c r="Z760" s="3"/>
      <c r="AA760" s="3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2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3"/>
      <c r="Z761" s="3"/>
      <c r="AA761" s="3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2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3"/>
      <c r="Z762" s="3"/>
      <c r="AA762" s="3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2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3"/>
      <c r="Z763" s="3"/>
      <c r="AA763" s="3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2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3"/>
      <c r="Z764" s="3"/>
      <c r="AA764" s="3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2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3"/>
      <c r="Z765" s="3"/>
      <c r="AA765" s="3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2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3"/>
      <c r="Z766" s="3"/>
      <c r="AA766" s="3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2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3"/>
      <c r="Z767" s="3"/>
      <c r="AA767" s="3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2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3"/>
      <c r="Z768" s="3"/>
      <c r="AA768" s="3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2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3"/>
      <c r="Z769" s="3"/>
      <c r="AA769" s="3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2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3"/>
      <c r="Z770" s="3"/>
      <c r="AA770" s="3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2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3"/>
      <c r="Z771" s="3"/>
      <c r="AA771" s="3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2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3"/>
      <c r="Z772" s="3"/>
      <c r="AA772" s="3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2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3"/>
      <c r="Z773" s="3"/>
      <c r="AA773" s="3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2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3"/>
      <c r="Z774" s="3"/>
      <c r="AA774" s="3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2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3"/>
      <c r="Z775" s="3"/>
      <c r="AA775" s="3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2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3"/>
      <c r="Z776" s="3"/>
      <c r="AA776" s="3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2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3"/>
      <c r="Z777" s="3"/>
      <c r="AA777" s="3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2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3"/>
      <c r="Z778" s="3"/>
      <c r="AA778" s="3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2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3"/>
      <c r="Z779" s="3"/>
      <c r="AA779" s="3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2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3"/>
      <c r="Z780" s="3"/>
      <c r="AA780" s="3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2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3"/>
      <c r="Z781" s="3"/>
      <c r="AA781" s="3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2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3"/>
      <c r="Z782" s="3"/>
      <c r="AA782" s="3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2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3"/>
      <c r="Z783" s="3"/>
      <c r="AA783" s="3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2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3"/>
      <c r="Z784" s="3"/>
      <c r="AA784" s="3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2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3"/>
      <c r="Z785" s="3"/>
      <c r="AA785" s="3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2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3"/>
      <c r="Z786" s="3"/>
      <c r="AA786" s="3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2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3"/>
      <c r="Z787" s="3"/>
      <c r="AA787" s="3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2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3"/>
      <c r="Z788" s="3"/>
      <c r="AA788" s="3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2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3"/>
      <c r="Z789" s="3"/>
      <c r="AA789" s="3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2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3"/>
      <c r="Z790" s="3"/>
      <c r="AA790" s="3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2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3"/>
      <c r="Z791" s="3"/>
      <c r="AA791" s="3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2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3"/>
      <c r="Z792" s="3"/>
      <c r="AA792" s="3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2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3"/>
      <c r="Z793" s="3"/>
      <c r="AA793" s="3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2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3"/>
      <c r="Z794" s="3"/>
      <c r="AA794" s="3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2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3"/>
      <c r="Z795" s="3"/>
      <c r="AA795" s="3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2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3"/>
      <c r="Z796" s="3"/>
      <c r="AA796" s="3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2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3"/>
      <c r="Z797" s="3"/>
      <c r="AA797" s="3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2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3"/>
      <c r="Z798" s="3"/>
      <c r="AA798" s="3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2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3"/>
      <c r="Z799" s="3"/>
      <c r="AA799" s="3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2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3"/>
      <c r="Z800" s="3"/>
      <c r="AA800" s="3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2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3"/>
      <c r="Z801" s="3"/>
      <c r="AA801" s="3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2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3"/>
      <c r="Z802" s="3"/>
      <c r="AA802" s="3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2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3"/>
      <c r="Z803" s="3"/>
      <c r="AA803" s="3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2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3"/>
      <c r="Z804" s="3"/>
      <c r="AA804" s="3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2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3"/>
      <c r="Z805" s="3"/>
      <c r="AA805" s="3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2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3"/>
      <c r="Z806" s="3"/>
      <c r="AA806" s="3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2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3"/>
      <c r="Z807" s="3"/>
      <c r="AA807" s="3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2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3"/>
      <c r="Z808" s="3"/>
      <c r="AA808" s="3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2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3"/>
      <c r="Z809" s="3"/>
      <c r="AA809" s="3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2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3"/>
      <c r="Z810" s="3"/>
      <c r="AA810" s="3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2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3"/>
      <c r="Z811" s="3"/>
      <c r="AA811" s="3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2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3"/>
      <c r="Z812" s="3"/>
      <c r="AA812" s="3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2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3"/>
      <c r="Z813" s="3"/>
      <c r="AA813" s="3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2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3"/>
      <c r="Z814" s="3"/>
      <c r="AA814" s="3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2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3"/>
      <c r="Z815" s="3"/>
      <c r="AA815" s="3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2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3"/>
      <c r="Z816" s="3"/>
      <c r="AA816" s="3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2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3"/>
      <c r="Z817" s="3"/>
      <c r="AA817" s="3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2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3"/>
      <c r="Z818" s="3"/>
      <c r="AA818" s="3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2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3"/>
      <c r="Z819" s="3"/>
      <c r="AA819" s="3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2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3"/>
      <c r="Z820" s="3"/>
      <c r="AA820" s="3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2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3"/>
      <c r="Z821" s="3"/>
      <c r="AA821" s="3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2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3"/>
      <c r="Z822" s="3"/>
      <c r="AA822" s="3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2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3"/>
      <c r="Z823" s="3"/>
      <c r="AA823" s="3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2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3"/>
      <c r="Z824" s="3"/>
      <c r="AA824" s="3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2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3"/>
      <c r="Z825" s="3"/>
      <c r="AA825" s="3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2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3"/>
      <c r="Z826" s="3"/>
      <c r="AA826" s="3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2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3"/>
      <c r="Z827" s="3"/>
      <c r="AA827" s="3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2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3"/>
      <c r="Z828" s="3"/>
      <c r="AA828" s="3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2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3"/>
      <c r="Z829" s="3"/>
      <c r="AA829" s="3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2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3"/>
      <c r="Z830" s="3"/>
      <c r="AA830" s="3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2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3"/>
      <c r="Z831" s="3"/>
      <c r="AA831" s="3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2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3"/>
      <c r="Z832" s="3"/>
      <c r="AA832" s="3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2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3"/>
      <c r="Z833" s="3"/>
      <c r="AA833" s="3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2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3"/>
      <c r="Z834" s="3"/>
      <c r="AA834" s="3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2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3"/>
      <c r="Z835" s="3"/>
      <c r="AA835" s="3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2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3"/>
      <c r="Z836" s="3"/>
      <c r="AA836" s="3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2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3"/>
      <c r="Z837" s="3"/>
      <c r="AA837" s="3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2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3"/>
      <c r="Z838" s="3"/>
      <c r="AA838" s="3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2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3"/>
      <c r="Z839" s="3"/>
      <c r="AA839" s="3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2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3"/>
      <c r="Z840" s="3"/>
      <c r="AA840" s="3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2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3"/>
      <c r="Z841" s="3"/>
      <c r="AA841" s="3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2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3"/>
      <c r="Z842" s="3"/>
      <c r="AA842" s="3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2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3"/>
      <c r="Z843" s="3"/>
      <c r="AA843" s="3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2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3"/>
      <c r="Z844" s="3"/>
      <c r="AA844" s="3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2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3"/>
      <c r="Z845" s="3"/>
      <c r="AA845" s="3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2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3"/>
      <c r="Z846" s="3"/>
      <c r="AA846" s="3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2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3"/>
      <c r="Z847" s="3"/>
      <c r="AA847" s="3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2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3"/>
      <c r="Z848" s="3"/>
      <c r="AA848" s="3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2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3"/>
      <c r="Z849" s="3"/>
      <c r="AA849" s="3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2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3"/>
      <c r="Z850" s="3"/>
      <c r="AA850" s="3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2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3"/>
      <c r="Z851" s="3"/>
      <c r="AA851" s="3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2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3"/>
      <c r="Z852" s="3"/>
      <c r="AA852" s="3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2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3"/>
      <c r="Z853" s="3"/>
      <c r="AA853" s="3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2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3"/>
      <c r="Z854" s="3"/>
      <c r="AA854" s="3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2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3"/>
      <c r="Z855" s="3"/>
      <c r="AA855" s="3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2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3"/>
      <c r="Z856" s="3"/>
      <c r="AA856" s="3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2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3"/>
      <c r="Z857" s="3"/>
      <c r="AA857" s="3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2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3"/>
      <c r="Z858" s="3"/>
      <c r="AA858" s="3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2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3"/>
      <c r="Z859" s="3"/>
      <c r="AA859" s="3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2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3"/>
      <c r="Z860" s="3"/>
      <c r="AA860" s="3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2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3"/>
      <c r="Z861" s="3"/>
      <c r="AA861" s="3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2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3"/>
      <c r="Z862" s="3"/>
      <c r="AA862" s="3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2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3"/>
      <c r="Z863" s="3"/>
      <c r="AA863" s="3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2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3"/>
      <c r="Z864" s="3"/>
      <c r="AA864" s="3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2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3"/>
      <c r="Z865" s="3"/>
      <c r="AA865" s="3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2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3"/>
      <c r="Z866" s="3"/>
      <c r="AA866" s="3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2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3"/>
      <c r="Z867" s="3"/>
      <c r="AA867" s="3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2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3"/>
      <c r="Z868" s="3"/>
      <c r="AA868" s="3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2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3"/>
      <c r="Z869" s="3"/>
      <c r="AA869" s="3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2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3"/>
      <c r="Z870" s="3"/>
      <c r="AA870" s="3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2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3"/>
      <c r="Z871" s="3"/>
      <c r="AA871" s="3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2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3"/>
      <c r="Z872" s="3"/>
      <c r="AA872" s="3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2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3"/>
      <c r="Z873" s="3"/>
      <c r="AA873" s="3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2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3"/>
      <c r="Z874" s="3"/>
      <c r="AA874" s="3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2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3"/>
      <c r="Z875" s="3"/>
      <c r="AA875" s="3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2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3"/>
      <c r="Z876" s="3"/>
      <c r="AA876" s="3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2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3"/>
      <c r="Z877" s="3"/>
      <c r="AA877" s="3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2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3"/>
      <c r="Z878" s="3"/>
      <c r="AA878" s="3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2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3"/>
      <c r="Z879" s="3"/>
      <c r="AA879" s="3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2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3"/>
      <c r="Z880" s="3"/>
      <c r="AA880" s="3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2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3"/>
      <c r="Z881" s="3"/>
      <c r="AA881" s="3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2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3"/>
      <c r="Z882" s="3"/>
      <c r="AA882" s="3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2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3"/>
      <c r="Z883" s="3"/>
      <c r="AA883" s="3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2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3"/>
      <c r="Z884" s="3"/>
      <c r="AA884" s="3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2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3"/>
      <c r="Z885" s="3"/>
      <c r="AA885" s="3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2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3"/>
      <c r="Z886" s="3"/>
      <c r="AA886" s="3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2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3"/>
      <c r="Z887" s="3"/>
      <c r="AA887" s="3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2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3"/>
      <c r="Z888" s="3"/>
      <c r="AA888" s="3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2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3"/>
      <c r="Z889" s="3"/>
      <c r="AA889" s="3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2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3"/>
      <c r="Z890" s="3"/>
      <c r="AA890" s="3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2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3"/>
      <c r="Z891" s="3"/>
      <c r="AA891" s="3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2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3"/>
      <c r="Z892" s="3"/>
      <c r="AA892" s="3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2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3"/>
      <c r="Z893" s="3"/>
      <c r="AA893" s="3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2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3"/>
      <c r="Z894" s="3"/>
      <c r="AA894" s="3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2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3"/>
      <c r="Z895" s="3"/>
      <c r="AA895" s="3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2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3"/>
      <c r="Z896" s="3"/>
      <c r="AA896" s="3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2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3"/>
      <c r="Z897" s="3"/>
      <c r="AA897" s="3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2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3"/>
      <c r="Z898" s="3"/>
      <c r="AA898" s="3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2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3"/>
      <c r="Z899" s="3"/>
      <c r="AA899" s="3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2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3"/>
      <c r="Z900" s="3"/>
      <c r="AA900" s="3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2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3"/>
      <c r="Z901" s="3"/>
      <c r="AA901" s="3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2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3"/>
      <c r="Z902" s="3"/>
      <c r="AA902" s="3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2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3"/>
      <c r="Z903" s="3"/>
      <c r="AA903" s="3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2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3"/>
      <c r="Z904" s="3"/>
      <c r="AA904" s="3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2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3"/>
      <c r="Z905" s="3"/>
      <c r="AA905" s="3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2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3"/>
      <c r="Z906" s="3"/>
      <c r="AA906" s="3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2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3"/>
      <c r="Z907" s="3"/>
      <c r="AA907" s="3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2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3"/>
      <c r="Z908" s="3"/>
      <c r="AA908" s="3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2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3"/>
      <c r="Z909" s="3"/>
      <c r="AA909" s="3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2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3"/>
      <c r="Z910" s="3"/>
      <c r="AA910" s="3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2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3"/>
      <c r="Z911" s="3"/>
      <c r="AA911" s="3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2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3"/>
      <c r="Z912" s="3"/>
      <c r="AA912" s="3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2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3"/>
      <c r="Z913" s="3"/>
      <c r="AA913" s="3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2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3"/>
      <c r="Z914" s="3"/>
      <c r="AA914" s="3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2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3"/>
      <c r="Z915" s="3"/>
      <c r="AA915" s="3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2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3"/>
      <c r="Z916" s="3"/>
      <c r="AA916" s="3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2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3"/>
      <c r="Z917" s="3"/>
      <c r="AA917" s="3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2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3"/>
      <c r="Z918" s="3"/>
      <c r="AA918" s="3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2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3"/>
      <c r="Z919" s="3"/>
      <c r="AA919" s="3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2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3"/>
      <c r="Z920" s="3"/>
      <c r="AA920" s="3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2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3"/>
      <c r="Z921" s="3"/>
      <c r="AA921" s="3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2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3"/>
      <c r="Z922" s="3"/>
      <c r="AA922" s="3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2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3"/>
      <c r="Z923" s="3"/>
      <c r="AA923" s="3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2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3"/>
      <c r="Z924" s="3"/>
      <c r="AA924" s="3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2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3"/>
      <c r="Z925" s="3"/>
      <c r="AA925" s="3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2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3"/>
      <c r="Z926" s="3"/>
      <c r="AA926" s="3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2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3"/>
      <c r="Z927" s="3"/>
      <c r="AA927" s="3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2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3"/>
      <c r="Z928" s="3"/>
      <c r="AA928" s="3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2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3"/>
      <c r="Z929" s="3"/>
      <c r="AA929" s="3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2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3"/>
      <c r="Z930" s="3"/>
      <c r="AA930" s="3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2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3"/>
      <c r="Z931" s="3"/>
      <c r="AA931" s="3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2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3"/>
      <c r="Z932" s="3"/>
      <c r="AA932" s="3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2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3"/>
      <c r="Z933" s="3"/>
      <c r="AA933" s="3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2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3"/>
      <c r="Z934" s="3"/>
      <c r="AA934" s="3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2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3"/>
      <c r="Z935" s="3"/>
      <c r="AA935" s="3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2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3"/>
      <c r="Z936" s="3"/>
      <c r="AA936" s="3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2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3"/>
      <c r="Z937" s="3"/>
      <c r="AA937" s="3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2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3"/>
      <c r="Z938" s="3"/>
      <c r="AA938" s="3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2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3"/>
      <c r="Z939" s="3"/>
      <c r="AA939" s="3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2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3"/>
      <c r="Z940" s="3"/>
      <c r="AA940" s="3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2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3"/>
      <c r="Z941" s="3"/>
      <c r="AA941" s="3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2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3"/>
      <c r="Z942" s="3"/>
      <c r="AA942" s="3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2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3"/>
      <c r="Z943" s="3"/>
      <c r="AA943" s="3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2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3"/>
      <c r="Z944" s="3"/>
      <c r="AA944" s="3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2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3"/>
      <c r="Z945" s="3"/>
      <c r="AA945" s="3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2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3"/>
      <c r="Z946" s="3"/>
      <c r="AA946" s="3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2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3"/>
      <c r="Z947" s="3"/>
      <c r="AA947" s="3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2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3"/>
      <c r="Z948" s="3"/>
      <c r="AA948" s="3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2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3"/>
      <c r="Z949" s="3"/>
      <c r="AA949" s="3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2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3"/>
      <c r="Z950" s="3"/>
      <c r="AA950" s="3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2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3"/>
      <c r="Z951" s="3"/>
      <c r="AA951" s="3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2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3"/>
      <c r="Z952" s="3"/>
      <c r="AA952" s="3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2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3"/>
      <c r="Z953" s="3"/>
      <c r="AA953" s="3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2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3"/>
      <c r="Z954" s="3"/>
      <c r="AA954" s="3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2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3"/>
      <c r="Z955" s="3"/>
      <c r="AA955" s="3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2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3"/>
      <c r="Z956" s="3"/>
      <c r="AA956" s="3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2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3"/>
      <c r="Z957" s="3"/>
      <c r="AA957" s="3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2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3"/>
      <c r="Z958" s="3"/>
      <c r="AA958" s="3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2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3"/>
      <c r="Z959" s="3"/>
      <c r="AA959" s="3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2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3"/>
      <c r="Z960" s="3"/>
      <c r="AA960" s="3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2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3"/>
      <c r="Z961" s="3"/>
      <c r="AA961" s="3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2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3"/>
      <c r="Z962" s="3"/>
      <c r="AA962" s="3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2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3"/>
      <c r="Z963" s="3"/>
      <c r="AA963" s="3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2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3"/>
      <c r="Z964" s="3"/>
      <c r="AA964" s="3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2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3"/>
      <c r="Z965" s="3"/>
      <c r="AA965" s="3"/>
    </row>
  </sheetData>
  <mergeCells count="146">
    <mergeCell ref="D3:G3"/>
    <mergeCell ref="H3:K3"/>
    <mergeCell ref="U4:V5"/>
    <mergeCell ref="W4:X5"/>
    <mergeCell ref="B2:C5"/>
    <mergeCell ref="D2:K2"/>
    <mergeCell ref="L2:N3"/>
    <mergeCell ref="O2:P3"/>
    <mergeCell ref="Q2:R3"/>
    <mergeCell ref="S2:X3"/>
    <mergeCell ref="Y2:Y3"/>
    <mergeCell ref="Z2:Z3"/>
    <mergeCell ref="AA2:AA3"/>
    <mergeCell ref="D4:E4"/>
    <mergeCell ref="F4:G4"/>
    <mergeCell ref="H4:I4"/>
    <mergeCell ref="J4:K4"/>
    <mergeCell ref="L4:L5"/>
    <mergeCell ref="M4:M5"/>
    <mergeCell ref="N4:N5"/>
    <mergeCell ref="O4:O5"/>
    <mergeCell ref="P4:P5"/>
    <mergeCell ref="Q4:Q5"/>
    <mergeCell ref="F8:G8"/>
    <mergeCell ref="F9:G9"/>
    <mergeCell ref="J13:K13"/>
    <mergeCell ref="J14:K14"/>
    <mergeCell ref="B15:AA15"/>
    <mergeCell ref="B18:AA18"/>
    <mergeCell ref="B19:AA19"/>
    <mergeCell ref="B12:C12"/>
    <mergeCell ref="B13:C13"/>
    <mergeCell ref="B14:C14"/>
    <mergeCell ref="B16:C16"/>
    <mergeCell ref="D16:E16"/>
    <mergeCell ref="B17:C17"/>
    <mergeCell ref="D17:E17"/>
    <mergeCell ref="F20:G20"/>
    <mergeCell ref="F21:G21"/>
    <mergeCell ref="F22:G22"/>
    <mergeCell ref="F11:G11"/>
    <mergeCell ref="F12:G12"/>
    <mergeCell ref="F13:G13"/>
    <mergeCell ref="F14:G14"/>
    <mergeCell ref="H16:I16"/>
    <mergeCell ref="H17:I17"/>
    <mergeCell ref="J20:K20"/>
    <mergeCell ref="S21:X21"/>
    <mergeCell ref="S22:X22"/>
    <mergeCell ref="S23:X23"/>
    <mergeCell ref="B24:AA24"/>
    <mergeCell ref="S25:X25"/>
    <mergeCell ref="S26:X26"/>
    <mergeCell ref="B27:AA27"/>
    <mergeCell ref="J21:K21"/>
    <mergeCell ref="J22:K22"/>
    <mergeCell ref="F23:G23"/>
    <mergeCell ref="J23:K23"/>
    <mergeCell ref="F25:G25"/>
    <mergeCell ref="J25:K25"/>
    <mergeCell ref="H26:I26"/>
    <mergeCell ref="B28:C28"/>
    <mergeCell ref="B29:C29"/>
    <mergeCell ref="F29:G29"/>
    <mergeCell ref="J29:K29"/>
    <mergeCell ref="B30:C30"/>
    <mergeCell ref="J30:K30"/>
    <mergeCell ref="J31:K31"/>
    <mergeCell ref="F33:G33"/>
    <mergeCell ref="F34:G34"/>
    <mergeCell ref="F35:G35"/>
    <mergeCell ref="F38:G38"/>
    <mergeCell ref="F39:G39"/>
    <mergeCell ref="S33:X33"/>
    <mergeCell ref="S34:X34"/>
    <mergeCell ref="S35:X35"/>
    <mergeCell ref="S36:X36"/>
    <mergeCell ref="S37:X37"/>
    <mergeCell ref="S38:X38"/>
    <mergeCell ref="S39:X39"/>
    <mergeCell ref="F28:G28"/>
    <mergeCell ref="J28:K28"/>
    <mergeCell ref="S28:X28"/>
    <mergeCell ref="S29:X29"/>
    <mergeCell ref="S30:X30"/>
    <mergeCell ref="S31:X31"/>
    <mergeCell ref="S32:X32"/>
    <mergeCell ref="B34:C34"/>
    <mergeCell ref="B35:C35"/>
    <mergeCell ref="B36:C36"/>
    <mergeCell ref="D36:E36"/>
    <mergeCell ref="B37:C37"/>
    <mergeCell ref="D37:E37"/>
    <mergeCell ref="B38:C38"/>
    <mergeCell ref="B39:C39"/>
    <mergeCell ref="J35:K35"/>
    <mergeCell ref="H36:I36"/>
    <mergeCell ref="H37:I37"/>
    <mergeCell ref="J38:K38"/>
    <mergeCell ref="J39:K39"/>
    <mergeCell ref="B31:C31"/>
    <mergeCell ref="B32:C32"/>
    <mergeCell ref="F32:G32"/>
    <mergeCell ref="J32:K32"/>
    <mergeCell ref="B33:C33"/>
    <mergeCell ref="J33:K33"/>
    <mergeCell ref="J34:K34"/>
    <mergeCell ref="S8:U8"/>
    <mergeCell ref="V8:X8"/>
    <mergeCell ref="R4:R5"/>
    <mergeCell ref="S4:T5"/>
    <mergeCell ref="B6:AA6"/>
    <mergeCell ref="B7:AA7"/>
    <mergeCell ref="B8:C8"/>
    <mergeCell ref="J8:K8"/>
    <mergeCell ref="V9:X9"/>
    <mergeCell ref="J9:K9"/>
    <mergeCell ref="S9:U9"/>
    <mergeCell ref="S10:U10"/>
    <mergeCell ref="V10:X10"/>
    <mergeCell ref="S11:U11"/>
    <mergeCell ref="V11:X11"/>
    <mergeCell ref="V12:X12"/>
    <mergeCell ref="B9:C9"/>
    <mergeCell ref="B10:C10"/>
    <mergeCell ref="F10:G10"/>
    <mergeCell ref="J10:K10"/>
    <mergeCell ref="B11:C11"/>
    <mergeCell ref="J11:K11"/>
    <mergeCell ref="J12:K12"/>
    <mergeCell ref="S12:U12"/>
    <mergeCell ref="S13:U13"/>
    <mergeCell ref="V13:X13"/>
    <mergeCell ref="S14:X14"/>
    <mergeCell ref="S16:X16"/>
    <mergeCell ref="S17:X17"/>
    <mergeCell ref="S20:X20"/>
    <mergeCell ref="B20:C20"/>
    <mergeCell ref="B21:C21"/>
    <mergeCell ref="B22:C22"/>
    <mergeCell ref="B23:C23"/>
    <mergeCell ref="B25:C25"/>
    <mergeCell ref="B26:C26"/>
    <mergeCell ref="D26:E26"/>
    <mergeCell ref="F30:G30"/>
    <mergeCell ref="F31:G31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4.5"/>
    <col customWidth="1" min="9" max="9" width="10.13"/>
    <col customWidth="1" min="10" max="12" width="5.13"/>
  </cols>
  <sheetData>
    <row r="1">
      <c r="A1" s="511" t="s">
        <v>215</v>
      </c>
      <c r="B1" s="513" t="s">
        <v>216</v>
      </c>
      <c r="C1" s="514" t="s">
        <v>217</v>
      </c>
      <c r="D1" s="515" t="s">
        <v>218</v>
      </c>
      <c r="E1" s="516" t="s">
        <v>219</v>
      </c>
      <c r="F1" s="517" t="s">
        <v>220</v>
      </c>
      <c r="G1" s="518" t="s">
        <v>221</v>
      </c>
      <c r="H1" s="519" t="s">
        <v>16</v>
      </c>
      <c r="I1" s="520" t="s">
        <v>222</v>
      </c>
      <c r="J1" s="521"/>
      <c r="K1" s="521"/>
      <c r="L1" s="522"/>
      <c r="M1" s="520" t="s">
        <v>223</v>
      </c>
      <c r="N1" s="522" t="s">
        <v>224</v>
      </c>
      <c r="O1" s="523" t="s">
        <v>225</v>
      </c>
      <c r="P1" s="524"/>
      <c r="Q1" s="524" t="s">
        <v>226</v>
      </c>
      <c r="R1" s="524" t="s">
        <v>227</v>
      </c>
      <c r="S1" s="526"/>
      <c r="T1" s="527" t="s">
        <v>228</v>
      </c>
      <c r="U1" s="527" t="s">
        <v>230</v>
      </c>
      <c r="V1" s="527"/>
      <c r="W1" s="528"/>
      <c r="X1" s="528"/>
      <c r="Y1" s="528"/>
      <c r="Z1" s="528"/>
      <c r="AA1" s="528"/>
      <c r="AB1" s="529"/>
      <c r="AC1" s="528"/>
      <c r="AD1" s="529"/>
      <c r="AE1" s="528"/>
      <c r="AF1" s="528"/>
      <c r="AG1" s="528"/>
      <c r="AH1" s="528"/>
      <c r="AI1" s="528"/>
      <c r="AJ1" s="529"/>
      <c r="AK1" s="528"/>
    </row>
    <row r="2">
      <c r="A2" s="530" t="s">
        <v>231</v>
      </c>
      <c r="B2" s="531" t="s">
        <v>27</v>
      </c>
      <c r="C2" s="532" t="s">
        <v>28</v>
      </c>
      <c r="D2" s="533" t="s">
        <v>27</v>
      </c>
      <c r="E2" s="532" t="s">
        <v>28</v>
      </c>
      <c r="F2" s="533" t="s">
        <v>27</v>
      </c>
      <c r="G2" s="530" t="s">
        <v>28</v>
      </c>
      <c r="H2" s="534"/>
      <c r="I2" s="535"/>
      <c r="J2" s="536"/>
      <c r="K2" s="536"/>
      <c r="L2" s="537"/>
      <c r="M2" s="535"/>
      <c r="N2" s="537"/>
      <c r="O2" s="538"/>
      <c r="P2" s="539"/>
      <c r="Q2" s="539" t="s">
        <v>233</v>
      </c>
      <c r="R2" s="539"/>
      <c r="S2" s="540">
        <v>1.0</v>
      </c>
      <c r="T2" s="540" t="s">
        <v>234</v>
      </c>
      <c r="U2" s="540"/>
      <c r="V2" s="540">
        <v>1.0</v>
      </c>
      <c r="W2" s="529"/>
      <c r="X2" s="529"/>
      <c r="Y2" s="529"/>
      <c r="Z2" s="529"/>
      <c r="AA2" s="529"/>
      <c r="AB2" s="529"/>
      <c r="AC2" s="529"/>
      <c r="AD2" s="529"/>
      <c r="AE2" s="529"/>
      <c r="AF2" s="529"/>
      <c r="AG2" s="529"/>
      <c r="AH2" s="541"/>
      <c r="AI2" s="529"/>
      <c r="AJ2" s="529"/>
      <c r="AK2" s="529"/>
    </row>
    <row r="3">
      <c r="A3" s="542" t="s">
        <v>235</v>
      </c>
      <c r="B3" s="543" t="s">
        <v>237</v>
      </c>
      <c r="D3" s="544" t="s">
        <v>239</v>
      </c>
      <c r="E3" s="545"/>
      <c r="F3" s="544" t="s">
        <v>240</v>
      </c>
      <c r="G3" s="545"/>
      <c r="H3" s="546"/>
      <c r="I3" s="547"/>
      <c r="J3" s="548"/>
      <c r="K3" s="548"/>
      <c r="L3" s="550"/>
      <c r="M3" s="547"/>
      <c r="N3" s="550"/>
      <c r="O3" s="551"/>
      <c r="P3" s="552"/>
      <c r="Q3" s="552">
        <f t="shared" ref="Q3:Q21" si="1">CEILING(1000/S3,1)</f>
        <v>500</v>
      </c>
      <c r="R3" s="552">
        <f t="shared" ref="R3:R21" si="2">CEILING(1000/(S3-1)-1,1)</f>
        <v>999</v>
      </c>
      <c r="S3" s="558">
        <v>2.0</v>
      </c>
      <c r="T3" s="559">
        <f t="shared" ref="T3:T21" si="3">CEILING(760/V3,1)</f>
        <v>380</v>
      </c>
      <c r="U3" s="559">
        <f t="shared" ref="U3:U21" si="4">CEILING(760/(V3-1)-1,1)</f>
        <v>759</v>
      </c>
      <c r="V3" s="558">
        <v>2.0</v>
      </c>
      <c r="W3" s="529"/>
      <c r="X3" s="529"/>
      <c r="Y3" s="529"/>
      <c r="Z3" s="529"/>
      <c r="AA3" s="529"/>
      <c r="AB3" s="529"/>
      <c r="AC3" s="529"/>
      <c r="AD3" s="529"/>
      <c r="AE3" s="529"/>
      <c r="AF3" s="529"/>
      <c r="AG3" s="529"/>
      <c r="AH3" s="541"/>
      <c r="AI3" s="529"/>
      <c r="AJ3" s="529"/>
      <c r="AK3" s="529"/>
    </row>
    <row r="4">
      <c r="A4" s="564" t="s">
        <v>246</v>
      </c>
      <c r="B4" s="565"/>
      <c r="C4" s="565"/>
      <c r="D4" s="565"/>
      <c r="E4" s="565"/>
      <c r="F4" s="565"/>
      <c r="G4" s="565"/>
      <c r="H4" s="565"/>
      <c r="I4" s="535"/>
      <c r="J4" s="536"/>
      <c r="K4" s="536"/>
      <c r="L4" s="567"/>
      <c r="M4" s="535"/>
      <c r="N4" s="567"/>
      <c r="O4" s="568"/>
      <c r="P4" s="539"/>
      <c r="Q4" s="539">
        <f t="shared" si="1"/>
        <v>334</v>
      </c>
      <c r="R4" s="539">
        <f t="shared" si="2"/>
        <v>499</v>
      </c>
      <c r="S4" s="540">
        <v>3.0</v>
      </c>
      <c r="T4" s="570">
        <f t="shared" si="3"/>
        <v>254</v>
      </c>
      <c r="U4" s="570">
        <f t="shared" si="4"/>
        <v>379</v>
      </c>
      <c r="V4" s="540">
        <v>3.0</v>
      </c>
      <c r="W4" s="528"/>
      <c r="X4" s="528"/>
      <c r="Y4" s="528"/>
      <c r="Z4" s="528"/>
      <c r="AA4" s="528"/>
      <c r="AB4" s="528"/>
      <c r="AC4" s="528"/>
      <c r="AD4" s="528"/>
      <c r="AE4" s="528"/>
      <c r="AF4" s="528"/>
      <c r="AG4" s="528"/>
      <c r="AH4" s="528"/>
      <c r="AI4" s="541"/>
      <c r="AJ4" s="541"/>
      <c r="AK4" s="541"/>
    </row>
    <row r="5">
      <c r="A5" s="575" t="s">
        <v>30</v>
      </c>
      <c r="B5" s="547">
        <f>'RAW Shot to kill'!X5</f>
        <v>1</v>
      </c>
      <c r="C5" s="577">
        <f>'RAW Shot to kill'!Y5</f>
        <v>2</v>
      </c>
      <c r="D5" s="579">
        <f>'RAW Shot to kill'!X4</f>
        <v>1</v>
      </c>
      <c r="E5" s="580">
        <f>'RAW Shot to kill'!Y4</f>
        <v>2</v>
      </c>
      <c r="F5" s="581">
        <f>'RAW Shot to kill'!X3</f>
        <v>1</v>
      </c>
      <c r="G5" s="583">
        <f>'RAW Shot to kill'!Y3</f>
        <v>2</v>
      </c>
      <c r="H5" s="584" t="s">
        <v>251</v>
      </c>
      <c r="I5" s="585" t="s">
        <v>252</v>
      </c>
      <c r="J5" s="586">
        <v>4.35</v>
      </c>
      <c r="K5" s="586">
        <v>5.0</v>
      </c>
      <c r="L5" s="587"/>
      <c r="M5" s="585" t="s">
        <v>253</v>
      </c>
      <c r="N5" s="588" t="s">
        <v>253</v>
      </c>
      <c r="O5" s="589" t="s">
        <v>253</v>
      </c>
      <c r="P5" s="552"/>
      <c r="Q5" s="552">
        <f t="shared" si="1"/>
        <v>250</v>
      </c>
      <c r="R5" s="552">
        <f t="shared" si="2"/>
        <v>333</v>
      </c>
      <c r="S5" s="558">
        <v>4.0</v>
      </c>
      <c r="T5" s="559">
        <f t="shared" si="3"/>
        <v>190</v>
      </c>
      <c r="U5" s="559">
        <f t="shared" si="4"/>
        <v>253</v>
      </c>
      <c r="V5" s="558">
        <v>4.0</v>
      </c>
      <c r="W5" s="528"/>
      <c r="X5" s="528"/>
      <c r="Y5" s="528"/>
      <c r="Z5" s="528"/>
      <c r="AA5" s="528"/>
      <c r="AB5" s="528"/>
      <c r="AC5" s="528"/>
      <c r="AD5" s="528"/>
      <c r="AE5" s="528"/>
      <c r="AF5" s="528"/>
      <c r="AG5" s="528"/>
      <c r="AH5" s="528"/>
      <c r="AI5" s="541"/>
      <c r="AJ5" s="541"/>
      <c r="AK5" s="541"/>
    </row>
    <row r="6">
      <c r="A6" s="591" t="s">
        <v>44</v>
      </c>
      <c r="B6" s="592"/>
      <c r="C6" s="593"/>
      <c r="D6" s="598">
        <f>'RAW Shot to kill'!X7</f>
        <v>1</v>
      </c>
      <c r="E6" s="602">
        <f>'RAW Shot to kill'!Y7</f>
        <v>2</v>
      </c>
      <c r="F6" s="603">
        <f>'RAW Shot to kill'!X6</f>
        <v>1</v>
      </c>
      <c r="G6" s="604">
        <f>'RAW Shot to kill'!Y6</f>
        <v>2</v>
      </c>
      <c r="H6" s="606" t="s">
        <v>260</v>
      </c>
      <c r="I6" s="592" t="s">
        <v>252</v>
      </c>
      <c r="J6" s="607">
        <v>4.0</v>
      </c>
      <c r="K6" s="607">
        <v>4.62</v>
      </c>
      <c r="L6" s="609"/>
      <c r="M6" s="592"/>
      <c r="N6" s="567" t="s">
        <v>261</v>
      </c>
      <c r="O6" s="568" t="s">
        <v>261</v>
      </c>
      <c r="P6" s="539"/>
      <c r="Q6" s="539">
        <f t="shared" si="1"/>
        <v>200</v>
      </c>
      <c r="R6" s="539">
        <f t="shared" si="2"/>
        <v>249</v>
      </c>
      <c r="S6" s="540">
        <v>5.0</v>
      </c>
      <c r="T6" s="570">
        <f t="shared" si="3"/>
        <v>152</v>
      </c>
      <c r="U6" s="570">
        <f t="shared" si="4"/>
        <v>189</v>
      </c>
      <c r="V6" s="540">
        <v>5.0</v>
      </c>
      <c r="W6" s="528"/>
      <c r="X6" s="528"/>
      <c r="Y6" s="528"/>
      <c r="Z6" s="528"/>
      <c r="AA6" s="528"/>
      <c r="AB6" s="528"/>
      <c r="AC6" s="528"/>
      <c r="AD6" s="528"/>
      <c r="AE6" s="528"/>
      <c r="AF6" s="528"/>
      <c r="AG6" s="528"/>
      <c r="AH6" s="528"/>
      <c r="AI6" s="528"/>
      <c r="AJ6" s="528"/>
      <c r="AK6" s="528"/>
    </row>
    <row r="7">
      <c r="A7" s="611" t="s">
        <v>48</v>
      </c>
      <c r="B7" s="585"/>
      <c r="C7" s="612"/>
      <c r="D7" s="613">
        <f>'RAW Shot to kill'!X9</f>
        <v>1</v>
      </c>
      <c r="E7" s="614">
        <f>'RAW Shot to kill'!Y9</f>
        <v>2</v>
      </c>
      <c r="F7" s="615">
        <f>'RAW Shot to kill'!X8</f>
        <v>1</v>
      </c>
      <c r="G7" s="616">
        <f>'RAW Shot to kill'!Y8</f>
        <v>2</v>
      </c>
      <c r="H7" s="617" t="s">
        <v>264</v>
      </c>
      <c r="I7" s="618">
        <v>43378.0</v>
      </c>
      <c r="J7" s="586">
        <v>4.0</v>
      </c>
      <c r="K7" s="586">
        <v>4.62</v>
      </c>
      <c r="L7" s="587"/>
      <c r="M7" s="585"/>
      <c r="N7" s="588">
        <v>2.15</v>
      </c>
      <c r="O7" s="589">
        <v>2.15</v>
      </c>
      <c r="P7" s="552"/>
      <c r="Q7" s="552">
        <f t="shared" si="1"/>
        <v>167</v>
      </c>
      <c r="R7" s="552">
        <f t="shared" si="2"/>
        <v>199</v>
      </c>
      <c r="S7" s="558">
        <v>6.0</v>
      </c>
      <c r="T7" s="559">
        <f t="shared" si="3"/>
        <v>127</v>
      </c>
      <c r="U7" s="559">
        <f t="shared" si="4"/>
        <v>151</v>
      </c>
      <c r="V7" s="558">
        <v>6.0</v>
      </c>
      <c r="W7" s="528"/>
      <c r="X7" s="528"/>
      <c r="Y7" s="528"/>
      <c r="Z7" s="528"/>
      <c r="AA7" s="528"/>
      <c r="AB7" s="528"/>
      <c r="AC7" s="528"/>
      <c r="AD7" s="528"/>
      <c r="AE7" s="528"/>
      <c r="AF7" s="528"/>
      <c r="AG7" s="528"/>
      <c r="AH7" s="528"/>
      <c r="AI7" s="541"/>
      <c r="AJ7" s="541"/>
      <c r="AK7" s="541"/>
    </row>
    <row r="8">
      <c r="A8" s="591" t="s">
        <v>51</v>
      </c>
      <c r="B8" s="592"/>
      <c r="C8" s="593"/>
      <c r="D8" s="598">
        <f>'RAW Shot to kill'!X11</f>
        <v>1</v>
      </c>
      <c r="E8" s="602">
        <f>'RAW Shot to kill'!Y11</f>
        <v>2</v>
      </c>
      <c r="F8" s="603">
        <f>'RAW Shot to kill'!X10</f>
        <v>1</v>
      </c>
      <c r="G8" s="604">
        <f>'RAW Shot to kill'!Y10</f>
        <v>2</v>
      </c>
      <c r="H8" s="606" t="s">
        <v>266</v>
      </c>
      <c r="I8" s="619">
        <v>43378.0</v>
      </c>
      <c r="J8" s="607">
        <v>3.95</v>
      </c>
      <c r="K8" s="607">
        <v>4.55</v>
      </c>
      <c r="L8" s="609"/>
      <c r="M8" s="592"/>
      <c r="N8" s="567">
        <v>2.22</v>
      </c>
      <c r="O8" s="568">
        <v>2.22</v>
      </c>
      <c r="P8" s="539"/>
      <c r="Q8" s="539">
        <f t="shared" si="1"/>
        <v>143</v>
      </c>
      <c r="R8" s="539">
        <f t="shared" si="2"/>
        <v>166</v>
      </c>
      <c r="S8" s="540">
        <v>7.0</v>
      </c>
      <c r="T8" s="570">
        <f t="shared" si="3"/>
        <v>109</v>
      </c>
      <c r="U8" s="570">
        <f t="shared" si="4"/>
        <v>126</v>
      </c>
      <c r="V8" s="540">
        <v>7.0</v>
      </c>
      <c r="W8" s="528"/>
      <c r="X8" s="528"/>
      <c r="Y8" s="528"/>
      <c r="Z8" s="528"/>
      <c r="AA8" s="528"/>
      <c r="AB8" s="528"/>
      <c r="AC8" s="528"/>
      <c r="AD8" s="528"/>
      <c r="AE8" s="528"/>
      <c r="AF8" s="528"/>
      <c r="AG8" s="528"/>
      <c r="AH8" s="528"/>
      <c r="AI8" s="528"/>
      <c r="AJ8" s="528"/>
      <c r="AK8" s="528"/>
    </row>
    <row r="9">
      <c r="A9" s="611" t="s">
        <v>53</v>
      </c>
      <c r="B9" s="585"/>
      <c r="C9" s="612"/>
      <c r="D9" s="613">
        <f>'RAW Shot to kill'!X13</f>
        <v>1</v>
      </c>
      <c r="E9" s="614">
        <f>'RAW Shot to kill'!Y13</f>
        <v>2</v>
      </c>
      <c r="F9" s="615">
        <f>'RAW Shot to kill'!X12</f>
        <v>1</v>
      </c>
      <c r="G9" s="616">
        <f>'RAW Shot to kill'!Y12</f>
        <v>2</v>
      </c>
      <c r="H9" s="617" t="s">
        <v>264</v>
      </c>
      <c r="I9" s="618">
        <v>43378.0</v>
      </c>
      <c r="J9" s="586">
        <v>4.35</v>
      </c>
      <c r="K9" s="586">
        <v>5.0</v>
      </c>
      <c r="L9" s="587"/>
      <c r="M9" s="585"/>
      <c r="N9" s="588">
        <v>2.15</v>
      </c>
      <c r="O9" s="589">
        <v>2.15</v>
      </c>
      <c r="P9" s="552"/>
      <c r="Q9" s="552">
        <f t="shared" si="1"/>
        <v>125</v>
      </c>
      <c r="R9" s="552">
        <f t="shared" si="2"/>
        <v>142</v>
      </c>
      <c r="S9" s="558">
        <v>8.0</v>
      </c>
      <c r="T9" s="559">
        <f t="shared" si="3"/>
        <v>95</v>
      </c>
      <c r="U9" s="559">
        <f t="shared" si="4"/>
        <v>108</v>
      </c>
      <c r="V9" s="558">
        <v>8.0</v>
      </c>
      <c r="W9" s="528"/>
      <c r="X9" s="528"/>
      <c r="Y9" s="528"/>
      <c r="Z9" s="528"/>
      <c r="AA9" s="528"/>
      <c r="AB9" s="528"/>
      <c r="AC9" s="528"/>
      <c r="AD9" s="528"/>
      <c r="AE9" s="528"/>
      <c r="AF9" s="528"/>
      <c r="AG9" s="528"/>
      <c r="AH9" s="528"/>
      <c r="AI9" s="528"/>
      <c r="AJ9" s="528"/>
      <c r="AK9" s="528"/>
    </row>
    <row r="10">
      <c r="A10" s="591" t="s">
        <v>55</v>
      </c>
      <c r="B10" s="592">
        <f>'RAW Shot to kill'!X16</f>
        <v>1</v>
      </c>
      <c r="C10" s="593">
        <f>'RAW Shot to kill'!Y16</f>
        <v>2</v>
      </c>
      <c r="D10" s="598">
        <f>'RAW Shot to kill'!X15</f>
        <v>1</v>
      </c>
      <c r="E10" s="602">
        <f>'RAW Shot to kill'!Y15</f>
        <v>2</v>
      </c>
      <c r="F10" s="603">
        <f>'RAW Shot to kill'!X14</f>
        <v>1</v>
      </c>
      <c r="G10" s="604">
        <f>'RAW Shot to kill'!Y14</f>
        <v>1</v>
      </c>
      <c r="H10" s="606" t="s">
        <v>271</v>
      </c>
      <c r="I10" s="619">
        <v>43378.0</v>
      </c>
      <c r="J10" s="607">
        <v>4.35</v>
      </c>
      <c r="K10" s="607">
        <v>5.0</v>
      </c>
      <c r="L10" s="609"/>
      <c r="M10" s="592">
        <v>2.3</v>
      </c>
      <c r="N10" s="567">
        <v>2.3</v>
      </c>
      <c r="O10" s="568" t="s">
        <v>43</v>
      </c>
      <c r="P10" s="539"/>
      <c r="Q10" s="539">
        <f t="shared" si="1"/>
        <v>112</v>
      </c>
      <c r="R10" s="539">
        <f t="shared" si="2"/>
        <v>124</v>
      </c>
      <c r="S10" s="540">
        <v>9.0</v>
      </c>
      <c r="T10" s="570">
        <f t="shared" si="3"/>
        <v>85</v>
      </c>
      <c r="U10" s="570">
        <f t="shared" si="4"/>
        <v>94</v>
      </c>
      <c r="V10" s="540">
        <v>9.0</v>
      </c>
      <c r="W10" s="528"/>
      <c r="X10" s="528"/>
      <c r="Y10" s="528"/>
      <c r="Z10" s="528"/>
      <c r="AA10" s="528"/>
      <c r="AB10" s="528"/>
      <c r="AC10" s="528"/>
      <c r="AD10" s="528"/>
      <c r="AE10" s="528"/>
      <c r="AF10" s="528"/>
      <c r="AG10" s="528"/>
      <c r="AH10" s="528"/>
      <c r="AI10" s="541"/>
      <c r="AJ10" s="541"/>
      <c r="AK10" s="541"/>
    </row>
    <row r="11">
      <c r="A11" s="611" t="s">
        <v>57</v>
      </c>
      <c r="B11" s="585"/>
      <c r="C11" s="612"/>
      <c r="D11" s="613">
        <f>'RAW Shot to kill'!X18</f>
        <v>1</v>
      </c>
      <c r="E11" s="614">
        <f>'RAW Shot to kill'!Y18</f>
        <v>1</v>
      </c>
      <c r="F11" s="615">
        <f>'RAW Shot to kill'!X17</f>
        <v>1</v>
      </c>
      <c r="G11" s="616">
        <f>'RAW Shot to kill'!Y17</f>
        <v>1</v>
      </c>
      <c r="H11" s="617" t="s">
        <v>272</v>
      </c>
      <c r="I11" s="585">
        <v>5.0</v>
      </c>
      <c r="J11" s="586">
        <v>3.95</v>
      </c>
      <c r="K11" s="586"/>
      <c r="L11" s="587"/>
      <c r="M11" s="585"/>
      <c r="N11" s="588" t="s">
        <v>43</v>
      </c>
      <c r="O11" s="589" t="s">
        <v>43</v>
      </c>
      <c r="P11" s="552"/>
      <c r="Q11" s="552">
        <f t="shared" si="1"/>
        <v>100</v>
      </c>
      <c r="R11" s="552">
        <f t="shared" si="2"/>
        <v>111</v>
      </c>
      <c r="S11" s="558">
        <v>10.0</v>
      </c>
      <c r="T11" s="559">
        <f t="shared" si="3"/>
        <v>76</v>
      </c>
      <c r="U11" s="559">
        <f t="shared" si="4"/>
        <v>84</v>
      </c>
      <c r="V11" s="558">
        <v>10.0</v>
      </c>
      <c r="W11" s="528"/>
      <c r="X11" s="528"/>
      <c r="Y11" s="528"/>
      <c r="Z11" s="528"/>
      <c r="AA11" s="528"/>
      <c r="AB11" s="528"/>
      <c r="AC11" s="528"/>
      <c r="AD11" s="528"/>
      <c r="AE11" s="528"/>
      <c r="AF11" s="528"/>
      <c r="AG11" s="528"/>
      <c r="AH11" s="541"/>
      <c r="AI11" s="541"/>
      <c r="AJ11" s="541"/>
      <c r="AK11" s="541"/>
    </row>
    <row r="12">
      <c r="A12" s="591" t="s">
        <v>273</v>
      </c>
      <c r="B12" s="592"/>
      <c r="C12" s="593"/>
      <c r="D12" s="598">
        <f>'RAW Shot to kill'!X20</f>
        <v>1</v>
      </c>
      <c r="E12" s="602">
        <f>'RAW Shot to kill'!Y20</f>
        <v>1</v>
      </c>
      <c r="F12" s="603">
        <f>'RAW Shot to kill'!X19</f>
        <v>1</v>
      </c>
      <c r="G12" s="604">
        <f>'RAW Shot to kill'!Y19</f>
        <v>1</v>
      </c>
      <c r="H12" s="626"/>
      <c r="I12" s="592">
        <v>5.0</v>
      </c>
      <c r="J12" s="607">
        <v>3.95</v>
      </c>
      <c r="K12" s="607"/>
      <c r="L12" s="609"/>
      <c r="M12" s="592"/>
      <c r="N12" s="567" t="s">
        <v>43</v>
      </c>
      <c r="O12" s="568" t="s">
        <v>43</v>
      </c>
      <c r="P12" s="539"/>
      <c r="Q12" s="539">
        <f t="shared" si="1"/>
        <v>91</v>
      </c>
      <c r="R12" s="539">
        <f t="shared" si="2"/>
        <v>99</v>
      </c>
      <c r="S12" s="540">
        <v>11.0</v>
      </c>
      <c r="T12" s="570">
        <f t="shared" si="3"/>
        <v>70</v>
      </c>
      <c r="U12" s="570">
        <f t="shared" si="4"/>
        <v>75</v>
      </c>
      <c r="V12" s="540">
        <v>11.0</v>
      </c>
      <c r="W12" s="528"/>
      <c r="X12" s="528"/>
      <c r="Y12" s="528"/>
      <c r="Z12" s="528"/>
      <c r="AA12" s="528"/>
      <c r="AB12" s="528"/>
      <c r="AC12" s="528"/>
      <c r="AD12" s="528"/>
      <c r="AE12" s="528"/>
      <c r="AF12" s="528"/>
      <c r="AG12" s="528"/>
      <c r="AH12" s="528"/>
      <c r="AI12" s="528"/>
      <c r="AJ12" s="528"/>
      <c r="AK12" s="528"/>
    </row>
    <row r="13">
      <c r="A13" s="611" t="s">
        <v>136</v>
      </c>
      <c r="B13" s="585"/>
      <c r="C13" s="612"/>
      <c r="D13" s="613">
        <f>'RAW Shot to kill'!X21</f>
        <v>1</v>
      </c>
      <c r="E13" s="614">
        <f>'RAW Shot to kill'!Y21</f>
        <v>2</v>
      </c>
      <c r="F13" s="615"/>
      <c r="G13" s="616"/>
      <c r="H13" s="617" t="s">
        <v>275</v>
      </c>
      <c r="I13" s="585">
        <v>15.0</v>
      </c>
      <c r="J13" s="586">
        <f>1.5+1.42</f>
        <v>2.92</v>
      </c>
      <c r="K13" s="586">
        <f>13.87+1.42</f>
        <v>15.29</v>
      </c>
      <c r="L13" s="587"/>
      <c r="M13" s="585"/>
      <c r="N13" s="588">
        <v>1.42</v>
      </c>
      <c r="O13" s="589"/>
      <c r="P13" s="552"/>
      <c r="Q13" s="552">
        <f t="shared" si="1"/>
        <v>84</v>
      </c>
      <c r="R13" s="552">
        <f t="shared" si="2"/>
        <v>90</v>
      </c>
      <c r="S13" s="558">
        <v>12.0</v>
      </c>
      <c r="T13" s="559">
        <f t="shared" si="3"/>
        <v>64</v>
      </c>
      <c r="U13" s="559">
        <f t="shared" si="4"/>
        <v>69</v>
      </c>
      <c r="V13" s="558">
        <v>12.0</v>
      </c>
      <c r="W13" s="528"/>
      <c r="X13" s="528"/>
      <c r="Y13" s="528"/>
      <c r="Z13" s="528"/>
      <c r="AA13" s="528"/>
      <c r="AB13" s="528"/>
      <c r="AC13" s="528"/>
      <c r="AD13" s="528"/>
      <c r="AE13" s="528"/>
      <c r="AF13" s="528"/>
      <c r="AG13" s="528"/>
      <c r="AH13" s="528"/>
      <c r="AI13" s="529"/>
      <c r="AJ13" s="541"/>
      <c r="AK13" s="541"/>
    </row>
    <row r="14">
      <c r="A14" s="591" t="s">
        <v>114</v>
      </c>
      <c r="B14" s="592"/>
      <c r="C14" s="593"/>
      <c r="D14" s="598">
        <f>'RAW Shot to kill'!X22</f>
        <v>1</v>
      </c>
      <c r="E14" s="602">
        <f>'RAW Shot to kill'!Y22</f>
        <v>1</v>
      </c>
      <c r="F14" s="603"/>
      <c r="G14" s="604"/>
      <c r="H14" s="606" t="s">
        <v>278</v>
      </c>
      <c r="I14" s="627" t="s">
        <v>32</v>
      </c>
      <c r="J14" s="628"/>
      <c r="K14" s="628"/>
      <c r="L14" s="629"/>
      <c r="M14" s="592"/>
      <c r="N14" s="567" t="s">
        <v>43</v>
      </c>
      <c r="O14" s="568"/>
      <c r="P14" s="539"/>
      <c r="Q14" s="539">
        <f t="shared" si="1"/>
        <v>77</v>
      </c>
      <c r="R14" s="539">
        <f t="shared" si="2"/>
        <v>83</v>
      </c>
      <c r="S14" s="540">
        <v>13.0</v>
      </c>
      <c r="T14" s="570">
        <f t="shared" si="3"/>
        <v>59</v>
      </c>
      <c r="U14" s="570">
        <f t="shared" si="4"/>
        <v>63</v>
      </c>
      <c r="V14" s="540">
        <v>13.0</v>
      </c>
      <c r="W14" s="528"/>
      <c r="X14" s="528"/>
      <c r="Y14" s="528"/>
      <c r="Z14" s="528"/>
      <c r="AA14" s="528"/>
      <c r="AB14" s="528"/>
      <c r="AC14" s="528"/>
      <c r="AD14" s="528"/>
      <c r="AE14" s="528"/>
      <c r="AF14" s="528"/>
      <c r="AG14" s="528"/>
      <c r="AH14" s="528"/>
      <c r="AI14" s="529"/>
      <c r="AJ14" s="541"/>
      <c r="AK14" s="541"/>
    </row>
    <row r="15">
      <c r="A15" s="632"/>
      <c r="B15" s="633"/>
      <c r="C15" s="634"/>
      <c r="D15" s="635"/>
      <c r="E15" s="636"/>
      <c r="F15" s="637"/>
      <c r="G15" s="638"/>
      <c r="H15" s="639"/>
      <c r="I15" s="585"/>
      <c r="J15" s="586"/>
      <c r="K15" s="586"/>
      <c r="L15" s="587"/>
      <c r="M15" s="585"/>
      <c r="N15" s="588"/>
      <c r="O15" s="589"/>
      <c r="P15" s="552"/>
      <c r="Q15" s="552">
        <f t="shared" si="1"/>
        <v>72</v>
      </c>
      <c r="R15" s="552">
        <f t="shared" si="2"/>
        <v>76</v>
      </c>
      <c r="S15" s="558">
        <v>14.0</v>
      </c>
      <c r="T15" s="559">
        <f t="shared" si="3"/>
        <v>55</v>
      </c>
      <c r="U15" s="559">
        <f t="shared" si="4"/>
        <v>58</v>
      </c>
      <c r="V15" s="558">
        <v>14.0</v>
      </c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41"/>
      <c r="AI15" s="541"/>
      <c r="AJ15" s="541"/>
      <c r="AK15" s="541"/>
    </row>
    <row r="16">
      <c r="A16" s="564" t="s">
        <v>282</v>
      </c>
      <c r="B16" s="565"/>
      <c r="C16" s="565"/>
      <c r="D16" s="565"/>
      <c r="E16" s="565"/>
      <c r="F16" s="565"/>
      <c r="G16" s="565"/>
      <c r="H16" s="565"/>
      <c r="I16" s="592"/>
      <c r="J16" s="607"/>
      <c r="K16" s="607"/>
      <c r="L16" s="609"/>
      <c r="M16" s="592"/>
      <c r="N16" s="567"/>
      <c r="O16" s="568"/>
      <c r="P16" s="539"/>
      <c r="Q16" s="539">
        <f t="shared" si="1"/>
        <v>67</v>
      </c>
      <c r="R16" s="539">
        <f t="shared" si="2"/>
        <v>71</v>
      </c>
      <c r="S16" s="540">
        <v>15.0</v>
      </c>
      <c r="T16" s="570">
        <f t="shared" si="3"/>
        <v>51</v>
      </c>
      <c r="U16" s="570">
        <f t="shared" si="4"/>
        <v>54</v>
      </c>
      <c r="V16" s="540">
        <v>15.0</v>
      </c>
      <c r="W16" s="528"/>
      <c r="X16" s="528"/>
      <c r="Y16" s="528"/>
      <c r="Z16" s="528"/>
      <c r="AA16" s="528"/>
      <c r="AB16" s="528"/>
      <c r="AC16" s="528"/>
      <c r="AD16" s="528"/>
      <c r="AE16" s="528"/>
      <c r="AF16" s="528"/>
      <c r="AG16" s="528"/>
      <c r="AH16" s="528"/>
      <c r="AI16" s="528"/>
      <c r="AJ16" s="528"/>
      <c r="AK16" s="528"/>
    </row>
    <row r="17">
      <c r="A17" s="575" t="s">
        <v>60</v>
      </c>
      <c r="B17" s="547">
        <v>2.0</v>
      </c>
      <c r="C17" s="577">
        <v>4.0</v>
      </c>
      <c r="D17" s="579">
        <v>2.0</v>
      </c>
      <c r="E17" s="580">
        <v>4.0</v>
      </c>
      <c r="F17" s="581"/>
      <c r="G17" s="583"/>
      <c r="H17" s="642"/>
      <c r="I17" s="585" t="s">
        <v>252</v>
      </c>
      <c r="J17" s="586">
        <v>1.97</v>
      </c>
      <c r="K17" s="586">
        <v>2.27</v>
      </c>
      <c r="L17" s="587"/>
      <c r="M17" s="585"/>
      <c r="N17" s="588"/>
      <c r="O17" s="589"/>
      <c r="P17" s="552"/>
      <c r="Q17" s="552">
        <f t="shared" si="1"/>
        <v>63</v>
      </c>
      <c r="R17" s="552">
        <f t="shared" si="2"/>
        <v>66</v>
      </c>
      <c r="S17" s="558">
        <v>16.0</v>
      </c>
      <c r="T17" s="559">
        <f t="shared" si="3"/>
        <v>48</v>
      </c>
      <c r="U17" s="559">
        <f t="shared" si="4"/>
        <v>50</v>
      </c>
      <c r="V17" s="558">
        <v>16.0</v>
      </c>
      <c r="W17" s="528"/>
      <c r="X17" s="528"/>
      <c r="Y17" s="528"/>
      <c r="Z17" s="528"/>
      <c r="AA17" s="528"/>
      <c r="AB17" s="528"/>
      <c r="AC17" s="528"/>
      <c r="AD17" s="528"/>
      <c r="AE17" s="528"/>
      <c r="AF17" s="528"/>
      <c r="AG17" s="528"/>
      <c r="AH17" s="528"/>
      <c r="AI17" s="541"/>
      <c r="AJ17" s="541"/>
      <c r="AK17" s="541"/>
    </row>
    <row r="18">
      <c r="A18" s="591" t="s">
        <v>62</v>
      </c>
      <c r="B18" s="592">
        <v>2.0</v>
      </c>
      <c r="C18" s="593">
        <v>5.0</v>
      </c>
      <c r="D18" s="598">
        <v>2.0</v>
      </c>
      <c r="E18" s="602">
        <v>4.0</v>
      </c>
      <c r="F18" s="603"/>
      <c r="G18" s="645"/>
      <c r="H18" s="626"/>
      <c r="I18" s="592" t="s">
        <v>252</v>
      </c>
      <c r="J18" s="607">
        <v>2.55</v>
      </c>
      <c r="K18" s="607">
        <v>2.93</v>
      </c>
      <c r="L18" s="609"/>
      <c r="M18" s="592"/>
      <c r="N18" s="567"/>
      <c r="O18" s="568"/>
      <c r="P18" s="539"/>
      <c r="Q18" s="539">
        <f t="shared" si="1"/>
        <v>59</v>
      </c>
      <c r="R18" s="539">
        <f t="shared" si="2"/>
        <v>62</v>
      </c>
      <c r="S18" s="540">
        <v>17.0</v>
      </c>
      <c r="T18" s="570">
        <f t="shared" si="3"/>
        <v>45</v>
      </c>
      <c r="U18" s="570">
        <f t="shared" si="4"/>
        <v>47</v>
      </c>
      <c r="V18" s="540">
        <v>17.0</v>
      </c>
      <c r="W18" s="528"/>
      <c r="X18" s="528"/>
      <c r="Y18" s="528"/>
      <c r="Z18" s="528"/>
      <c r="AA18" s="528"/>
      <c r="AB18" s="528"/>
      <c r="AC18" s="528"/>
      <c r="AD18" s="528"/>
      <c r="AE18" s="528"/>
      <c r="AF18" s="528"/>
      <c r="AG18" s="528"/>
      <c r="AH18" s="528"/>
      <c r="AI18" s="541"/>
      <c r="AJ18" s="541"/>
      <c r="AK18" s="541"/>
    </row>
    <row r="19">
      <c r="A19" s="611" t="s">
        <v>63</v>
      </c>
      <c r="B19" s="646"/>
      <c r="C19" s="612"/>
      <c r="D19" s="647">
        <v>43193.0</v>
      </c>
      <c r="E19" s="648">
        <v>43350.0</v>
      </c>
      <c r="F19" s="649">
        <v>43193.0</v>
      </c>
      <c r="G19" s="650">
        <v>43350.0</v>
      </c>
      <c r="H19" s="617">
        <v>705.0</v>
      </c>
      <c r="I19" s="585" t="s">
        <v>252</v>
      </c>
      <c r="J19" s="586">
        <v>2.45</v>
      </c>
      <c r="K19" s="586">
        <v>2.83</v>
      </c>
      <c r="L19" s="587"/>
      <c r="M19" s="585"/>
      <c r="N19" s="588">
        <v>0.34</v>
      </c>
      <c r="O19" s="589">
        <v>0.255</v>
      </c>
      <c r="P19" s="552"/>
      <c r="Q19" s="552">
        <f t="shared" si="1"/>
        <v>56</v>
      </c>
      <c r="R19" s="552">
        <f t="shared" si="2"/>
        <v>58</v>
      </c>
      <c r="S19" s="558">
        <v>18.0</v>
      </c>
      <c r="T19" s="559">
        <f t="shared" si="3"/>
        <v>43</v>
      </c>
      <c r="U19" s="559">
        <f t="shared" si="4"/>
        <v>44</v>
      </c>
      <c r="V19" s="558">
        <v>18.0</v>
      </c>
      <c r="W19" s="528"/>
      <c r="X19" s="528"/>
      <c r="Y19" s="528"/>
      <c r="Z19" s="528"/>
      <c r="AA19" s="528"/>
      <c r="AB19" s="528"/>
      <c r="AC19" s="528"/>
      <c r="AD19" s="528"/>
      <c r="AE19" s="528"/>
      <c r="AF19" s="528"/>
      <c r="AG19" s="528"/>
      <c r="AH19" s="528"/>
      <c r="AI19" s="528"/>
      <c r="AJ19" s="528"/>
      <c r="AK19" s="528"/>
    </row>
    <row r="20">
      <c r="A20" s="591" t="s">
        <v>65</v>
      </c>
      <c r="B20" s="651"/>
      <c r="C20" s="593"/>
      <c r="D20" s="598">
        <v>4.0</v>
      </c>
      <c r="E20" s="602">
        <v>10.0</v>
      </c>
      <c r="F20" s="603">
        <v>4.0</v>
      </c>
      <c r="G20" s="604">
        <v>9.0</v>
      </c>
      <c r="H20" s="626"/>
      <c r="I20" s="592" t="s">
        <v>252</v>
      </c>
      <c r="J20" s="607">
        <v>1.97</v>
      </c>
      <c r="K20" s="607">
        <v>2.27</v>
      </c>
      <c r="L20" s="609"/>
      <c r="M20" s="592"/>
      <c r="N20" s="567"/>
      <c r="O20" s="568"/>
      <c r="P20" s="539"/>
      <c r="Q20" s="539">
        <f t="shared" si="1"/>
        <v>53</v>
      </c>
      <c r="R20" s="539">
        <f t="shared" si="2"/>
        <v>55</v>
      </c>
      <c r="S20" s="540">
        <v>19.0</v>
      </c>
      <c r="T20" s="570">
        <f t="shared" si="3"/>
        <v>40</v>
      </c>
      <c r="U20" s="570">
        <f t="shared" si="4"/>
        <v>42</v>
      </c>
      <c r="V20" s="540">
        <v>19.0</v>
      </c>
      <c r="W20" s="528"/>
      <c r="X20" s="528"/>
      <c r="Y20" s="528"/>
      <c r="Z20" s="528"/>
      <c r="AA20" s="528"/>
      <c r="AB20" s="528"/>
      <c r="AC20" s="528"/>
      <c r="AD20" s="528"/>
      <c r="AE20" s="528"/>
      <c r="AF20" s="528"/>
      <c r="AG20" s="528"/>
      <c r="AH20" s="528"/>
      <c r="AI20" s="529"/>
      <c r="AJ20" s="541"/>
      <c r="AK20" s="541"/>
    </row>
    <row r="21">
      <c r="A21" s="652" t="s">
        <v>68</v>
      </c>
      <c r="B21" s="653"/>
      <c r="C21" s="634"/>
      <c r="D21" s="635">
        <v>4.0</v>
      </c>
      <c r="E21" s="636">
        <v>10.0</v>
      </c>
      <c r="F21" s="637">
        <v>4.0</v>
      </c>
      <c r="G21" s="638">
        <v>9.0</v>
      </c>
      <c r="H21" s="654"/>
      <c r="I21" s="585" t="s">
        <v>252</v>
      </c>
      <c r="J21" s="586">
        <v>1.97</v>
      </c>
      <c r="K21" s="586">
        <v>2.27</v>
      </c>
      <c r="L21" s="587"/>
      <c r="M21" s="585"/>
      <c r="N21" s="588"/>
      <c r="O21" s="589"/>
      <c r="P21" s="552"/>
      <c r="Q21" s="552">
        <f t="shared" si="1"/>
        <v>50</v>
      </c>
      <c r="R21" s="552">
        <f t="shared" si="2"/>
        <v>52</v>
      </c>
      <c r="S21" s="558">
        <v>20.0</v>
      </c>
      <c r="T21" s="559">
        <f t="shared" si="3"/>
        <v>38</v>
      </c>
      <c r="U21" s="559">
        <f t="shared" si="4"/>
        <v>39</v>
      </c>
      <c r="V21" s="558">
        <v>20.0</v>
      </c>
      <c r="W21" s="528"/>
      <c r="X21" s="528"/>
      <c r="Y21" s="528"/>
      <c r="Z21" s="528"/>
      <c r="AA21" s="528"/>
      <c r="AB21" s="528"/>
      <c r="AC21" s="528"/>
      <c r="AD21" s="528"/>
      <c r="AE21" s="528"/>
      <c r="AF21" s="528"/>
      <c r="AG21" s="528"/>
      <c r="AH21" s="528"/>
      <c r="AI21" s="541"/>
      <c r="AJ21" s="528"/>
      <c r="AK21" s="528"/>
    </row>
    <row r="22">
      <c r="A22" s="564" t="s">
        <v>2</v>
      </c>
      <c r="B22" s="565"/>
      <c r="C22" s="565"/>
      <c r="D22" s="565"/>
      <c r="E22" s="565"/>
      <c r="F22" s="565"/>
      <c r="G22" s="565"/>
      <c r="H22" s="565"/>
      <c r="I22" s="592"/>
      <c r="J22" s="607"/>
      <c r="K22" s="607"/>
      <c r="L22" s="609"/>
      <c r="M22" s="592"/>
      <c r="N22" s="567"/>
      <c r="O22" s="568"/>
      <c r="P22" s="539"/>
      <c r="Q22" s="539"/>
      <c r="R22" s="655"/>
      <c r="S22" s="570"/>
      <c r="T22" s="570"/>
      <c r="U22" s="570"/>
      <c r="V22" s="656"/>
      <c r="W22" s="528"/>
      <c r="X22" s="528"/>
      <c r="Y22" s="528"/>
      <c r="Z22" s="528"/>
      <c r="AA22" s="528"/>
      <c r="AB22" s="528"/>
      <c r="AC22" s="528"/>
      <c r="AD22" s="528"/>
      <c r="AE22" s="528"/>
      <c r="AF22" s="528"/>
      <c r="AG22" s="528"/>
      <c r="AH22" s="528"/>
      <c r="AI22" s="528"/>
      <c r="AJ22" s="528"/>
      <c r="AK22" s="528"/>
    </row>
    <row r="23">
      <c r="A23" s="575" t="s">
        <v>38</v>
      </c>
      <c r="B23" s="657">
        <v>43193.0</v>
      </c>
      <c r="C23" s="658">
        <v>43350.0</v>
      </c>
      <c r="D23" s="659">
        <v>43193.0</v>
      </c>
      <c r="E23" s="660">
        <v>43318.0</v>
      </c>
      <c r="F23" s="581"/>
      <c r="G23" s="661"/>
      <c r="H23" s="584">
        <v>735.0</v>
      </c>
      <c r="I23" s="585" t="s">
        <v>289</v>
      </c>
      <c r="J23" s="586">
        <v>1.97</v>
      </c>
      <c r="K23" s="586">
        <v>2.27</v>
      </c>
      <c r="L23" s="587">
        <v>2.55</v>
      </c>
      <c r="M23" s="585">
        <v>0.245</v>
      </c>
      <c r="N23" s="588">
        <v>0.245</v>
      </c>
      <c r="O23" s="589"/>
      <c r="P23" s="552"/>
      <c r="Q23" s="552"/>
      <c r="R23" s="662"/>
      <c r="S23" s="559"/>
      <c r="T23" s="559"/>
      <c r="U23" s="663"/>
      <c r="V23" s="663"/>
      <c r="W23" s="541"/>
      <c r="X23" s="528"/>
      <c r="Y23" s="528"/>
      <c r="Z23" s="528"/>
      <c r="AA23" s="528"/>
      <c r="AB23" s="528"/>
      <c r="AC23" s="528"/>
      <c r="AD23" s="528"/>
      <c r="AE23" s="528"/>
      <c r="AF23" s="528"/>
      <c r="AG23" s="528"/>
      <c r="AH23" s="528"/>
      <c r="AI23" s="541"/>
      <c r="AJ23" s="541"/>
      <c r="AK23" s="541"/>
    </row>
    <row r="24">
      <c r="A24" s="591" t="s">
        <v>290</v>
      </c>
      <c r="B24" s="592"/>
      <c r="C24" s="593"/>
      <c r="D24" s="664">
        <v>43161.0</v>
      </c>
      <c r="E24" s="665">
        <v>43256.0</v>
      </c>
      <c r="F24" s="603"/>
      <c r="G24" s="645"/>
      <c r="H24" s="606">
        <v>828.0</v>
      </c>
      <c r="I24" s="592">
        <v>30.0</v>
      </c>
      <c r="J24" s="666">
        <v>2.27</v>
      </c>
      <c r="K24" s="628"/>
      <c r="L24" s="629"/>
      <c r="M24" s="592"/>
      <c r="N24" s="567">
        <v>0.145</v>
      </c>
      <c r="O24" s="568"/>
      <c r="P24" s="539"/>
      <c r="Q24" s="539"/>
      <c r="R24" s="539">
        <v>1.0</v>
      </c>
      <c r="S24" s="540">
        <v>1.0</v>
      </c>
      <c r="T24" s="570"/>
      <c r="U24" s="656"/>
      <c r="V24" s="656"/>
      <c r="W24" s="541"/>
      <c r="X24" s="528"/>
      <c r="Y24" s="528"/>
      <c r="Z24" s="528"/>
      <c r="AA24" s="528"/>
      <c r="AB24" s="528"/>
      <c r="AC24" s="528"/>
      <c r="AD24" s="528"/>
      <c r="AE24" s="528"/>
      <c r="AF24" s="528"/>
      <c r="AG24" s="528"/>
      <c r="AH24" s="528"/>
      <c r="AI24" s="541"/>
      <c r="AJ24" s="541"/>
      <c r="AK24" s="541"/>
    </row>
    <row r="25">
      <c r="A25" s="611" t="s">
        <v>47</v>
      </c>
      <c r="B25" s="618"/>
      <c r="C25" s="667"/>
      <c r="D25" s="647">
        <v>43162.0</v>
      </c>
      <c r="E25" s="648">
        <v>43319.0</v>
      </c>
      <c r="F25" s="649">
        <v>43162.0</v>
      </c>
      <c r="G25" s="650">
        <v>43287.0</v>
      </c>
      <c r="H25" s="617">
        <v>877.0</v>
      </c>
      <c r="I25" s="585" t="s">
        <v>291</v>
      </c>
      <c r="J25" s="586">
        <v>2.27</v>
      </c>
      <c r="K25" s="586">
        <v>2.6</v>
      </c>
      <c r="L25" s="587"/>
      <c r="M25" s="585"/>
      <c r="N25" s="588">
        <v>0.205</v>
      </c>
      <c r="O25" s="589">
        <v>0.205</v>
      </c>
      <c r="P25" s="552"/>
      <c r="Q25" s="552"/>
      <c r="R25" s="552">
        <v>2.0</v>
      </c>
      <c r="S25" s="558">
        <v>2.0</v>
      </c>
      <c r="T25" s="559"/>
      <c r="U25" s="663"/>
      <c r="V25" s="663"/>
      <c r="W25" s="541"/>
      <c r="X25" s="528"/>
      <c r="Y25" s="528"/>
      <c r="Z25" s="528"/>
      <c r="AA25" s="528"/>
      <c r="AB25" s="528"/>
      <c r="AC25" s="528"/>
      <c r="AD25" s="528"/>
      <c r="AE25" s="528"/>
      <c r="AF25" s="528"/>
      <c r="AG25" s="528"/>
      <c r="AH25" s="528"/>
      <c r="AI25" s="528"/>
      <c r="AJ25" s="528"/>
      <c r="AK25" s="528"/>
    </row>
    <row r="26">
      <c r="A26" s="591" t="s">
        <v>59</v>
      </c>
      <c r="B26" s="592"/>
      <c r="C26" s="593"/>
      <c r="D26" s="664">
        <v>43162.0</v>
      </c>
      <c r="E26" s="665">
        <v>43286.0</v>
      </c>
      <c r="F26" s="668">
        <v>43161.0</v>
      </c>
      <c r="G26" s="669">
        <v>43256.0</v>
      </c>
      <c r="H26" s="606">
        <v>844.0</v>
      </c>
      <c r="I26" s="592" t="s">
        <v>289</v>
      </c>
      <c r="J26" s="607">
        <v>1.97</v>
      </c>
      <c r="K26" s="607">
        <v>2.27</v>
      </c>
      <c r="L26" s="609">
        <v>2.55</v>
      </c>
      <c r="M26" s="592"/>
      <c r="N26" s="567">
        <v>0.213</v>
      </c>
      <c r="O26" s="568">
        <v>0.142</v>
      </c>
      <c r="P26" s="539"/>
      <c r="Q26" s="539"/>
      <c r="R26" s="539">
        <v>3.0</v>
      </c>
      <c r="S26" s="540">
        <v>2.0</v>
      </c>
      <c r="T26" s="570"/>
      <c r="U26" s="656"/>
      <c r="V26" s="656"/>
      <c r="W26" s="541"/>
      <c r="X26" s="528"/>
      <c r="Y26" s="528"/>
      <c r="Z26" s="528"/>
      <c r="AA26" s="528"/>
      <c r="AB26" s="528"/>
      <c r="AC26" s="528"/>
      <c r="AD26" s="528"/>
      <c r="AE26" s="528"/>
      <c r="AF26" s="528"/>
      <c r="AG26" s="528"/>
      <c r="AH26" s="528"/>
      <c r="AI26" s="529"/>
      <c r="AJ26" s="529"/>
      <c r="AK26" s="529"/>
    </row>
    <row r="27">
      <c r="A27" s="611" t="s">
        <v>292</v>
      </c>
      <c r="B27" s="585"/>
      <c r="C27" s="612"/>
      <c r="D27" s="647">
        <v>43162.0</v>
      </c>
      <c r="E27" s="648">
        <v>43256.0</v>
      </c>
      <c r="F27" s="649">
        <v>43161.0</v>
      </c>
      <c r="G27" s="650">
        <v>43256.0</v>
      </c>
      <c r="H27" s="617">
        <v>682.0</v>
      </c>
      <c r="I27" s="585" t="s">
        <v>291</v>
      </c>
      <c r="J27" s="586">
        <v>1.97</v>
      </c>
      <c r="K27" s="586">
        <v>2.27</v>
      </c>
      <c r="L27" s="587"/>
      <c r="M27" s="585"/>
      <c r="N27" s="588">
        <v>0.176</v>
      </c>
      <c r="O27" s="589">
        <v>0.176</v>
      </c>
      <c r="P27" s="552"/>
      <c r="Q27" s="552"/>
      <c r="R27" s="552">
        <v>4.0</v>
      </c>
      <c r="S27" s="670">
        <v>43161.0</v>
      </c>
      <c r="T27" s="671"/>
      <c r="U27" s="672"/>
      <c r="V27" s="672"/>
      <c r="W27" s="541"/>
      <c r="X27" s="528"/>
      <c r="Y27" s="528"/>
      <c r="Z27" s="528"/>
      <c r="AA27" s="528"/>
      <c r="AB27" s="528"/>
      <c r="AC27" s="528"/>
      <c r="AD27" s="528"/>
      <c r="AE27" s="528"/>
      <c r="AF27" s="528"/>
      <c r="AG27" s="528"/>
      <c r="AH27" s="528"/>
      <c r="AI27" s="541"/>
      <c r="AJ27" s="541"/>
      <c r="AK27" s="541"/>
    </row>
    <row r="28">
      <c r="A28" s="591" t="s">
        <v>79</v>
      </c>
      <c r="B28" s="619">
        <v>43193.0</v>
      </c>
      <c r="C28" s="673">
        <v>43319.0</v>
      </c>
      <c r="D28" s="664">
        <v>43162.0</v>
      </c>
      <c r="E28" s="665">
        <v>43287.0</v>
      </c>
      <c r="F28" s="668">
        <v>43162.0</v>
      </c>
      <c r="G28" s="669">
        <v>43287.0</v>
      </c>
      <c r="H28" s="606">
        <v>732.0</v>
      </c>
      <c r="I28" s="592" t="s">
        <v>289</v>
      </c>
      <c r="J28" s="607">
        <v>2.27</v>
      </c>
      <c r="K28" s="607">
        <v>2.6</v>
      </c>
      <c r="L28" s="609">
        <v>2.93</v>
      </c>
      <c r="M28" s="592">
        <v>0.246</v>
      </c>
      <c r="N28" s="567">
        <v>0.246</v>
      </c>
      <c r="O28" s="568">
        <v>0.246</v>
      </c>
      <c r="P28" s="539"/>
      <c r="Q28" s="539"/>
      <c r="R28" s="539">
        <v>5.0</v>
      </c>
      <c r="S28" s="540">
        <v>3.0</v>
      </c>
      <c r="T28" s="674"/>
      <c r="U28" s="674"/>
      <c r="V28" s="674"/>
      <c r="W28" s="541"/>
      <c r="X28" s="528"/>
      <c r="Y28" s="528"/>
      <c r="Z28" s="528"/>
      <c r="AA28" s="528"/>
      <c r="AB28" s="528"/>
      <c r="AC28" s="528"/>
      <c r="AD28" s="528"/>
      <c r="AE28" s="528"/>
      <c r="AF28" s="528"/>
      <c r="AG28" s="528"/>
      <c r="AH28" s="528"/>
      <c r="AI28" s="528"/>
      <c r="AJ28" s="528"/>
      <c r="AK28" s="528"/>
    </row>
    <row r="29">
      <c r="A29" s="611" t="s">
        <v>169</v>
      </c>
      <c r="B29" s="585"/>
      <c r="C29" s="612"/>
      <c r="D29" s="647">
        <v>43162.0</v>
      </c>
      <c r="E29" s="648">
        <v>43286.0</v>
      </c>
      <c r="F29" s="649">
        <v>43161.0</v>
      </c>
      <c r="G29" s="650">
        <v>43256.0</v>
      </c>
      <c r="H29" s="617">
        <v>691.0</v>
      </c>
      <c r="I29" s="585" t="s">
        <v>291</v>
      </c>
      <c r="J29" s="586">
        <v>1.97</v>
      </c>
      <c r="K29" s="586">
        <v>2.27</v>
      </c>
      <c r="L29" s="587"/>
      <c r="M29" s="675"/>
      <c r="N29" s="588">
        <v>0.26</v>
      </c>
      <c r="O29" s="589">
        <v>0.174</v>
      </c>
      <c r="P29" s="552"/>
      <c r="Q29" s="552"/>
      <c r="R29" s="552">
        <v>6.0</v>
      </c>
      <c r="S29" s="558">
        <v>3.0</v>
      </c>
      <c r="T29" s="672"/>
      <c r="U29" s="672"/>
      <c r="V29" s="672"/>
    </row>
    <row r="30">
      <c r="A30" s="591" t="s">
        <v>102</v>
      </c>
      <c r="B30" s="619">
        <v>43162.0</v>
      </c>
      <c r="C30" s="673">
        <v>43287.0</v>
      </c>
      <c r="D30" s="664">
        <v>43162.0</v>
      </c>
      <c r="E30" s="665">
        <v>43256.0</v>
      </c>
      <c r="F30" s="668">
        <v>43161.0</v>
      </c>
      <c r="G30" s="669">
        <v>43256.0</v>
      </c>
      <c r="H30" s="606">
        <v>732.0</v>
      </c>
      <c r="I30" s="592" t="s">
        <v>289</v>
      </c>
      <c r="J30" s="607">
        <v>1.97</v>
      </c>
      <c r="K30" s="607">
        <v>2.27</v>
      </c>
      <c r="L30" s="609">
        <v>2.55</v>
      </c>
      <c r="M30" s="592">
        <v>0.246</v>
      </c>
      <c r="N30" s="567">
        <v>0.164</v>
      </c>
      <c r="O30" s="568">
        <v>0.164</v>
      </c>
      <c r="P30" s="539"/>
      <c r="Q30" s="539"/>
      <c r="R30" s="539">
        <v>7.0</v>
      </c>
      <c r="S30" s="676">
        <v>43193.0</v>
      </c>
      <c r="T30" s="674"/>
      <c r="U30" s="674"/>
      <c r="V30" s="674"/>
    </row>
    <row r="31">
      <c r="A31" s="611" t="s">
        <v>128</v>
      </c>
      <c r="B31" s="618">
        <v>43193.0</v>
      </c>
      <c r="C31" s="667">
        <v>43350.0</v>
      </c>
      <c r="D31" s="647">
        <v>43193.0</v>
      </c>
      <c r="E31" s="648">
        <v>43318.0</v>
      </c>
      <c r="F31" s="615"/>
      <c r="G31" s="677"/>
      <c r="H31" s="617">
        <v>970.0</v>
      </c>
      <c r="I31" s="585" t="s">
        <v>289</v>
      </c>
      <c r="J31" s="586">
        <v>1.97</v>
      </c>
      <c r="K31" s="586">
        <v>2.27</v>
      </c>
      <c r="L31" s="587">
        <v>2.55</v>
      </c>
      <c r="M31" s="585">
        <v>0.186</v>
      </c>
      <c r="N31" s="588">
        <v>0.186</v>
      </c>
      <c r="O31" s="678"/>
      <c r="P31" s="552"/>
      <c r="Q31" s="552"/>
      <c r="R31" s="552">
        <v>8.0</v>
      </c>
      <c r="S31" s="558">
        <v>4.0</v>
      </c>
      <c r="T31" s="672"/>
      <c r="U31" s="672"/>
      <c r="V31" s="672"/>
    </row>
    <row r="32">
      <c r="A32" s="591" t="s">
        <v>138</v>
      </c>
      <c r="B32" s="619">
        <v>43162.0</v>
      </c>
      <c r="C32" s="673">
        <v>43287.0</v>
      </c>
      <c r="D32" s="664">
        <v>43161.0</v>
      </c>
      <c r="E32" s="665">
        <v>43256.0</v>
      </c>
      <c r="F32" s="603"/>
      <c r="G32" s="645"/>
      <c r="H32" s="606">
        <v>695.0</v>
      </c>
      <c r="I32" s="592" t="s">
        <v>289</v>
      </c>
      <c r="J32" s="607">
        <v>2.27</v>
      </c>
      <c r="K32" s="607">
        <v>2.6</v>
      </c>
      <c r="L32" s="609">
        <v>2.93</v>
      </c>
      <c r="M32" s="592">
        <v>0.259</v>
      </c>
      <c r="N32" s="567">
        <v>0.173</v>
      </c>
      <c r="O32" s="679"/>
      <c r="P32" s="539"/>
      <c r="Q32" s="539"/>
      <c r="R32" s="539">
        <v>9.0</v>
      </c>
      <c r="S32" s="676">
        <v>43224.0</v>
      </c>
      <c r="T32" s="680"/>
      <c r="U32" s="674"/>
      <c r="V32" s="674"/>
    </row>
    <row r="33">
      <c r="A33" s="611" t="s">
        <v>293</v>
      </c>
      <c r="B33" s="585"/>
      <c r="C33" s="612"/>
      <c r="D33" s="613">
        <v>3.0</v>
      </c>
      <c r="E33" s="614">
        <v>6.0</v>
      </c>
      <c r="F33" s="615">
        <v>3.0</v>
      </c>
      <c r="G33" s="616">
        <v>5.0</v>
      </c>
      <c r="H33" s="617">
        <v>620.0</v>
      </c>
      <c r="I33" s="585" t="s">
        <v>289</v>
      </c>
      <c r="J33" s="586">
        <v>2.18</v>
      </c>
      <c r="K33" s="586">
        <v>2.52</v>
      </c>
      <c r="L33" s="587">
        <v>2.85</v>
      </c>
      <c r="M33" s="675"/>
      <c r="N33" s="588">
        <v>0.194</v>
      </c>
      <c r="O33" s="589">
        <v>0.194</v>
      </c>
      <c r="P33" s="552"/>
      <c r="Q33" s="552"/>
      <c r="R33" s="552">
        <v>10.0</v>
      </c>
      <c r="S33" s="558">
        <v>5.0</v>
      </c>
      <c r="T33" s="672"/>
      <c r="U33" s="672"/>
      <c r="V33" s="672"/>
    </row>
    <row r="34">
      <c r="A34" s="591" t="s">
        <v>148</v>
      </c>
      <c r="B34" s="619">
        <v>43162.0</v>
      </c>
      <c r="C34" s="673">
        <v>43286.0</v>
      </c>
      <c r="D34" s="664">
        <v>43161.0</v>
      </c>
      <c r="E34" s="665">
        <v>43256.0</v>
      </c>
      <c r="F34" s="668">
        <v>43161.0</v>
      </c>
      <c r="G34" s="669">
        <v>43256.0</v>
      </c>
      <c r="H34" s="606">
        <v>588.0</v>
      </c>
      <c r="I34" s="592" t="s">
        <v>289</v>
      </c>
      <c r="J34" s="607">
        <v>2.27</v>
      </c>
      <c r="K34" s="607">
        <v>2.6</v>
      </c>
      <c r="L34" s="609">
        <v>2.93</v>
      </c>
      <c r="M34" s="592">
        <v>0.306</v>
      </c>
      <c r="N34" s="567">
        <v>0.204</v>
      </c>
      <c r="O34" s="568">
        <v>0.204</v>
      </c>
      <c r="P34" s="539"/>
      <c r="Q34" s="539"/>
      <c r="R34" s="539">
        <v>11.0</v>
      </c>
      <c r="S34" s="540">
        <v>5.0</v>
      </c>
      <c r="T34" s="674"/>
      <c r="U34" s="674"/>
      <c r="V34" s="674"/>
    </row>
    <row r="35">
      <c r="A35" s="681" t="s">
        <v>164</v>
      </c>
      <c r="B35" s="675"/>
      <c r="C35" s="612"/>
      <c r="D35" s="647">
        <v>43162.0</v>
      </c>
      <c r="E35" s="648">
        <v>43287.0</v>
      </c>
      <c r="F35" s="649">
        <v>43162.0</v>
      </c>
      <c r="G35" s="650">
        <v>43256.0</v>
      </c>
      <c r="H35" s="617">
        <v>882.0</v>
      </c>
      <c r="I35" s="585" t="s">
        <v>289</v>
      </c>
      <c r="J35" s="586">
        <v>1.97</v>
      </c>
      <c r="K35" s="586">
        <v>2.27</v>
      </c>
      <c r="L35" s="587">
        <v>2.55</v>
      </c>
      <c r="M35" s="675"/>
      <c r="N35" s="588">
        <v>0.204</v>
      </c>
      <c r="O35" s="589">
        <v>0.136</v>
      </c>
      <c r="P35" s="552"/>
      <c r="Q35" s="552"/>
      <c r="R35" s="552">
        <v>12.0</v>
      </c>
      <c r="S35" s="558"/>
      <c r="T35" s="672"/>
      <c r="U35" s="672"/>
      <c r="V35" s="672"/>
    </row>
    <row r="36">
      <c r="A36" s="682" t="s">
        <v>165</v>
      </c>
      <c r="B36" s="619">
        <v>43161.0</v>
      </c>
      <c r="C36" s="673">
        <v>43256.0</v>
      </c>
      <c r="D36" s="664">
        <v>43161.0</v>
      </c>
      <c r="E36" s="665">
        <v>43224.0</v>
      </c>
      <c r="F36" s="668">
        <v>43161.0</v>
      </c>
      <c r="G36" s="669">
        <v>43224.0</v>
      </c>
      <c r="H36" s="606">
        <v>610.0</v>
      </c>
      <c r="I36" s="592" t="s">
        <v>291</v>
      </c>
      <c r="J36" s="607">
        <v>2.95</v>
      </c>
      <c r="K36" s="607">
        <v>3.4</v>
      </c>
      <c r="L36" s="609"/>
      <c r="M36" s="592">
        <v>0.197</v>
      </c>
      <c r="N36" s="567">
        <v>0.197</v>
      </c>
      <c r="O36" s="568">
        <v>0.197</v>
      </c>
      <c r="P36" s="539"/>
      <c r="Q36" s="539"/>
      <c r="R36" s="539">
        <v>13.0</v>
      </c>
      <c r="S36" s="540"/>
      <c r="T36" s="674"/>
      <c r="U36" s="674"/>
      <c r="V36" s="674"/>
    </row>
    <row r="37">
      <c r="A37" s="681" t="s">
        <v>166</v>
      </c>
      <c r="B37" s="618">
        <v>43193.0</v>
      </c>
      <c r="C37" s="667">
        <v>43319.0</v>
      </c>
      <c r="D37" s="647">
        <v>43162.0</v>
      </c>
      <c r="E37" s="648">
        <v>43287.0</v>
      </c>
      <c r="F37" s="649">
        <v>43162.0</v>
      </c>
      <c r="G37" s="650">
        <v>43286.0</v>
      </c>
      <c r="H37" s="617">
        <v>780.0</v>
      </c>
      <c r="I37" s="585" t="s">
        <v>289</v>
      </c>
      <c r="J37" s="586">
        <v>1.97</v>
      </c>
      <c r="K37" s="586">
        <v>2.27</v>
      </c>
      <c r="L37" s="587">
        <v>2.55</v>
      </c>
      <c r="M37" s="585">
        <v>0.231</v>
      </c>
      <c r="N37" s="588">
        <v>0.231</v>
      </c>
      <c r="O37" s="589">
        <v>0.154</v>
      </c>
      <c r="P37" s="552"/>
      <c r="Q37" s="552"/>
      <c r="R37" s="552">
        <v>14.0</v>
      </c>
      <c r="S37" s="558"/>
      <c r="T37" s="672"/>
      <c r="U37" s="672"/>
      <c r="V37" s="672"/>
    </row>
    <row r="38">
      <c r="A38" s="682" t="s">
        <v>167</v>
      </c>
      <c r="B38" s="619"/>
      <c r="C38" s="673"/>
      <c r="D38" s="664">
        <v>43162.0</v>
      </c>
      <c r="E38" s="665">
        <v>43287.0</v>
      </c>
      <c r="F38" s="668">
        <v>43162.0</v>
      </c>
      <c r="G38" s="669">
        <v>43286.0</v>
      </c>
      <c r="H38" s="606">
        <v>832.0</v>
      </c>
      <c r="I38" s="592" t="s">
        <v>289</v>
      </c>
      <c r="J38" s="607">
        <v>1.97</v>
      </c>
      <c r="K38" s="607">
        <v>2.27</v>
      </c>
      <c r="L38" s="609">
        <v>2.55</v>
      </c>
      <c r="M38" s="683"/>
      <c r="N38" s="567">
        <v>0.216</v>
      </c>
      <c r="O38" s="568">
        <v>0.144</v>
      </c>
      <c r="P38" s="539"/>
      <c r="Q38" s="539"/>
      <c r="R38" s="539">
        <v>15.0</v>
      </c>
      <c r="S38" s="540"/>
      <c r="T38" s="674"/>
      <c r="U38" s="674"/>
      <c r="V38" s="674"/>
    </row>
    <row r="39">
      <c r="A39" s="681" t="s">
        <v>294</v>
      </c>
      <c r="B39" s="675"/>
      <c r="C39" s="612"/>
      <c r="D39" s="647">
        <v>43162.0</v>
      </c>
      <c r="E39" s="648">
        <v>43287.0</v>
      </c>
      <c r="F39" s="649">
        <v>43162.0</v>
      </c>
      <c r="G39" s="650">
        <v>43256.0</v>
      </c>
      <c r="H39" s="617">
        <v>735.0</v>
      </c>
      <c r="I39" s="585" t="s">
        <v>291</v>
      </c>
      <c r="J39" s="586">
        <v>1.98</v>
      </c>
      <c r="K39" s="586">
        <v>2.28</v>
      </c>
      <c r="L39" s="587"/>
      <c r="M39" s="675"/>
      <c r="N39" s="588">
        <v>0.245</v>
      </c>
      <c r="O39" s="589">
        <v>0.163</v>
      </c>
      <c r="P39" s="552"/>
      <c r="Q39" s="552"/>
      <c r="R39" s="552">
        <v>16.0</v>
      </c>
      <c r="S39" s="558"/>
      <c r="T39" s="672"/>
      <c r="U39" s="672"/>
      <c r="V39" s="672"/>
    </row>
    <row r="40">
      <c r="A40" s="682" t="s">
        <v>170</v>
      </c>
      <c r="B40" s="683"/>
      <c r="C40" s="593"/>
      <c r="D40" s="664">
        <v>43162.0</v>
      </c>
      <c r="E40" s="665">
        <v>43287.0</v>
      </c>
      <c r="F40" s="668">
        <v>43162.0</v>
      </c>
      <c r="G40" s="669">
        <v>43286.0</v>
      </c>
      <c r="H40" s="606">
        <v>828.0</v>
      </c>
      <c r="I40" s="592" t="s">
        <v>289</v>
      </c>
      <c r="J40" s="607">
        <v>1.97</v>
      </c>
      <c r="K40" s="607">
        <v>2.27</v>
      </c>
      <c r="L40" s="609">
        <v>2.55</v>
      </c>
      <c r="M40" s="683"/>
      <c r="N40" s="567">
        <v>0.217</v>
      </c>
      <c r="O40" s="568">
        <v>0.145</v>
      </c>
      <c r="P40" s="539"/>
      <c r="Q40" s="539"/>
      <c r="R40" s="539">
        <v>17.0</v>
      </c>
      <c r="S40" s="540"/>
      <c r="T40" s="674"/>
      <c r="U40" s="674"/>
      <c r="V40" s="674"/>
    </row>
    <row r="41">
      <c r="A41" s="684" t="s">
        <v>171</v>
      </c>
      <c r="B41" s="685"/>
      <c r="C41" s="634"/>
      <c r="D41" s="686">
        <v>43162.0</v>
      </c>
      <c r="E41" s="687">
        <v>43287.0</v>
      </c>
      <c r="F41" s="637"/>
      <c r="G41" s="638"/>
      <c r="H41" s="639">
        <v>686.0</v>
      </c>
      <c r="I41" s="585" t="s">
        <v>289</v>
      </c>
      <c r="J41" s="586">
        <v>1.97</v>
      </c>
      <c r="K41" s="586">
        <v>2.27</v>
      </c>
      <c r="L41" s="587">
        <v>2.55</v>
      </c>
      <c r="M41" s="675"/>
      <c r="N41" s="588">
        <v>0.262</v>
      </c>
      <c r="O41" s="678"/>
      <c r="P41" s="552"/>
      <c r="Q41" s="552"/>
      <c r="R41" s="552">
        <v>18.0</v>
      </c>
      <c r="S41" s="558"/>
      <c r="T41" s="672"/>
      <c r="U41" s="672"/>
      <c r="V41" s="672"/>
    </row>
    <row r="42">
      <c r="A42" s="564" t="s">
        <v>12</v>
      </c>
      <c r="B42" s="565"/>
      <c r="C42" s="565"/>
      <c r="D42" s="565"/>
      <c r="E42" s="565"/>
      <c r="F42" s="565"/>
      <c r="G42" s="565"/>
      <c r="H42" s="565"/>
      <c r="I42" s="683"/>
      <c r="J42" s="688"/>
      <c r="K42" s="688"/>
      <c r="L42" s="689"/>
      <c r="M42" s="683"/>
      <c r="N42" s="690"/>
      <c r="O42" s="679"/>
      <c r="P42" s="539"/>
      <c r="Q42" s="655"/>
      <c r="R42" s="539">
        <v>19.0</v>
      </c>
      <c r="S42" s="540"/>
      <c r="T42" s="674"/>
      <c r="U42" s="674"/>
      <c r="V42" s="674"/>
    </row>
    <row r="43">
      <c r="A43" s="691" t="s">
        <v>295</v>
      </c>
      <c r="B43" s="547">
        <v>5.0</v>
      </c>
      <c r="C43" s="577">
        <v>11.0</v>
      </c>
      <c r="D43" s="579">
        <v>5.0</v>
      </c>
      <c r="E43" s="580">
        <v>10.0</v>
      </c>
      <c r="F43" s="581"/>
      <c r="G43" s="661"/>
      <c r="H43" s="584">
        <v>702.0</v>
      </c>
      <c r="I43" s="585">
        <v>90.0</v>
      </c>
      <c r="J43" s="586">
        <v>4.95</v>
      </c>
      <c r="K43" s="586"/>
      <c r="L43" s="587"/>
      <c r="M43" s="585">
        <v>0.342</v>
      </c>
      <c r="N43" s="588">
        <v>0.342</v>
      </c>
      <c r="O43" s="678"/>
      <c r="P43" s="552"/>
      <c r="Q43" s="552"/>
      <c r="R43" s="552">
        <v>20.0</v>
      </c>
      <c r="S43" s="558"/>
      <c r="T43" s="672"/>
      <c r="U43" s="672"/>
      <c r="V43" s="672"/>
    </row>
    <row r="44">
      <c r="A44" s="682" t="s">
        <v>296</v>
      </c>
      <c r="B44" s="592"/>
      <c r="C44" s="593"/>
      <c r="D44" s="598">
        <v>4.0</v>
      </c>
      <c r="E44" s="602">
        <v>8.0</v>
      </c>
      <c r="F44" s="603">
        <v>3.0</v>
      </c>
      <c r="G44" s="604">
        <v>7.0</v>
      </c>
      <c r="H44" s="606">
        <v>698.0</v>
      </c>
      <c r="I44" s="592">
        <v>100.0</v>
      </c>
      <c r="J44" s="607">
        <v>4.95</v>
      </c>
      <c r="K44" s="607"/>
      <c r="L44" s="609"/>
      <c r="M44" s="683"/>
      <c r="N44" s="567">
        <v>0.258</v>
      </c>
      <c r="O44" s="568">
        <v>0.258</v>
      </c>
      <c r="P44" s="539"/>
      <c r="Q44" s="539"/>
      <c r="R44" s="539">
        <v>21.0</v>
      </c>
      <c r="S44" s="540"/>
      <c r="T44" s="674"/>
      <c r="U44" s="674"/>
      <c r="V44" s="674"/>
    </row>
    <row r="45">
      <c r="A45" s="681" t="s">
        <v>297</v>
      </c>
      <c r="B45" s="585"/>
      <c r="C45" s="612"/>
      <c r="D45" s="613">
        <v>4.0</v>
      </c>
      <c r="E45" s="614">
        <v>8.0</v>
      </c>
      <c r="F45" s="615">
        <v>3.0</v>
      </c>
      <c r="G45" s="616">
        <v>7.0</v>
      </c>
      <c r="H45" s="617">
        <v>698.0</v>
      </c>
      <c r="I45" s="585" t="s">
        <v>298</v>
      </c>
      <c r="J45" s="586"/>
      <c r="K45" s="586"/>
      <c r="L45" s="587"/>
      <c r="M45" s="675"/>
      <c r="N45" s="588">
        <v>0.258</v>
      </c>
      <c r="O45" s="589">
        <v>0.258</v>
      </c>
      <c r="P45" s="552"/>
      <c r="Q45" s="552"/>
      <c r="R45" s="552">
        <v>22.0</v>
      </c>
      <c r="S45" s="558"/>
      <c r="T45" s="672"/>
      <c r="U45" s="672"/>
      <c r="V45" s="672"/>
    </row>
    <row r="46">
      <c r="A46" s="682" t="s">
        <v>299</v>
      </c>
      <c r="B46" s="592">
        <v>4.0</v>
      </c>
      <c r="C46" s="593">
        <v>9.0</v>
      </c>
      <c r="D46" s="598">
        <v>4.0</v>
      </c>
      <c r="E46" s="602">
        <v>8.0</v>
      </c>
      <c r="F46" s="603"/>
      <c r="G46" s="645"/>
      <c r="H46" s="606">
        <v>636.0</v>
      </c>
      <c r="I46" s="592">
        <v>75.0</v>
      </c>
      <c r="J46" s="607"/>
      <c r="K46" s="607"/>
      <c r="L46" s="609"/>
      <c r="M46" s="592">
        <v>0.283</v>
      </c>
      <c r="N46" s="567">
        <v>0.283</v>
      </c>
      <c r="O46" s="679"/>
      <c r="P46" s="539"/>
      <c r="Q46" s="539"/>
      <c r="R46" s="539">
        <v>23.0</v>
      </c>
      <c r="S46" s="540"/>
      <c r="T46" s="674"/>
      <c r="U46" s="674"/>
      <c r="V46" s="674"/>
    </row>
    <row r="47">
      <c r="A47" s="681" t="s">
        <v>300</v>
      </c>
      <c r="B47" s="585"/>
      <c r="C47" s="612"/>
      <c r="D47" s="613">
        <v>3.0</v>
      </c>
      <c r="E47" s="614">
        <v>6.0</v>
      </c>
      <c r="F47" s="615">
        <v>3.0</v>
      </c>
      <c r="G47" s="616">
        <v>6.0</v>
      </c>
      <c r="H47" s="617">
        <v>590.0</v>
      </c>
      <c r="I47" s="585">
        <v>175.0</v>
      </c>
      <c r="J47" s="586"/>
      <c r="K47" s="586"/>
      <c r="L47" s="587"/>
      <c r="M47" s="675"/>
      <c r="N47" s="588">
        <v>0.203</v>
      </c>
      <c r="O47" s="589">
        <v>0.203</v>
      </c>
      <c r="P47" s="552"/>
      <c r="Q47" s="552"/>
      <c r="R47" s="552">
        <v>24.0</v>
      </c>
      <c r="S47" s="558"/>
      <c r="T47" s="672"/>
      <c r="U47" s="672"/>
      <c r="V47" s="672"/>
    </row>
    <row r="48">
      <c r="A48" s="682" t="s">
        <v>301</v>
      </c>
      <c r="B48" s="683"/>
      <c r="C48" s="593"/>
      <c r="D48" s="598">
        <v>5.0</v>
      </c>
      <c r="E48" s="602">
        <v>10.0</v>
      </c>
      <c r="F48" s="603">
        <v>4.0</v>
      </c>
      <c r="G48" s="604">
        <v>10.0</v>
      </c>
      <c r="H48" s="606">
        <v>891.0</v>
      </c>
      <c r="I48" s="592">
        <v>150.0</v>
      </c>
      <c r="J48" s="607"/>
      <c r="K48" s="607"/>
      <c r="L48" s="609"/>
      <c r="M48" s="683"/>
      <c r="N48" s="567">
        <v>0.269</v>
      </c>
      <c r="O48" s="568">
        <v>0.269</v>
      </c>
      <c r="P48" s="539"/>
      <c r="Q48" s="539"/>
      <c r="R48" s="539">
        <v>25.0</v>
      </c>
      <c r="S48" s="540"/>
      <c r="T48" s="674"/>
      <c r="U48" s="674"/>
      <c r="V48" s="674"/>
    </row>
    <row r="49">
      <c r="A49" s="684"/>
      <c r="B49" s="685"/>
      <c r="C49" s="634"/>
      <c r="D49" s="635"/>
      <c r="E49" s="636"/>
      <c r="F49" s="637"/>
      <c r="G49" s="638"/>
      <c r="H49" s="654"/>
      <c r="I49" s="675"/>
      <c r="J49" s="692"/>
      <c r="K49" s="692"/>
      <c r="L49" s="693"/>
      <c r="M49" s="675"/>
      <c r="N49" s="694"/>
      <c r="O49" s="678"/>
      <c r="P49" s="552"/>
      <c r="Q49" s="662"/>
      <c r="R49" s="552">
        <v>26.0</v>
      </c>
      <c r="S49" s="558"/>
      <c r="T49" s="672"/>
      <c r="U49" s="672"/>
      <c r="V49" s="672"/>
    </row>
    <row r="50">
      <c r="A50" s="564" t="s">
        <v>302</v>
      </c>
      <c r="B50" s="565"/>
      <c r="C50" s="565"/>
      <c r="D50" s="565"/>
      <c r="E50" s="565"/>
      <c r="F50" s="565"/>
      <c r="G50" s="565"/>
      <c r="H50" s="565"/>
      <c r="I50" s="683"/>
      <c r="J50" s="688"/>
      <c r="K50" s="688"/>
      <c r="L50" s="689"/>
      <c r="M50" s="683"/>
      <c r="N50" s="690"/>
      <c r="O50" s="679"/>
      <c r="P50" s="539"/>
      <c r="Q50" s="655"/>
      <c r="R50" s="539">
        <v>27.0</v>
      </c>
      <c r="S50" s="540"/>
      <c r="T50" s="674"/>
      <c r="U50" s="674"/>
      <c r="V50" s="674"/>
    </row>
    <row r="51">
      <c r="A51" s="691" t="s">
        <v>39</v>
      </c>
      <c r="B51" s="695"/>
      <c r="C51" s="577"/>
      <c r="D51" s="659">
        <v>43193.0</v>
      </c>
      <c r="E51" s="660">
        <v>43319.0</v>
      </c>
      <c r="F51" s="696">
        <v>43193.0</v>
      </c>
      <c r="G51" s="697">
        <v>43318.0</v>
      </c>
      <c r="H51" s="584">
        <v>780.0</v>
      </c>
      <c r="I51" s="585" t="s">
        <v>291</v>
      </c>
      <c r="J51" s="586">
        <v>1.72</v>
      </c>
      <c r="K51" s="586"/>
      <c r="L51" s="587"/>
      <c r="M51" s="675"/>
      <c r="N51" s="588">
        <v>0.231</v>
      </c>
      <c r="O51" s="589">
        <v>0.231</v>
      </c>
      <c r="P51" s="552"/>
      <c r="Q51" s="552"/>
      <c r="R51" s="552">
        <v>28.0</v>
      </c>
      <c r="S51" s="558"/>
      <c r="T51" s="672"/>
      <c r="U51" s="672"/>
      <c r="V51" s="672"/>
    </row>
    <row r="52">
      <c r="A52" s="682" t="s">
        <v>49</v>
      </c>
      <c r="B52" s="619">
        <v>43161.0</v>
      </c>
      <c r="C52" s="673">
        <v>43224.0</v>
      </c>
      <c r="D52" s="664">
        <v>43133.0</v>
      </c>
      <c r="E52" s="665">
        <v>43224.0</v>
      </c>
      <c r="F52" s="668"/>
      <c r="G52" s="669"/>
      <c r="H52" s="606">
        <v>590.0</v>
      </c>
      <c r="I52" s="592" t="s">
        <v>291</v>
      </c>
      <c r="J52" s="607">
        <v>1.47</v>
      </c>
      <c r="K52" s="607"/>
      <c r="L52" s="609"/>
      <c r="M52" s="592">
        <v>0.203</v>
      </c>
      <c r="N52" s="567">
        <v>0.203</v>
      </c>
      <c r="O52" s="568"/>
      <c r="P52" s="539"/>
      <c r="Q52" s="539"/>
      <c r="R52" s="655"/>
      <c r="S52" s="674"/>
      <c r="T52" s="674"/>
      <c r="U52" s="674"/>
      <c r="V52" s="674"/>
    </row>
    <row r="53">
      <c r="A53" s="681" t="s">
        <v>61</v>
      </c>
      <c r="B53" s="675"/>
      <c r="C53" s="612"/>
      <c r="D53" s="647">
        <v>43162.0</v>
      </c>
      <c r="E53" s="648">
        <v>43287.0</v>
      </c>
      <c r="F53" s="649">
        <v>43162.0</v>
      </c>
      <c r="G53" s="650">
        <v>43256.0</v>
      </c>
      <c r="H53" s="617">
        <v>878.0</v>
      </c>
      <c r="I53" s="585">
        <v>50.0</v>
      </c>
      <c r="J53" s="586">
        <v>2.27</v>
      </c>
      <c r="K53" s="586"/>
      <c r="L53" s="587"/>
      <c r="M53" s="675"/>
      <c r="N53" s="588">
        <v>0.205</v>
      </c>
      <c r="O53" s="589">
        <v>0.137</v>
      </c>
      <c r="P53" s="552"/>
      <c r="Q53" s="552"/>
      <c r="R53" s="662"/>
      <c r="S53" s="672"/>
      <c r="T53" s="672"/>
      <c r="U53" s="672"/>
      <c r="V53" s="672"/>
    </row>
    <row r="54">
      <c r="A54" s="682" t="s">
        <v>66</v>
      </c>
      <c r="B54" s="683"/>
      <c r="C54" s="593"/>
      <c r="D54" s="664">
        <v>43162.0</v>
      </c>
      <c r="E54" s="665">
        <v>43287.0</v>
      </c>
      <c r="F54" s="668">
        <v>43162.0</v>
      </c>
      <c r="G54" s="669">
        <v>43256.0</v>
      </c>
      <c r="H54" s="606">
        <v>685.0</v>
      </c>
      <c r="I54" s="592">
        <v>64.0</v>
      </c>
      <c r="J54" s="607">
        <v>2.27</v>
      </c>
      <c r="K54" s="607"/>
      <c r="L54" s="609"/>
      <c r="M54" s="683"/>
      <c r="N54" s="567">
        <v>0.263</v>
      </c>
      <c r="O54" s="568">
        <v>0.175</v>
      </c>
      <c r="P54" s="539"/>
      <c r="Q54" s="539"/>
      <c r="R54" s="655"/>
      <c r="S54" s="674"/>
      <c r="T54" s="674"/>
      <c r="U54" s="674"/>
      <c r="V54" s="674"/>
    </row>
    <row r="55">
      <c r="A55" s="681" t="s">
        <v>139</v>
      </c>
      <c r="B55" s="675"/>
      <c r="C55" s="612"/>
      <c r="D55" s="647">
        <v>43193.0</v>
      </c>
      <c r="E55" s="648">
        <v>43319.0</v>
      </c>
      <c r="F55" s="649">
        <v>43193.0</v>
      </c>
      <c r="G55" s="650">
        <v>43318.0</v>
      </c>
      <c r="H55" s="617">
        <v>730.0</v>
      </c>
      <c r="I55" s="585" t="s">
        <v>291</v>
      </c>
      <c r="J55" s="586">
        <v>1.47</v>
      </c>
      <c r="K55" s="586"/>
      <c r="L55" s="587"/>
      <c r="M55" s="675"/>
      <c r="N55" s="588">
        <v>0.247</v>
      </c>
      <c r="O55" s="589">
        <v>0.247</v>
      </c>
      <c r="P55" s="552"/>
      <c r="Q55" s="552"/>
      <c r="R55" s="662"/>
      <c r="S55" s="672"/>
      <c r="T55" s="672"/>
      <c r="U55" s="672"/>
      <c r="V55" s="672"/>
    </row>
    <row r="56">
      <c r="A56" s="682" t="s">
        <v>303</v>
      </c>
      <c r="B56" s="683"/>
      <c r="C56" s="593"/>
      <c r="D56" s="664">
        <v>43193.0</v>
      </c>
      <c r="E56" s="665">
        <v>43350.0</v>
      </c>
      <c r="F56" s="668">
        <v>43193.0</v>
      </c>
      <c r="G56" s="669">
        <v>43319.0</v>
      </c>
      <c r="H56" s="606">
        <v>923.0</v>
      </c>
      <c r="I56" s="592" t="s">
        <v>291</v>
      </c>
      <c r="J56" s="607">
        <v>1.97</v>
      </c>
      <c r="K56" s="607"/>
      <c r="L56" s="609"/>
      <c r="M56" s="683"/>
      <c r="N56" s="567">
        <v>0.26</v>
      </c>
      <c r="O56" s="568">
        <v>0.26</v>
      </c>
      <c r="P56" s="539"/>
      <c r="Q56" s="539"/>
      <c r="R56" s="655"/>
      <c r="S56" s="674"/>
      <c r="T56" s="674"/>
      <c r="U56" s="674"/>
      <c r="V56" s="674"/>
    </row>
    <row r="57">
      <c r="A57" s="681" t="s">
        <v>77</v>
      </c>
      <c r="B57" s="675"/>
      <c r="C57" s="612"/>
      <c r="D57" s="647">
        <v>43162.0</v>
      </c>
      <c r="E57" s="648">
        <v>43287.0</v>
      </c>
      <c r="F57" s="649">
        <v>43162.0</v>
      </c>
      <c r="G57" s="650">
        <v>43287.0</v>
      </c>
      <c r="H57" s="617">
        <v>828.0</v>
      </c>
      <c r="I57" s="585" t="s">
        <v>291</v>
      </c>
      <c r="J57" s="586">
        <v>1.97</v>
      </c>
      <c r="K57" s="586"/>
      <c r="L57" s="587"/>
      <c r="M57" s="675"/>
      <c r="N57" s="588">
        <v>0.217</v>
      </c>
      <c r="O57" s="589">
        <v>0.217</v>
      </c>
      <c r="P57" s="552"/>
      <c r="Q57" s="552"/>
      <c r="R57" s="662"/>
      <c r="S57" s="672"/>
      <c r="T57" s="672"/>
      <c r="U57" s="672"/>
      <c r="V57" s="672"/>
    </row>
    <row r="58">
      <c r="A58" s="682" t="s">
        <v>96</v>
      </c>
      <c r="B58" s="683"/>
      <c r="C58" s="593"/>
      <c r="D58" s="664">
        <v>43162.0</v>
      </c>
      <c r="E58" s="665">
        <v>43287.0</v>
      </c>
      <c r="F58" s="668">
        <v>43162.0</v>
      </c>
      <c r="G58" s="669">
        <v>43256.0</v>
      </c>
      <c r="H58" s="606">
        <v>780.0</v>
      </c>
      <c r="I58" s="592" t="s">
        <v>291</v>
      </c>
      <c r="J58" s="607">
        <v>2.27</v>
      </c>
      <c r="K58" s="607"/>
      <c r="L58" s="609"/>
      <c r="M58" s="683"/>
      <c r="N58" s="567">
        <v>0.231</v>
      </c>
      <c r="O58" s="568">
        <v>0.154</v>
      </c>
      <c r="P58" s="539"/>
      <c r="Q58" s="539"/>
      <c r="R58" s="655"/>
      <c r="S58" s="674"/>
      <c r="T58" s="674"/>
      <c r="U58" s="674"/>
      <c r="V58" s="674"/>
    </row>
    <row r="59">
      <c r="A59" s="681" t="s">
        <v>304</v>
      </c>
      <c r="B59" s="675"/>
      <c r="C59" s="612"/>
      <c r="D59" s="613">
        <v>2.0</v>
      </c>
      <c r="E59" s="614">
        <v>4.0</v>
      </c>
      <c r="F59" s="615">
        <v>2.0</v>
      </c>
      <c r="G59" s="616">
        <v>4.0</v>
      </c>
      <c r="H59" s="617">
        <v>538.0</v>
      </c>
      <c r="I59" s="585">
        <v>34.0</v>
      </c>
      <c r="J59" s="586">
        <v>2.27</v>
      </c>
      <c r="K59" s="586"/>
      <c r="L59" s="587"/>
      <c r="M59" s="675"/>
      <c r="N59" s="588">
        <v>0.223</v>
      </c>
      <c r="O59" s="589">
        <v>0.223</v>
      </c>
      <c r="P59" s="552"/>
      <c r="Q59" s="552"/>
      <c r="R59" s="662"/>
      <c r="S59" s="672"/>
      <c r="T59" s="672"/>
      <c r="U59" s="672"/>
      <c r="V59" s="672"/>
    </row>
    <row r="60">
      <c r="A60" s="682" t="s">
        <v>305</v>
      </c>
      <c r="B60" s="683"/>
      <c r="C60" s="593"/>
      <c r="D60" s="664">
        <v>43161.0</v>
      </c>
      <c r="E60" s="665">
        <v>43256.0</v>
      </c>
      <c r="F60" s="668">
        <v>43161.0</v>
      </c>
      <c r="G60" s="669">
        <v>43256.0</v>
      </c>
      <c r="H60" s="606">
        <v>682.0</v>
      </c>
      <c r="I60" s="592" t="s">
        <v>291</v>
      </c>
      <c r="J60" s="607">
        <v>2.48</v>
      </c>
      <c r="K60" s="607"/>
      <c r="L60" s="609"/>
      <c r="M60" s="683"/>
      <c r="N60" s="567">
        <v>0.176</v>
      </c>
      <c r="O60" s="568">
        <v>0.176</v>
      </c>
      <c r="P60" s="539"/>
      <c r="Q60" s="539"/>
      <c r="R60" s="655"/>
      <c r="S60" s="674"/>
      <c r="T60" s="674"/>
      <c r="U60" s="674"/>
      <c r="V60" s="674"/>
    </row>
    <row r="61">
      <c r="A61" s="681" t="s">
        <v>306</v>
      </c>
      <c r="B61" s="675"/>
      <c r="C61" s="612"/>
      <c r="D61" s="647">
        <v>43224.0</v>
      </c>
      <c r="E61" s="648">
        <v>43381.0</v>
      </c>
      <c r="F61" s="649">
        <v>43193.0</v>
      </c>
      <c r="G61" s="650">
        <v>43350.0</v>
      </c>
      <c r="H61" s="617">
        <v>1111.0</v>
      </c>
      <c r="I61" s="585" t="s">
        <v>291</v>
      </c>
      <c r="J61" s="586">
        <v>1.58</v>
      </c>
      <c r="K61" s="586"/>
      <c r="L61" s="587"/>
      <c r="M61" s="675"/>
      <c r="N61" s="588">
        <v>0.216</v>
      </c>
      <c r="O61" s="589" t="s">
        <v>307</v>
      </c>
      <c r="P61" s="552"/>
      <c r="Q61" s="552"/>
      <c r="R61" s="662"/>
      <c r="S61" s="672"/>
      <c r="T61" s="672"/>
      <c r="U61" s="672"/>
      <c r="V61" s="672"/>
    </row>
    <row r="62">
      <c r="A62" s="682" t="s">
        <v>137</v>
      </c>
      <c r="B62" s="619">
        <v>43224.0</v>
      </c>
      <c r="C62" s="673">
        <v>43381.0</v>
      </c>
      <c r="D62" s="664">
        <v>43193.0</v>
      </c>
      <c r="E62" s="665">
        <v>43350.0</v>
      </c>
      <c r="F62" s="603"/>
      <c r="G62" s="604"/>
      <c r="H62" s="606">
        <v>1137.0</v>
      </c>
      <c r="I62" s="592" t="s">
        <v>308</v>
      </c>
      <c r="J62" s="607">
        <v>1.67</v>
      </c>
      <c r="K62" s="607"/>
      <c r="L62" s="609"/>
      <c r="M62" s="592">
        <v>0.211</v>
      </c>
      <c r="N62" s="567" t="s">
        <v>309</v>
      </c>
      <c r="O62" s="568"/>
      <c r="P62" s="539"/>
      <c r="Q62" s="539"/>
      <c r="R62" s="655"/>
      <c r="S62" s="674"/>
      <c r="T62" s="674"/>
      <c r="U62" s="674"/>
      <c r="V62" s="674"/>
    </row>
    <row r="63">
      <c r="A63" s="684"/>
      <c r="B63" s="685"/>
      <c r="C63" s="634"/>
      <c r="D63" s="635"/>
      <c r="E63" s="636"/>
      <c r="F63" s="637"/>
      <c r="G63" s="638"/>
      <c r="H63" s="654"/>
      <c r="I63" s="675"/>
      <c r="J63" s="692"/>
      <c r="K63" s="692"/>
      <c r="L63" s="693"/>
      <c r="M63" s="675"/>
      <c r="N63" s="694"/>
      <c r="O63" s="678"/>
      <c r="P63" s="552"/>
      <c r="Q63" s="662"/>
      <c r="R63" s="662"/>
      <c r="S63" s="672"/>
      <c r="T63" s="672"/>
      <c r="U63" s="672"/>
      <c r="V63" s="672"/>
    </row>
    <row r="64">
      <c r="A64" s="564" t="s">
        <v>204</v>
      </c>
      <c r="B64" s="565"/>
      <c r="C64" s="565"/>
      <c r="D64" s="565"/>
      <c r="E64" s="565"/>
      <c r="F64" s="565"/>
      <c r="G64" s="565"/>
      <c r="H64" s="565"/>
      <c r="I64" s="683"/>
      <c r="J64" s="688"/>
      <c r="K64" s="688"/>
      <c r="M64" s="683"/>
      <c r="N64" s="690"/>
      <c r="O64" s="679"/>
      <c r="P64" s="539"/>
      <c r="Q64" s="655"/>
      <c r="R64" s="655"/>
      <c r="S64" s="674"/>
      <c r="T64" s="674"/>
      <c r="U64" s="674"/>
      <c r="V64" s="674"/>
    </row>
    <row r="65">
      <c r="A65" s="691" t="s">
        <v>206</v>
      </c>
      <c r="B65" s="695"/>
      <c r="C65" s="577"/>
      <c r="D65" s="579">
        <v>1.0</v>
      </c>
      <c r="E65" s="580">
        <v>1.0</v>
      </c>
      <c r="F65" s="581">
        <v>1.0</v>
      </c>
      <c r="G65" s="583">
        <v>1.0</v>
      </c>
      <c r="H65" s="642"/>
      <c r="I65" s="585">
        <v>2.0</v>
      </c>
      <c r="J65" s="692"/>
      <c r="K65" s="692"/>
      <c r="L65" s="693"/>
      <c r="M65" s="675"/>
      <c r="N65" s="694"/>
      <c r="O65" s="678"/>
      <c r="P65" s="552"/>
      <c r="Q65" s="662"/>
      <c r="R65" s="662"/>
      <c r="S65" s="672"/>
      <c r="T65" s="672"/>
      <c r="U65" s="672"/>
      <c r="V65" s="672"/>
    </row>
    <row r="66">
      <c r="A66" s="682" t="s">
        <v>208</v>
      </c>
      <c r="B66" s="683"/>
      <c r="C66" s="593"/>
      <c r="D66" s="598">
        <v>1.0</v>
      </c>
      <c r="E66" s="665">
        <v>43161.0</v>
      </c>
      <c r="F66" s="603">
        <v>1.0</v>
      </c>
      <c r="G66" s="669">
        <v>43161.0</v>
      </c>
      <c r="H66" s="606">
        <v>300.0</v>
      </c>
      <c r="I66" s="698">
        <v>11236.0</v>
      </c>
      <c r="J66" s="607"/>
      <c r="K66" s="607"/>
      <c r="L66" s="609"/>
      <c r="M66" s="683"/>
      <c r="N66" s="567">
        <v>0.4</v>
      </c>
      <c r="O66" s="568">
        <v>0.4</v>
      </c>
      <c r="P66" s="539"/>
      <c r="Q66" s="539"/>
      <c r="R66" s="655"/>
      <c r="S66" s="674"/>
      <c r="T66" s="674"/>
      <c r="U66" s="674"/>
      <c r="V66" s="674"/>
    </row>
    <row r="67">
      <c r="A67" s="681" t="s">
        <v>310</v>
      </c>
      <c r="B67" s="585">
        <v>1.0</v>
      </c>
      <c r="C67" s="612">
        <v>2.0</v>
      </c>
      <c r="D67" s="613">
        <v>1.0</v>
      </c>
      <c r="E67" s="614">
        <v>2.0</v>
      </c>
      <c r="F67" s="615">
        <v>1.0</v>
      </c>
      <c r="G67" s="616">
        <v>2.0</v>
      </c>
      <c r="H67" s="699"/>
      <c r="I67" s="618">
        <v>43317.0</v>
      </c>
      <c r="J67" s="692"/>
      <c r="K67" s="692"/>
      <c r="L67" s="693"/>
      <c r="M67" s="675"/>
      <c r="N67" s="694"/>
      <c r="O67" s="678"/>
      <c r="P67" s="552"/>
      <c r="Q67" s="662"/>
      <c r="R67" s="662"/>
      <c r="S67" s="672"/>
      <c r="T67" s="672"/>
      <c r="U67" s="672"/>
      <c r="V67" s="672"/>
    </row>
    <row r="68">
      <c r="A68" s="682" t="s">
        <v>259</v>
      </c>
      <c r="B68" s="683"/>
      <c r="C68" s="593"/>
      <c r="D68" s="598">
        <v>1.0</v>
      </c>
      <c r="E68" s="602">
        <v>2.0</v>
      </c>
      <c r="F68" s="603"/>
      <c r="G68" s="645"/>
      <c r="H68" s="626"/>
      <c r="I68" s="592">
        <v>2.0</v>
      </c>
      <c r="J68" s="688"/>
      <c r="K68" s="688"/>
      <c r="L68" s="689"/>
      <c r="M68" s="683"/>
      <c r="N68" s="690"/>
      <c r="O68" s="679"/>
      <c r="P68" s="539"/>
      <c r="Q68" s="655"/>
      <c r="R68" s="655"/>
    </row>
    <row r="69">
      <c r="A69" s="684" t="s">
        <v>311</v>
      </c>
      <c r="B69" s="685"/>
      <c r="C69" s="634"/>
      <c r="D69" s="635">
        <v>1.0</v>
      </c>
      <c r="E69" s="636">
        <v>2.0</v>
      </c>
      <c r="F69" s="637"/>
      <c r="G69" s="700"/>
      <c r="H69" s="654"/>
      <c r="I69" s="585">
        <v>5.0</v>
      </c>
      <c r="J69" s="692"/>
      <c r="K69" s="692"/>
      <c r="L69" s="693"/>
      <c r="M69" s="675"/>
      <c r="N69" s="694"/>
      <c r="O69" s="678"/>
      <c r="P69" s="552"/>
      <c r="Q69" s="662"/>
      <c r="R69" s="662"/>
      <c r="S69" s="672"/>
      <c r="T69" s="672"/>
      <c r="U69" s="672"/>
      <c r="V69" s="672"/>
    </row>
    <row r="70">
      <c r="A70" s="564" t="s">
        <v>312</v>
      </c>
      <c r="B70" s="565"/>
      <c r="C70" s="565"/>
      <c r="D70" s="565"/>
      <c r="E70" s="565"/>
      <c r="F70" s="565"/>
      <c r="G70" s="565"/>
      <c r="H70" s="565"/>
      <c r="I70" s="683"/>
      <c r="J70" s="688"/>
      <c r="K70" s="688"/>
      <c r="L70" s="689"/>
      <c r="M70" s="683"/>
      <c r="N70" s="690"/>
      <c r="O70" s="679"/>
      <c r="P70" s="655"/>
      <c r="Q70" s="655"/>
      <c r="R70" s="655"/>
      <c r="S70" s="674"/>
      <c r="T70" s="674"/>
      <c r="U70" s="674"/>
      <c r="V70" s="674"/>
    </row>
    <row r="71">
      <c r="A71" s="691" t="s">
        <v>212</v>
      </c>
      <c r="B71" s="695"/>
      <c r="C71" s="577"/>
      <c r="D71" s="579">
        <v>5.0</v>
      </c>
      <c r="E71" s="580">
        <v>11.0</v>
      </c>
      <c r="F71" s="581"/>
      <c r="G71" s="661"/>
      <c r="H71" s="642"/>
      <c r="I71" s="585" t="s">
        <v>313</v>
      </c>
      <c r="J71" s="586">
        <v>1.32</v>
      </c>
      <c r="K71" s="692"/>
      <c r="L71" s="693"/>
      <c r="M71" s="675"/>
      <c r="N71" s="694"/>
      <c r="O71" s="678"/>
      <c r="P71" s="662"/>
      <c r="Q71" s="662"/>
      <c r="R71" s="662"/>
      <c r="S71" s="672"/>
      <c r="T71" s="672"/>
      <c r="U71" s="672"/>
      <c r="V71" s="672"/>
    </row>
    <row r="72">
      <c r="A72" s="682" t="s">
        <v>214</v>
      </c>
      <c r="B72" s="683"/>
      <c r="C72" s="593"/>
      <c r="D72" s="598">
        <v>5.0</v>
      </c>
      <c r="E72" s="602">
        <v>10.0</v>
      </c>
      <c r="F72" s="603"/>
      <c r="G72" s="645"/>
      <c r="H72" s="626"/>
      <c r="I72" s="592" t="s">
        <v>291</v>
      </c>
      <c r="J72" s="607">
        <v>1.22</v>
      </c>
      <c r="K72" s="688"/>
      <c r="L72" s="689"/>
      <c r="M72" s="683"/>
      <c r="N72" s="690"/>
      <c r="O72" s="679"/>
      <c r="P72" s="655"/>
      <c r="Q72" s="655"/>
      <c r="R72" s="655"/>
      <c r="S72" s="674"/>
      <c r="T72" s="674"/>
      <c r="U72" s="674"/>
      <c r="V72" s="674"/>
    </row>
    <row r="73">
      <c r="A73" s="681" t="s">
        <v>229</v>
      </c>
      <c r="B73" s="675"/>
      <c r="C73" s="612"/>
      <c r="D73" s="613">
        <v>5.0</v>
      </c>
      <c r="E73" s="614">
        <v>11.0</v>
      </c>
      <c r="F73" s="615"/>
      <c r="G73" s="677"/>
      <c r="H73" s="699"/>
      <c r="I73" s="585" t="s">
        <v>314</v>
      </c>
      <c r="J73" s="586">
        <v>1.42</v>
      </c>
      <c r="K73" s="692"/>
      <c r="L73" s="693"/>
      <c r="M73" s="675"/>
      <c r="N73" s="694"/>
      <c r="O73" s="678"/>
      <c r="P73" s="662"/>
      <c r="Q73" s="662"/>
      <c r="R73" s="662"/>
      <c r="S73" s="672"/>
      <c r="T73" s="672"/>
      <c r="U73" s="672"/>
      <c r="V73" s="672"/>
    </row>
    <row r="74">
      <c r="A74" s="682" t="s">
        <v>232</v>
      </c>
      <c r="B74" s="683"/>
      <c r="C74" s="593"/>
      <c r="D74" s="598">
        <v>5.0</v>
      </c>
      <c r="E74" s="602">
        <v>10.0</v>
      </c>
      <c r="F74" s="603"/>
      <c r="G74" s="645"/>
      <c r="H74" s="626"/>
      <c r="I74" s="592" t="s">
        <v>315</v>
      </c>
      <c r="J74" s="607">
        <v>1.27</v>
      </c>
      <c r="K74" s="688"/>
      <c r="L74" s="689"/>
      <c r="M74" s="683"/>
      <c r="N74" s="690"/>
      <c r="O74" s="679"/>
      <c r="P74" s="655"/>
      <c r="Q74" s="655"/>
      <c r="R74" s="655"/>
      <c r="S74" s="674"/>
      <c r="T74" s="674"/>
      <c r="U74" s="674"/>
      <c r="V74" s="674"/>
    </row>
    <row r="75">
      <c r="A75" s="681" t="s">
        <v>236</v>
      </c>
      <c r="B75" s="675"/>
      <c r="C75" s="612"/>
      <c r="D75" s="613">
        <v>4.0</v>
      </c>
      <c r="E75" s="614">
        <v>10.0</v>
      </c>
      <c r="F75" s="615"/>
      <c r="G75" s="677"/>
      <c r="H75" s="699"/>
      <c r="I75" s="585" t="s">
        <v>316</v>
      </c>
      <c r="J75" s="586">
        <v>1.32</v>
      </c>
      <c r="K75" s="692"/>
      <c r="L75" s="693"/>
      <c r="M75" s="675"/>
      <c r="N75" s="694"/>
      <c r="O75" s="678"/>
      <c r="P75" s="662"/>
      <c r="Q75" s="662"/>
      <c r="R75" s="662"/>
      <c r="S75" s="672"/>
      <c r="T75" s="672"/>
      <c r="U75" s="672"/>
      <c r="V75" s="672"/>
    </row>
    <row r="76">
      <c r="A76" s="682" t="s">
        <v>317</v>
      </c>
      <c r="B76" s="683"/>
      <c r="C76" s="593"/>
      <c r="D76" s="598">
        <v>2.0</v>
      </c>
      <c r="E76" s="602">
        <v>4.0</v>
      </c>
      <c r="F76" s="603"/>
      <c r="G76" s="645"/>
      <c r="H76" s="626"/>
      <c r="I76" s="592">
        <v>7.0</v>
      </c>
      <c r="J76" s="607">
        <v>1.93</v>
      </c>
      <c r="K76" s="688"/>
      <c r="L76" s="689"/>
      <c r="M76" s="683"/>
      <c r="N76" s="690"/>
      <c r="O76" s="679"/>
      <c r="P76" s="655"/>
      <c r="Q76" s="655"/>
      <c r="R76" s="655"/>
      <c r="S76" s="674"/>
      <c r="T76" s="674"/>
      <c r="U76" s="674"/>
      <c r="V76" s="674"/>
    </row>
    <row r="77">
      <c r="A77" s="681" t="s">
        <v>284</v>
      </c>
      <c r="B77" s="675"/>
      <c r="C77" s="612"/>
      <c r="D77" s="613">
        <v>2.0</v>
      </c>
      <c r="E77" s="614">
        <v>5.0</v>
      </c>
      <c r="F77" s="615"/>
      <c r="G77" s="677"/>
      <c r="H77" s="699"/>
      <c r="I77" s="585">
        <v>6.0</v>
      </c>
      <c r="J77" s="586">
        <v>1.97</v>
      </c>
      <c r="K77" s="692"/>
      <c r="L77" s="693"/>
      <c r="M77" s="675"/>
      <c r="N77" s="694"/>
      <c r="O77" s="678"/>
      <c r="P77" s="662"/>
      <c r="Q77" s="662"/>
      <c r="R77" s="662"/>
      <c r="S77" s="672"/>
      <c r="T77" s="672"/>
      <c r="U77" s="672"/>
      <c r="V77" s="672"/>
    </row>
    <row r="78">
      <c r="A78" s="682" t="s">
        <v>279</v>
      </c>
      <c r="B78" s="683"/>
      <c r="C78" s="593"/>
      <c r="D78" s="598">
        <v>2.0</v>
      </c>
      <c r="E78" s="602">
        <v>4.0</v>
      </c>
      <c r="F78" s="603"/>
      <c r="G78" s="645"/>
      <c r="H78" s="626"/>
      <c r="I78" s="592">
        <v>6.0</v>
      </c>
      <c r="J78" s="607">
        <v>1.97</v>
      </c>
      <c r="K78" s="688"/>
      <c r="L78" s="689"/>
      <c r="M78" s="683"/>
      <c r="N78" s="690"/>
      <c r="O78" s="679"/>
      <c r="P78" s="539"/>
      <c r="Q78" s="655"/>
      <c r="R78" s="655"/>
      <c r="S78" s="674"/>
      <c r="T78" s="674"/>
      <c r="U78" s="674"/>
      <c r="V78" s="674"/>
    </row>
    <row r="79">
      <c r="A79" s="681" t="s">
        <v>318</v>
      </c>
      <c r="B79" s="675"/>
      <c r="C79" s="612"/>
      <c r="D79" s="613">
        <v>2.0</v>
      </c>
      <c r="E79" s="614">
        <v>4.0</v>
      </c>
      <c r="F79" s="615"/>
      <c r="G79" s="677"/>
      <c r="H79" s="699"/>
      <c r="I79" s="585">
        <v>7.0</v>
      </c>
      <c r="J79" s="692"/>
      <c r="K79" s="692"/>
      <c r="L79" s="693"/>
      <c r="M79" s="675"/>
      <c r="N79" s="694"/>
      <c r="O79" s="678"/>
      <c r="P79" s="552"/>
      <c r="Q79" s="662"/>
      <c r="R79" s="662"/>
      <c r="S79" s="672"/>
      <c r="T79" s="672"/>
      <c r="U79" s="672"/>
      <c r="V79" s="672"/>
    </row>
    <row r="80">
      <c r="A80" s="682" t="s">
        <v>319</v>
      </c>
      <c r="B80" s="683"/>
      <c r="C80" s="593"/>
      <c r="D80" s="598">
        <v>8.0</v>
      </c>
      <c r="E80" s="602">
        <v>19.0</v>
      </c>
      <c r="F80" s="603"/>
      <c r="G80" s="645"/>
      <c r="H80" s="606">
        <v>1160.0</v>
      </c>
      <c r="I80" s="592">
        <v>20.0</v>
      </c>
      <c r="J80" s="607">
        <v>1.97</v>
      </c>
      <c r="K80" s="607"/>
      <c r="L80" s="609"/>
      <c r="M80" s="683"/>
      <c r="N80" s="567"/>
      <c r="O80" s="568"/>
      <c r="P80" s="655"/>
      <c r="Q80" s="539"/>
      <c r="R80" s="655"/>
      <c r="S80" s="674"/>
      <c r="T80" s="674"/>
      <c r="U80" s="674"/>
      <c r="V80" s="674"/>
    </row>
    <row r="81">
      <c r="A81" s="684" t="s">
        <v>320</v>
      </c>
      <c r="B81" s="685"/>
      <c r="C81" s="634"/>
      <c r="D81" s="635">
        <v>6.0</v>
      </c>
      <c r="E81" s="636">
        <v>14.0</v>
      </c>
      <c r="F81" s="637"/>
      <c r="G81" s="700"/>
      <c r="H81" s="639">
        <v>885.0</v>
      </c>
      <c r="I81" s="633">
        <v>30.0</v>
      </c>
      <c r="J81" s="701">
        <v>2.27</v>
      </c>
      <c r="K81" s="701"/>
      <c r="L81" s="702"/>
      <c r="M81" s="685"/>
      <c r="N81" s="703"/>
      <c r="O81" s="704"/>
      <c r="P81" s="662"/>
      <c r="Q81" s="552"/>
      <c r="R81" s="662"/>
      <c r="S81" s="672"/>
      <c r="T81" s="672"/>
      <c r="U81" s="672"/>
      <c r="V81" s="672"/>
    </row>
    <row r="82">
      <c r="A82" s="705"/>
      <c r="B82" s="706"/>
      <c r="C82" s="707"/>
      <c r="D82" s="708"/>
      <c r="E82" s="707"/>
      <c r="F82" s="708"/>
      <c r="G82" s="709"/>
      <c r="H82" s="710"/>
      <c r="I82" s="706"/>
      <c r="J82" s="711"/>
      <c r="K82" s="711"/>
      <c r="L82" s="711"/>
      <c r="M82" s="706"/>
      <c r="N82" s="711"/>
      <c r="O82" s="655"/>
      <c r="P82" s="655"/>
      <c r="Q82" s="711"/>
      <c r="R82" s="655"/>
      <c r="S82" s="674"/>
      <c r="T82" s="674"/>
      <c r="U82" s="674"/>
      <c r="V82" s="674"/>
    </row>
    <row r="83">
      <c r="A83" s="712"/>
      <c r="B83" s="713"/>
      <c r="C83" s="714"/>
      <c r="D83" s="715"/>
      <c r="E83" s="714"/>
      <c r="F83" s="715"/>
      <c r="G83" s="716"/>
      <c r="H83" s="717"/>
      <c r="I83" s="713"/>
      <c r="J83" s="718"/>
      <c r="K83" s="718"/>
      <c r="L83" s="718"/>
      <c r="M83" s="713"/>
      <c r="N83" s="718"/>
      <c r="O83" s="662"/>
      <c r="P83" s="662"/>
      <c r="Q83" s="718"/>
      <c r="R83" s="662"/>
      <c r="S83" s="672"/>
      <c r="T83" s="672"/>
      <c r="U83" s="672"/>
      <c r="V83" s="672"/>
    </row>
    <row r="84">
      <c r="A84" s="705"/>
      <c r="B84" s="706"/>
      <c r="C84" s="707"/>
      <c r="D84" s="708"/>
      <c r="E84" s="707"/>
      <c r="F84" s="708"/>
      <c r="G84" s="709"/>
      <c r="H84" s="710"/>
      <c r="I84" s="706"/>
      <c r="J84" s="711"/>
      <c r="K84" s="711"/>
      <c r="L84" s="711"/>
      <c r="M84" s="706"/>
      <c r="N84" s="711"/>
      <c r="O84" s="655"/>
      <c r="P84" s="655"/>
      <c r="Q84" s="711"/>
      <c r="R84" s="655"/>
      <c r="S84" s="674"/>
      <c r="T84" s="674"/>
      <c r="U84" s="674"/>
      <c r="V84" s="674"/>
    </row>
    <row r="85">
      <c r="A85" s="712"/>
      <c r="B85" s="713"/>
      <c r="C85" s="714"/>
      <c r="D85" s="715"/>
      <c r="E85" s="714"/>
      <c r="F85" s="715"/>
      <c r="G85" s="716"/>
      <c r="H85" s="717"/>
      <c r="I85" s="713"/>
      <c r="J85" s="718"/>
      <c r="K85" s="718"/>
      <c r="L85" s="718"/>
      <c r="M85" s="713"/>
      <c r="N85" s="718"/>
      <c r="O85" s="662"/>
      <c r="P85" s="662"/>
      <c r="Q85" s="718"/>
      <c r="R85" s="662"/>
      <c r="S85" s="672"/>
      <c r="T85" s="672"/>
      <c r="U85" s="672"/>
      <c r="V85" s="672"/>
    </row>
    <row r="86">
      <c r="A86" s="705"/>
      <c r="B86" s="706"/>
      <c r="C86" s="707"/>
      <c r="D86" s="708"/>
      <c r="E86" s="707"/>
      <c r="F86" s="708"/>
      <c r="G86" s="709"/>
      <c r="H86" s="710"/>
      <c r="I86" s="706"/>
      <c r="J86" s="711"/>
      <c r="K86" s="711"/>
      <c r="L86" s="711"/>
      <c r="M86" s="706"/>
      <c r="N86" s="711"/>
      <c r="O86" s="655"/>
      <c r="P86" s="655"/>
      <c r="Q86" s="711"/>
      <c r="R86" s="655"/>
      <c r="S86" s="674"/>
      <c r="T86" s="674"/>
      <c r="U86" s="674"/>
      <c r="V86" s="674"/>
    </row>
    <row r="87">
      <c r="A87" s="712"/>
      <c r="B87" s="713"/>
      <c r="C87" s="714"/>
      <c r="D87" s="715"/>
      <c r="E87" s="714"/>
      <c r="F87" s="715"/>
      <c r="G87" s="716"/>
      <c r="H87" s="717"/>
      <c r="I87" s="713"/>
      <c r="J87" s="718"/>
      <c r="K87" s="718"/>
      <c r="L87" s="718"/>
      <c r="M87" s="713"/>
      <c r="N87" s="718"/>
      <c r="O87" s="662"/>
      <c r="P87" s="662"/>
      <c r="Q87" s="718"/>
      <c r="R87" s="662"/>
      <c r="S87" s="672"/>
      <c r="T87" s="672"/>
      <c r="U87" s="672"/>
      <c r="V87" s="672"/>
    </row>
    <row r="88">
      <c r="A88" s="705"/>
      <c r="B88" s="706"/>
      <c r="C88" s="707"/>
      <c r="D88" s="708"/>
      <c r="E88" s="707"/>
      <c r="F88" s="708"/>
      <c r="G88" s="709"/>
      <c r="H88" s="710"/>
      <c r="I88" s="706"/>
      <c r="J88" s="711"/>
      <c r="K88" s="711"/>
      <c r="L88" s="711"/>
      <c r="M88" s="706"/>
      <c r="N88" s="711"/>
      <c r="O88" s="655"/>
      <c r="P88" s="655"/>
      <c r="Q88" s="711"/>
      <c r="R88" s="655"/>
      <c r="S88" s="674"/>
      <c r="T88" s="674"/>
      <c r="U88" s="674"/>
      <c r="V88" s="674"/>
    </row>
    <row r="89">
      <c r="A89" s="712"/>
      <c r="B89" s="713"/>
      <c r="C89" s="714"/>
      <c r="D89" s="715"/>
      <c r="E89" s="714"/>
      <c r="F89" s="715"/>
      <c r="G89" s="716"/>
      <c r="H89" s="717"/>
      <c r="I89" s="713"/>
      <c r="J89" s="718"/>
      <c r="K89" s="718"/>
      <c r="L89" s="718"/>
      <c r="M89" s="713"/>
      <c r="N89" s="718"/>
      <c r="O89" s="662"/>
      <c r="P89" s="662"/>
      <c r="Q89" s="718"/>
      <c r="R89" s="662"/>
      <c r="S89" s="672"/>
      <c r="T89" s="672"/>
      <c r="U89" s="672"/>
      <c r="V89" s="672"/>
    </row>
    <row r="90">
      <c r="A90" s="705"/>
      <c r="B90" s="706"/>
      <c r="C90" s="707"/>
      <c r="D90" s="708"/>
      <c r="E90" s="707"/>
      <c r="F90" s="708"/>
      <c r="G90" s="709"/>
      <c r="H90" s="710"/>
      <c r="I90" s="706"/>
      <c r="J90" s="711"/>
      <c r="K90" s="711"/>
      <c r="L90" s="711"/>
      <c r="M90" s="706"/>
      <c r="N90" s="711"/>
      <c r="O90" s="655"/>
      <c r="P90" s="655"/>
      <c r="Q90" s="711"/>
      <c r="R90" s="655"/>
      <c r="S90" s="674"/>
      <c r="T90" s="674"/>
      <c r="U90" s="674"/>
      <c r="V90" s="674"/>
    </row>
    <row r="91">
      <c r="A91" s="712"/>
      <c r="B91" s="713"/>
      <c r="C91" s="714"/>
      <c r="D91" s="715"/>
      <c r="E91" s="714"/>
      <c r="F91" s="715"/>
      <c r="G91" s="716"/>
      <c r="H91" s="717"/>
      <c r="I91" s="713"/>
      <c r="J91" s="718"/>
      <c r="K91" s="718"/>
      <c r="L91" s="718"/>
      <c r="M91" s="713"/>
      <c r="N91" s="718"/>
      <c r="O91" s="662"/>
      <c r="P91" s="662"/>
      <c r="Q91" s="718"/>
      <c r="R91" s="662"/>
      <c r="S91" s="672"/>
      <c r="T91" s="672"/>
      <c r="U91" s="672"/>
      <c r="V91" s="672"/>
    </row>
    <row r="92">
      <c r="A92" s="705"/>
      <c r="B92" s="706"/>
      <c r="C92" s="707"/>
      <c r="D92" s="708"/>
      <c r="E92" s="707"/>
      <c r="F92" s="708"/>
      <c r="G92" s="709"/>
      <c r="H92" s="710"/>
      <c r="I92" s="706"/>
      <c r="J92" s="711"/>
      <c r="K92" s="711"/>
      <c r="L92" s="711"/>
      <c r="M92" s="706"/>
      <c r="N92" s="711"/>
      <c r="O92" s="655"/>
      <c r="P92" s="655"/>
      <c r="Q92" s="711"/>
      <c r="R92" s="655"/>
      <c r="S92" s="674"/>
      <c r="T92" s="674"/>
      <c r="U92" s="674"/>
      <c r="V92" s="674"/>
    </row>
    <row r="93">
      <c r="A93" s="712"/>
      <c r="B93" s="713"/>
      <c r="C93" s="714"/>
      <c r="D93" s="715"/>
      <c r="E93" s="714"/>
      <c r="F93" s="715"/>
      <c r="G93" s="716"/>
      <c r="H93" s="717"/>
      <c r="I93" s="713"/>
      <c r="J93" s="718"/>
      <c r="K93" s="718"/>
      <c r="L93" s="718"/>
      <c r="M93" s="713"/>
      <c r="N93" s="718"/>
      <c r="O93" s="662"/>
      <c r="P93" s="662"/>
      <c r="Q93" s="718"/>
      <c r="R93" s="662"/>
      <c r="S93" s="672"/>
      <c r="T93" s="672"/>
      <c r="U93" s="672"/>
      <c r="V93" s="672"/>
    </row>
    <row r="94">
      <c r="A94" s="705"/>
      <c r="B94" s="706"/>
      <c r="C94" s="707"/>
      <c r="D94" s="708"/>
      <c r="E94" s="707"/>
      <c r="F94" s="708"/>
      <c r="G94" s="709"/>
      <c r="H94" s="710"/>
      <c r="I94" s="706"/>
      <c r="J94" s="711"/>
      <c r="K94" s="711"/>
      <c r="L94" s="711"/>
      <c r="M94" s="706"/>
      <c r="N94" s="711"/>
      <c r="O94" s="655"/>
      <c r="P94" s="655"/>
      <c r="Q94" s="711"/>
      <c r="R94" s="655"/>
      <c r="S94" s="674"/>
      <c r="T94" s="674"/>
      <c r="U94" s="674"/>
      <c r="V94" s="674"/>
    </row>
    <row r="95">
      <c r="A95" s="712"/>
      <c r="B95" s="713"/>
      <c r="C95" s="714"/>
      <c r="D95" s="715"/>
      <c r="E95" s="714"/>
      <c r="F95" s="715"/>
      <c r="G95" s="716"/>
      <c r="H95" s="717"/>
      <c r="I95" s="713"/>
      <c r="J95" s="718"/>
      <c r="K95" s="718"/>
      <c r="L95" s="718"/>
      <c r="M95" s="713"/>
      <c r="N95" s="718"/>
      <c r="O95" s="662"/>
      <c r="P95" s="662"/>
      <c r="Q95" s="718"/>
      <c r="R95" s="662"/>
      <c r="S95" s="672"/>
      <c r="T95" s="672"/>
      <c r="U95" s="672"/>
      <c r="V95" s="672"/>
    </row>
    <row r="96">
      <c r="A96" s="705"/>
      <c r="B96" s="706"/>
      <c r="C96" s="707"/>
      <c r="D96" s="708"/>
      <c r="E96" s="707"/>
      <c r="F96" s="708"/>
      <c r="G96" s="709"/>
      <c r="H96" s="710"/>
      <c r="I96" s="706"/>
      <c r="J96" s="711"/>
      <c r="K96" s="711"/>
      <c r="L96" s="711"/>
      <c r="M96" s="706"/>
      <c r="N96" s="711"/>
      <c r="O96" s="655"/>
      <c r="P96" s="655"/>
      <c r="Q96" s="711"/>
      <c r="R96" s="655"/>
      <c r="S96" s="674"/>
      <c r="T96" s="674"/>
      <c r="U96" s="674"/>
      <c r="V96" s="674"/>
    </row>
    <row r="97">
      <c r="A97" s="712"/>
      <c r="B97" s="713"/>
      <c r="C97" s="714"/>
      <c r="D97" s="715"/>
      <c r="E97" s="714"/>
      <c r="F97" s="715"/>
      <c r="G97" s="716"/>
      <c r="H97" s="717"/>
      <c r="I97" s="713"/>
      <c r="J97" s="718"/>
      <c r="K97" s="718"/>
      <c r="L97" s="718"/>
      <c r="M97" s="713"/>
      <c r="N97" s="718"/>
      <c r="O97" s="662"/>
      <c r="P97" s="662"/>
      <c r="Q97" s="718"/>
      <c r="R97" s="662"/>
      <c r="S97" s="672"/>
      <c r="T97" s="672"/>
      <c r="U97" s="672"/>
      <c r="V97" s="672"/>
    </row>
    <row r="98">
      <c r="A98" s="705"/>
      <c r="B98" s="706"/>
      <c r="C98" s="707"/>
      <c r="D98" s="708"/>
      <c r="E98" s="707"/>
      <c r="F98" s="708"/>
      <c r="G98" s="709"/>
      <c r="H98" s="710"/>
      <c r="I98" s="706"/>
      <c r="J98" s="711"/>
      <c r="K98" s="711"/>
      <c r="L98" s="711"/>
      <c r="M98" s="706"/>
      <c r="N98" s="711"/>
      <c r="O98" s="655"/>
      <c r="P98" s="655"/>
      <c r="Q98" s="711"/>
      <c r="R98" s="655"/>
      <c r="S98" s="674"/>
      <c r="T98" s="674"/>
      <c r="U98" s="674"/>
      <c r="V98" s="674"/>
    </row>
    <row r="99">
      <c r="A99" s="712"/>
      <c r="B99" s="713"/>
      <c r="C99" s="714"/>
      <c r="D99" s="715"/>
      <c r="E99" s="714"/>
      <c r="F99" s="715"/>
      <c r="G99" s="716"/>
      <c r="H99" s="717"/>
      <c r="I99" s="713"/>
      <c r="J99" s="718"/>
      <c r="K99" s="718"/>
      <c r="L99" s="718"/>
      <c r="M99" s="713"/>
      <c r="N99" s="718"/>
      <c r="O99" s="662"/>
      <c r="P99" s="662"/>
      <c r="Q99" s="718"/>
      <c r="R99" s="662"/>
      <c r="S99" s="672"/>
      <c r="T99" s="672"/>
      <c r="U99" s="672"/>
      <c r="V99" s="672"/>
    </row>
    <row r="100">
      <c r="A100" s="705"/>
      <c r="B100" s="706"/>
      <c r="C100" s="707"/>
      <c r="D100" s="708"/>
      <c r="E100" s="707"/>
      <c r="F100" s="708"/>
      <c r="G100" s="709"/>
      <c r="H100" s="710"/>
      <c r="I100" s="706"/>
      <c r="J100" s="711"/>
      <c r="K100" s="711"/>
      <c r="L100" s="711"/>
      <c r="M100" s="706"/>
      <c r="N100" s="711"/>
      <c r="O100" s="655"/>
      <c r="P100" s="655"/>
      <c r="Q100" s="711"/>
      <c r="R100" s="655"/>
      <c r="S100" s="674"/>
      <c r="T100" s="674"/>
      <c r="U100" s="674"/>
      <c r="V100" s="674"/>
    </row>
    <row r="101">
      <c r="A101" s="712"/>
      <c r="B101" s="713"/>
      <c r="C101" s="714"/>
      <c r="D101" s="715"/>
      <c r="E101" s="714"/>
      <c r="F101" s="715"/>
      <c r="G101" s="716"/>
      <c r="H101" s="717"/>
      <c r="I101" s="713"/>
      <c r="J101" s="718"/>
      <c r="K101" s="718"/>
      <c r="L101" s="718"/>
      <c r="M101" s="713"/>
      <c r="N101" s="718"/>
      <c r="O101" s="662"/>
      <c r="P101" s="662"/>
      <c r="Q101" s="718"/>
      <c r="R101" s="662"/>
      <c r="S101" s="672"/>
      <c r="T101" s="672"/>
      <c r="U101" s="672"/>
      <c r="V101" s="672"/>
    </row>
    <row r="102">
      <c r="A102" s="705"/>
      <c r="B102" s="706"/>
      <c r="C102" s="707"/>
      <c r="D102" s="708"/>
      <c r="E102" s="707"/>
      <c r="F102" s="708"/>
      <c r="G102" s="709"/>
      <c r="H102" s="710"/>
      <c r="I102" s="706"/>
      <c r="J102" s="711"/>
      <c r="K102" s="711"/>
      <c r="L102" s="711"/>
      <c r="M102" s="706"/>
      <c r="N102" s="711"/>
      <c r="O102" s="655"/>
      <c r="P102" s="655"/>
      <c r="Q102" s="711"/>
      <c r="R102" s="655"/>
      <c r="S102" s="674"/>
      <c r="T102" s="674"/>
      <c r="U102" s="674"/>
      <c r="V102" s="674"/>
    </row>
    <row r="103">
      <c r="A103" s="712"/>
      <c r="B103" s="713"/>
      <c r="C103" s="714"/>
      <c r="D103" s="715"/>
      <c r="E103" s="714"/>
      <c r="F103" s="715"/>
      <c r="G103" s="716"/>
      <c r="H103" s="717"/>
      <c r="I103" s="713"/>
      <c r="J103" s="718"/>
      <c r="K103" s="718"/>
      <c r="L103" s="718"/>
      <c r="M103" s="713"/>
      <c r="N103" s="718"/>
      <c r="O103" s="662"/>
      <c r="P103" s="662"/>
      <c r="Q103" s="718"/>
      <c r="R103" s="662"/>
      <c r="S103" s="672"/>
      <c r="T103" s="672"/>
      <c r="U103" s="672"/>
      <c r="V103" s="672"/>
    </row>
    <row r="104">
      <c r="A104" s="705"/>
      <c r="B104" s="706"/>
      <c r="C104" s="707"/>
      <c r="D104" s="708"/>
      <c r="E104" s="707"/>
      <c r="F104" s="708"/>
      <c r="G104" s="709"/>
      <c r="H104" s="710"/>
      <c r="I104" s="706"/>
      <c r="J104" s="711"/>
      <c r="K104" s="711"/>
      <c r="L104" s="711"/>
      <c r="M104" s="706"/>
      <c r="N104" s="711"/>
      <c r="O104" s="655"/>
      <c r="P104" s="655"/>
      <c r="Q104" s="711"/>
      <c r="R104" s="655"/>
      <c r="S104" s="674"/>
      <c r="T104" s="674"/>
      <c r="U104" s="674"/>
      <c r="V104" s="674"/>
    </row>
    <row r="105">
      <c r="A105" s="712"/>
      <c r="B105" s="713"/>
      <c r="C105" s="714"/>
      <c r="D105" s="715"/>
      <c r="E105" s="714"/>
      <c r="F105" s="715"/>
      <c r="G105" s="716"/>
      <c r="H105" s="717"/>
      <c r="I105" s="713"/>
      <c r="J105" s="718"/>
      <c r="K105" s="718"/>
      <c r="L105" s="718"/>
      <c r="M105" s="713"/>
      <c r="N105" s="718"/>
      <c r="O105" s="662"/>
      <c r="P105" s="662"/>
      <c r="Q105" s="718"/>
      <c r="R105" s="662"/>
      <c r="S105" s="672"/>
      <c r="T105" s="672"/>
      <c r="U105" s="672"/>
      <c r="V105" s="672"/>
    </row>
    <row r="106">
      <c r="A106" s="705"/>
      <c r="B106" s="706"/>
      <c r="C106" s="707"/>
      <c r="D106" s="708"/>
      <c r="E106" s="707"/>
      <c r="F106" s="708"/>
      <c r="G106" s="709"/>
      <c r="H106" s="710"/>
      <c r="I106" s="706"/>
      <c r="J106" s="711"/>
      <c r="K106" s="711"/>
      <c r="L106" s="711"/>
      <c r="M106" s="706"/>
      <c r="N106" s="711"/>
      <c r="O106" s="655"/>
      <c r="P106" s="655"/>
      <c r="Q106" s="711"/>
      <c r="R106" s="655"/>
      <c r="S106" s="674"/>
      <c r="T106" s="674"/>
      <c r="U106" s="674"/>
      <c r="V106" s="674"/>
    </row>
    <row r="107">
      <c r="A107" s="712"/>
      <c r="B107" s="713"/>
      <c r="C107" s="714"/>
      <c r="D107" s="715"/>
      <c r="E107" s="714"/>
      <c r="F107" s="715"/>
      <c r="G107" s="716"/>
      <c r="H107" s="717"/>
      <c r="I107" s="713"/>
      <c r="J107" s="718"/>
      <c r="K107" s="718"/>
      <c r="L107" s="718"/>
      <c r="M107" s="713"/>
      <c r="N107" s="718"/>
      <c r="O107" s="662"/>
      <c r="P107" s="662"/>
      <c r="Q107" s="718"/>
      <c r="R107" s="662"/>
      <c r="S107" s="672"/>
      <c r="T107" s="672"/>
      <c r="U107" s="672"/>
      <c r="V107" s="672"/>
    </row>
    <row r="108">
      <c r="A108" s="705"/>
      <c r="B108" s="706"/>
      <c r="C108" s="707"/>
      <c r="D108" s="708"/>
      <c r="E108" s="707"/>
      <c r="F108" s="708"/>
      <c r="G108" s="709"/>
      <c r="H108" s="710"/>
      <c r="I108" s="706"/>
      <c r="J108" s="711"/>
      <c r="K108" s="711"/>
      <c r="L108" s="711"/>
      <c r="M108" s="706"/>
      <c r="N108" s="711"/>
      <c r="O108" s="655"/>
      <c r="P108" s="655"/>
      <c r="Q108" s="711"/>
      <c r="R108" s="655"/>
      <c r="S108" s="674"/>
      <c r="T108" s="674"/>
      <c r="U108" s="674"/>
      <c r="V108" s="674"/>
    </row>
    <row r="109">
      <c r="A109" s="712"/>
      <c r="B109" s="713"/>
      <c r="C109" s="714"/>
      <c r="D109" s="715"/>
      <c r="E109" s="714"/>
      <c r="F109" s="715"/>
      <c r="G109" s="716"/>
      <c r="H109" s="717"/>
      <c r="I109" s="713"/>
      <c r="J109" s="718"/>
      <c r="K109" s="718"/>
      <c r="L109" s="718"/>
      <c r="M109" s="713"/>
      <c r="N109" s="718"/>
      <c r="O109" s="662"/>
      <c r="P109" s="662"/>
      <c r="Q109" s="718"/>
      <c r="R109" s="662"/>
      <c r="S109" s="672"/>
      <c r="T109" s="672"/>
      <c r="U109" s="672"/>
      <c r="V109" s="672"/>
    </row>
    <row r="110">
      <c r="A110" s="705"/>
      <c r="B110" s="706"/>
      <c r="C110" s="707"/>
      <c r="D110" s="708"/>
      <c r="E110" s="707"/>
      <c r="F110" s="708"/>
      <c r="G110" s="709"/>
      <c r="H110" s="710"/>
      <c r="I110" s="706"/>
      <c r="J110" s="711"/>
      <c r="K110" s="711"/>
      <c r="L110" s="711"/>
      <c r="M110" s="706"/>
      <c r="N110" s="711"/>
      <c r="O110" s="655"/>
      <c r="P110" s="655"/>
      <c r="Q110" s="711"/>
      <c r="R110" s="655"/>
      <c r="S110" s="674"/>
      <c r="T110" s="674"/>
      <c r="U110" s="674"/>
      <c r="V110" s="674"/>
    </row>
    <row r="111">
      <c r="A111" s="712"/>
      <c r="B111" s="713"/>
      <c r="C111" s="714"/>
      <c r="D111" s="715"/>
      <c r="E111" s="714"/>
      <c r="F111" s="715"/>
      <c r="G111" s="716"/>
      <c r="H111" s="717"/>
      <c r="I111" s="713"/>
      <c r="J111" s="718"/>
      <c r="K111" s="718"/>
      <c r="L111" s="718"/>
      <c r="M111" s="713"/>
      <c r="N111" s="718"/>
      <c r="O111" s="662"/>
      <c r="P111" s="662"/>
      <c r="Q111" s="718"/>
      <c r="R111" s="662"/>
      <c r="S111" s="672"/>
      <c r="T111" s="672"/>
      <c r="U111" s="672"/>
      <c r="V111" s="672"/>
    </row>
    <row r="112">
      <c r="A112" s="705"/>
      <c r="B112" s="706"/>
      <c r="C112" s="707"/>
      <c r="D112" s="708"/>
      <c r="E112" s="707"/>
      <c r="F112" s="708"/>
      <c r="G112" s="709"/>
      <c r="H112" s="710"/>
      <c r="I112" s="706"/>
      <c r="J112" s="711"/>
      <c r="K112" s="711"/>
      <c r="L112" s="711"/>
      <c r="M112" s="706"/>
      <c r="N112" s="711"/>
      <c r="O112" s="655"/>
      <c r="P112" s="655"/>
      <c r="Q112" s="711"/>
      <c r="R112" s="655"/>
      <c r="S112" s="674"/>
      <c r="T112" s="674"/>
      <c r="U112" s="674"/>
      <c r="V112" s="674"/>
    </row>
    <row r="113">
      <c r="A113" s="712"/>
      <c r="B113" s="713"/>
      <c r="C113" s="714"/>
      <c r="D113" s="715"/>
      <c r="E113" s="714"/>
      <c r="F113" s="715"/>
      <c r="G113" s="716"/>
      <c r="H113" s="717"/>
      <c r="I113" s="713"/>
      <c r="J113" s="718"/>
      <c r="K113" s="718"/>
      <c r="L113" s="718"/>
      <c r="M113" s="713"/>
      <c r="N113" s="718"/>
      <c r="O113" s="662"/>
      <c r="P113" s="662"/>
      <c r="Q113" s="718"/>
      <c r="R113" s="662"/>
      <c r="S113" s="672"/>
      <c r="T113" s="672"/>
      <c r="U113" s="672"/>
      <c r="V113" s="672"/>
    </row>
    <row r="114">
      <c r="A114" s="705"/>
      <c r="B114" s="706"/>
      <c r="C114" s="707"/>
      <c r="D114" s="708"/>
      <c r="E114" s="707"/>
      <c r="F114" s="708"/>
      <c r="G114" s="709"/>
      <c r="H114" s="710"/>
      <c r="I114" s="706"/>
      <c r="J114" s="711"/>
      <c r="K114" s="711"/>
      <c r="L114" s="711"/>
      <c r="M114" s="706"/>
      <c r="N114" s="711"/>
      <c r="O114" s="655"/>
      <c r="P114" s="655"/>
      <c r="Q114" s="711"/>
      <c r="R114" s="655"/>
      <c r="S114" s="674"/>
      <c r="T114" s="674"/>
      <c r="U114" s="674"/>
      <c r="V114" s="674"/>
    </row>
    <row r="115">
      <c r="A115" s="712"/>
      <c r="B115" s="713"/>
      <c r="C115" s="714"/>
      <c r="D115" s="715"/>
      <c r="E115" s="714"/>
      <c r="F115" s="715"/>
      <c r="G115" s="716"/>
      <c r="H115" s="717"/>
      <c r="I115" s="713"/>
      <c r="J115" s="718"/>
      <c r="K115" s="718"/>
      <c r="L115" s="718"/>
      <c r="M115" s="713"/>
      <c r="N115" s="718"/>
      <c r="O115" s="662"/>
      <c r="P115" s="662"/>
      <c r="Q115" s="718"/>
      <c r="R115" s="662"/>
      <c r="S115" s="672"/>
      <c r="T115" s="672"/>
      <c r="U115" s="672"/>
      <c r="V115" s="672"/>
    </row>
    <row r="116">
      <c r="A116" s="705"/>
      <c r="B116" s="706"/>
      <c r="C116" s="707"/>
      <c r="D116" s="708"/>
      <c r="E116" s="707"/>
      <c r="F116" s="708"/>
      <c r="G116" s="709"/>
      <c r="H116" s="710"/>
      <c r="I116" s="706"/>
      <c r="J116" s="711"/>
      <c r="K116" s="711"/>
      <c r="L116" s="711"/>
      <c r="M116" s="706"/>
      <c r="N116" s="711"/>
      <c r="O116" s="655"/>
      <c r="P116" s="655"/>
      <c r="Q116" s="711"/>
      <c r="R116" s="655"/>
      <c r="S116" s="674"/>
      <c r="T116" s="674"/>
      <c r="U116" s="674"/>
      <c r="V116" s="674"/>
    </row>
    <row r="117">
      <c r="A117" s="712"/>
      <c r="B117" s="713"/>
      <c r="C117" s="714"/>
      <c r="D117" s="715"/>
      <c r="E117" s="714"/>
      <c r="F117" s="715"/>
      <c r="G117" s="716"/>
      <c r="H117" s="717"/>
      <c r="I117" s="713"/>
      <c r="J117" s="718"/>
      <c r="K117" s="718"/>
      <c r="L117" s="718"/>
      <c r="M117" s="713"/>
      <c r="N117" s="718"/>
      <c r="O117" s="662"/>
      <c r="P117" s="662"/>
      <c r="Q117" s="718"/>
      <c r="R117" s="662"/>
      <c r="S117" s="672"/>
      <c r="T117" s="672"/>
      <c r="U117" s="672"/>
      <c r="V117" s="672"/>
    </row>
    <row r="118">
      <c r="A118" s="705"/>
      <c r="B118" s="706"/>
      <c r="C118" s="707"/>
      <c r="D118" s="708"/>
      <c r="E118" s="707"/>
      <c r="F118" s="708"/>
      <c r="G118" s="709"/>
      <c r="H118" s="710"/>
      <c r="I118" s="706"/>
      <c r="J118" s="711"/>
      <c r="K118" s="711"/>
      <c r="L118" s="711"/>
      <c r="M118" s="706"/>
      <c r="N118" s="711"/>
      <c r="O118" s="655"/>
      <c r="P118" s="655"/>
      <c r="Q118" s="711"/>
      <c r="R118" s="655"/>
      <c r="S118" s="674"/>
      <c r="T118" s="674"/>
      <c r="U118" s="674"/>
      <c r="V118" s="674"/>
    </row>
    <row r="119">
      <c r="A119" s="712"/>
      <c r="B119" s="713"/>
      <c r="C119" s="714"/>
      <c r="D119" s="715"/>
      <c r="E119" s="714"/>
      <c r="F119" s="715"/>
      <c r="G119" s="716"/>
      <c r="H119" s="717"/>
      <c r="I119" s="713"/>
      <c r="J119" s="718"/>
      <c r="K119" s="718"/>
      <c r="L119" s="718"/>
      <c r="M119" s="713"/>
      <c r="N119" s="718"/>
      <c r="O119" s="662"/>
      <c r="P119" s="662"/>
      <c r="Q119" s="718"/>
      <c r="R119" s="662"/>
      <c r="S119" s="672"/>
      <c r="T119" s="672"/>
      <c r="U119" s="672"/>
      <c r="V119" s="672"/>
    </row>
    <row r="120">
      <c r="A120" s="705"/>
      <c r="B120" s="706"/>
      <c r="C120" s="707"/>
      <c r="D120" s="708"/>
      <c r="E120" s="707"/>
      <c r="F120" s="708"/>
      <c r="G120" s="709"/>
      <c r="H120" s="710"/>
      <c r="I120" s="706"/>
      <c r="J120" s="711"/>
      <c r="K120" s="711"/>
      <c r="L120" s="711"/>
      <c r="M120" s="706"/>
      <c r="N120" s="711"/>
      <c r="O120" s="655"/>
      <c r="P120" s="655"/>
      <c r="Q120" s="711"/>
      <c r="R120" s="655"/>
      <c r="S120" s="674"/>
      <c r="T120" s="674"/>
      <c r="U120" s="674"/>
      <c r="V120" s="674"/>
    </row>
    <row r="121">
      <c r="A121" s="712"/>
      <c r="B121" s="713"/>
      <c r="C121" s="714"/>
      <c r="D121" s="715"/>
      <c r="E121" s="714"/>
      <c r="F121" s="715"/>
      <c r="G121" s="716"/>
      <c r="H121" s="717"/>
      <c r="I121" s="713"/>
      <c r="J121" s="718"/>
      <c r="K121" s="718"/>
      <c r="L121" s="718"/>
      <c r="M121" s="713"/>
      <c r="N121" s="718"/>
      <c r="O121" s="662"/>
      <c r="P121" s="662"/>
      <c r="Q121" s="718"/>
      <c r="R121" s="662"/>
      <c r="S121" s="672"/>
      <c r="T121" s="672"/>
      <c r="U121" s="672"/>
      <c r="V121" s="672"/>
    </row>
    <row r="122">
      <c r="A122" s="705"/>
      <c r="B122" s="706"/>
      <c r="C122" s="707"/>
      <c r="D122" s="708"/>
      <c r="E122" s="707"/>
      <c r="F122" s="708"/>
      <c r="G122" s="709"/>
      <c r="H122" s="710"/>
      <c r="I122" s="706"/>
      <c r="J122" s="711"/>
      <c r="K122" s="711"/>
      <c r="L122" s="711"/>
      <c r="M122" s="706"/>
      <c r="N122" s="711"/>
      <c r="O122" s="655"/>
      <c r="P122" s="655"/>
      <c r="Q122" s="711"/>
      <c r="R122" s="655"/>
      <c r="S122" s="674"/>
      <c r="T122" s="674"/>
      <c r="U122" s="674"/>
      <c r="V122" s="674"/>
    </row>
    <row r="123">
      <c r="A123" s="712"/>
      <c r="B123" s="713"/>
      <c r="C123" s="714"/>
      <c r="D123" s="715"/>
      <c r="E123" s="714"/>
      <c r="F123" s="715"/>
      <c r="G123" s="716"/>
      <c r="H123" s="717"/>
      <c r="I123" s="713"/>
      <c r="J123" s="718"/>
      <c r="K123" s="718"/>
      <c r="L123" s="718"/>
      <c r="M123" s="713"/>
      <c r="N123" s="718"/>
      <c r="O123" s="662"/>
      <c r="P123" s="662"/>
      <c r="Q123" s="718"/>
      <c r="R123" s="662"/>
      <c r="S123" s="672"/>
      <c r="T123" s="672"/>
      <c r="U123" s="672"/>
      <c r="V123" s="672"/>
    </row>
    <row r="124">
      <c r="A124" s="705"/>
      <c r="B124" s="706"/>
      <c r="C124" s="707"/>
      <c r="D124" s="708"/>
      <c r="E124" s="707"/>
      <c r="F124" s="708"/>
      <c r="G124" s="709"/>
      <c r="H124" s="710"/>
      <c r="I124" s="706"/>
      <c r="J124" s="711"/>
      <c r="K124" s="711"/>
      <c r="L124" s="711"/>
      <c r="M124" s="706"/>
      <c r="N124" s="711"/>
      <c r="O124" s="655"/>
      <c r="P124" s="655"/>
      <c r="Q124" s="711"/>
      <c r="R124" s="655"/>
      <c r="S124" s="674"/>
      <c r="T124" s="674"/>
      <c r="U124" s="674"/>
      <c r="V124" s="674"/>
    </row>
    <row r="125">
      <c r="A125" s="712"/>
      <c r="B125" s="713"/>
      <c r="C125" s="714"/>
      <c r="D125" s="715"/>
      <c r="E125" s="714"/>
      <c r="F125" s="715"/>
      <c r="G125" s="716"/>
      <c r="H125" s="717"/>
      <c r="I125" s="713"/>
      <c r="J125" s="718"/>
      <c r="K125" s="718"/>
      <c r="L125" s="718"/>
      <c r="M125" s="713"/>
      <c r="N125" s="718"/>
      <c r="O125" s="662"/>
      <c r="P125" s="662"/>
      <c r="Q125" s="718"/>
      <c r="R125" s="662"/>
      <c r="S125" s="672"/>
      <c r="T125" s="672"/>
      <c r="U125" s="672"/>
      <c r="V125" s="672"/>
    </row>
    <row r="126">
      <c r="A126" s="705"/>
      <c r="B126" s="706"/>
      <c r="C126" s="707"/>
      <c r="D126" s="708"/>
      <c r="E126" s="707"/>
      <c r="F126" s="708"/>
      <c r="G126" s="709"/>
      <c r="H126" s="710"/>
      <c r="I126" s="706"/>
      <c r="J126" s="711"/>
      <c r="K126" s="711"/>
      <c r="L126" s="711"/>
      <c r="M126" s="706"/>
      <c r="N126" s="711"/>
      <c r="O126" s="655"/>
      <c r="P126" s="655"/>
      <c r="Q126" s="711"/>
      <c r="R126" s="655"/>
      <c r="S126" s="674"/>
      <c r="T126" s="674"/>
      <c r="U126" s="674"/>
      <c r="V126" s="674"/>
    </row>
    <row r="127">
      <c r="A127" s="712"/>
      <c r="B127" s="713"/>
      <c r="C127" s="714"/>
      <c r="D127" s="715"/>
      <c r="E127" s="714"/>
      <c r="F127" s="715"/>
      <c r="G127" s="716"/>
      <c r="H127" s="717"/>
      <c r="I127" s="713"/>
      <c r="J127" s="718"/>
      <c r="K127" s="718"/>
      <c r="L127" s="718"/>
      <c r="M127" s="713"/>
      <c r="N127" s="718"/>
      <c r="O127" s="662"/>
      <c r="P127" s="662"/>
      <c r="Q127" s="718"/>
      <c r="R127" s="662"/>
      <c r="S127" s="672"/>
      <c r="T127" s="672"/>
      <c r="U127" s="672"/>
      <c r="V127" s="672"/>
    </row>
    <row r="128">
      <c r="A128" s="705"/>
      <c r="B128" s="706"/>
      <c r="C128" s="707"/>
      <c r="D128" s="708"/>
      <c r="E128" s="707"/>
      <c r="F128" s="708"/>
      <c r="G128" s="709"/>
      <c r="H128" s="710"/>
      <c r="I128" s="706"/>
      <c r="J128" s="711"/>
      <c r="K128" s="711"/>
      <c r="L128" s="711"/>
      <c r="M128" s="706"/>
      <c r="N128" s="711"/>
      <c r="O128" s="655"/>
      <c r="P128" s="655"/>
      <c r="Q128" s="711"/>
      <c r="R128" s="655"/>
      <c r="S128" s="674"/>
      <c r="T128" s="674"/>
      <c r="U128" s="674"/>
      <c r="V128" s="674"/>
    </row>
    <row r="129">
      <c r="A129" s="712"/>
      <c r="B129" s="713"/>
      <c r="C129" s="714"/>
      <c r="D129" s="715"/>
      <c r="E129" s="714"/>
      <c r="F129" s="715"/>
      <c r="G129" s="716"/>
      <c r="H129" s="717"/>
      <c r="I129" s="713"/>
      <c r="J129" s="718"/>
      <c r="K129" s="718"/>
      <c r="L129" s="718"/>
      <c r="M129" s="713"/>
      <c r="N129" s="718"/>
      <c r="O129" s="662"/>
      <c r="P129" s="662"/>
      <c r="Q129" s="718"/>
      <c r="R129" s="662"/>
      <c r="S129" s="672"/>
      <c r="T129" s="672"/>
      <c r="U129" s="672"/>
      <c r="V129" s="672"/>
    </row>
    <row r="130">
      <c r="A130" s="705"/>
      <c r="B130" s="706"/>
      <c r="C130" s="707"/>
      <c r="D130" s="708"/>
      <c r="E130" s="707"/>
      <c r="F130" s="708"/>
      <c r="G130" s="709"/>
      <c r="H130" s="710"/>
      <c r="I130" s="706"/>
      <c r="J130" s="711"/>
      <c r="K130" s="711"/>
      <c r="L130" s="711"/>
      <c r="M130" s="706"/>
      <c r="N130" s="711"/>
      <c r="O130" s="655"/>
      <c r="P130" s="655"/>
      <c r="Q130" s="711"/>
      <c r="R130" s="655"/>
      <c r="S130" s="674"/>
      <c r="T130" s="674"/>
      <c r="U130" s="674"/>
      <c r="V130" s="674"/>
    </row>
    <row r="131">
      <c r="A131" s="712"/>
      <c r="B131" s="713"/>
      <c r="C131" s="714"/>
      <c r="D131" s="715"/>
      <c r="E131" s="714"/>
      <c r="F131" s="715"/>
      <c r="G131" s="716"/>
      <c r="H131" s="717"/>
      <c r="I131" s="713"/>
      <c r="J131" s="718"/>
      <c r="K131" s="718"/>
      <c r="L131" s="718"/>
      <c r="M131" s="713"/>
      <c r="N131" s="718"/>
      <c r="O131" s="662"/>
      <c r="P131" s="662"/>
      <c r="Q131" s="718"/>
      <c r="R131" s="662"/>
      <c r="S131" s="672"/>
      <c r="T131" s="672"/>
      <c r="U131" s="672"/>
      <c r="V131" s="672"/>
    </row>
    <row r="132">
      <c r="A132" s="705"/>
      <c r="B132" s="706"/>
      <c r="C132" s="707"/>
      <c r="D132" s="708"/>
      <c r="E132" s="707"/>
      <c r="F132" s="708"/>
      <c r="G132" s="709"/>
      <c r="H132" s="710"/>
      <c r="I132" s="706"/>
      <c r="J132" s="711"/>
      <c r="K132" s="711"/>
      <c r="L132" s="711"/>
      <c r="M132" s="706"/>
      <c r="N132" s="711"/>
      <c r="O132" s="655"/>
      <c r="P132" s="655"/>
      <c r="Q132" s="711"/>
      <c r="R132" s="655"/>
      <c r="S132" s="674"/>
      <c r="T132" s="674"/>
      <c r="U132" s="674"/>
      <c r="V132" s="674"/>
    </row>
    <row r="133">
      <c r="A133" s="712"/>
      <c r="B133" s="713"/>
      <c r="C133" s="714"/>
      <c r="D133" s="715"/>
      <c r="E133" s="714"/>
      <c r="F133" s="715"/>
      <c r="G133" s="716"/>
      <c r="H133" s="717"/>
      <c r="I133" s="713"/>
      <c r="J133" s="718"/>
      <c r="K133" s="718"/>
      <c r="L133" s="718"/>
      <c r="M133" s="713"/>
      <c r="N133" s="718"/>
      <c r="O133" s="662"/>
      <c r="P133" s="662"/>
      <c r="Q133" s="718"/>
      <c r="R133" s="662"/>
      <c r="S133" s="672"/>
      <c r="T133" s="672"/>
      <c r="U133" s="672"/>
      <c r="V133" s="672"/>
    </row>
    <row r="134">
      <c r="A134" s="705"/>
      <c r="B134" s="706"/>
      <c r="C134" s="707"/>
      <c r="D134" s="708"/>
      <c r="E134" s="707"/>
      <c r="F134" s="708"/>
      <c r="G134" s="709"/>
      <c r="H134" s="710"/>
      <c r="I134" s="706"/>
      <c r="J134" s="711"/>
      <c r="K134" s="711"/>
      <c r="L134" s="711"/>
      <c r="M134" s="706"/>
      <c r="N134" s="711"/>
      <c r="O134" s="655"/>
      <c r="P134" s="655"/>
      <c r="Q134" s="711"/>
      <c r="R134" s="655"/>
      <c r="S134" s="674"/>
      <c r="T134" s="674"/>
      <c r="U134" s="674"/>
      <c r="V134" s="674"/>
    </row>
    <row r="135">
      <c r="A135" s="712"/>
      <c r="B135" s="713"/>
      <c r="C135" s="714"/>
      <c r="D135" s="715"/>
      <c r="E135" s="714"/>
      <c r="F135" s="715"/>
      <c r="G135" s="716"/>
      <c r="H135" s="717"/>
      <c r="I135" s="713"/>
      <c r="J135" s="718"/>
      <c r="K135" s="718"/>
      <c r="L135" s="718"/>
      <c r="M135" s="713"/>
      <c r="N135" s="718"/>
      <c r="O135" s="662"/>
      <c r="P135" s="662"/>
      <c r="Q135" s="718"/>
      <c r="R135" s="662"/>
      <c r="S135" s="672"/>
      <c r="T135" s="672"/>
      <c r="U135" s="672"/>
      <c r="V135" s="672"/>
    </row>
    <row r="136">
      <c r="A136" s="705"/>
      <c r="B136" s="706"/>
      <c r="C136" s="707"/>
      <c r="D136" s="708"/>
      <c r="E136" s="707"/>
      <c r="F136" s="708"/>
      <c r="G136" s="709"/>
      <c r="H136" s="710"/>
      <c r="I136" s="706"/>
      <c r="J136" s="711"/>
      <c r="K136" s="711"/>
      <c r="L136" s="711"/>
      <c r="M136" s="706"/>
      <c r="N136" s="711"/>
      <c r="O136" s="655"/>
      <c r="P136" s="655"/>
      <c r="Q136" s="711"/>
      <c r="R136" s="655"/>
      <c r="S136" s="674"/>
      <c r="T136" s="674"/>
      <c r="U136" s="674"/>
      <c r="V136" s="674"/>
    </row>
    <row r="137">
      <c r="A137" s="712"/>
      <c r="B137" s="713"/>
      <c r="C137" s="714"/>
      <c r="D137" s="715"/>
      <c r="E137" s="714"/>
      <c r="F137" s="715"/>
      <c r="G137" s="716"/>
      <c r="H137" s="717"/>
      <c r="I137" s="713"/>
      <c r="J137" s="718"/>
      <c r="K137" s="718"/>
      <c r="L137" s="718"/>
      <c r="M137" s="713"/>
      <c r="N137" s="718"/>
      <c r="O137" s="662"/>
      <c r="P137" s="662"/>
      <c r="Q137" s="718"/>
      <c r="R137" s="662"/>
      <c r="S137" s="672"/>
      <c r="T137" s="672"/>
      <c r="U137" s="672"/>
      <c r="V137" s="672"/>
    </row>
    <row r="138">
      <c r="A138" s="705"/>
      <c r="B138" s="706"/>
      <c r="C138" s="707"/>
      <c r="D138" s="708"/>
      <c r="E138" s="707"/>
      <c r="F138" s="708"/>
      <c r="G138" s="709"/>
      <c r="H138" s="710"/>
      <c r="I138" s="706"/>
      <c r="J138" s="711"/>
      <c r="K138" s="711"/>
      <c r="L138" s="711"/>
      <c r="M138" s="706"/>
      <c r="N138" s="711"/>
      <c r="O138" s="655"/>
      <c r="P138" s="655"/>
      <c r="Q138" s="711"/>
      <c r="R138" s="655"/>
      <c r="S138" s="674"/>
      <c r="T138" s="674"/>
      <c r="U138" s="674"/>
      <c r="V138" s="674"/>
    </row>
    <row r="139">
      <c r="A139" s="712"/>
      <c r="B139" s="713"/>
      <c r="C139" s="714"/>
      <c r="D139" s="715"/>
      <c r="E139" s="714"/>
      <c r="F139" s="715"/>
      <c r="G139" s="716"/>
      <c r="H139" s="717"/>
      <c r="I139" s="713"/>
      <c r="J139" s="718"/>
      <c r="K139" s="718"/>
      <c r="L139" s="718"/>
      <c r="M139" s="713"/>
      <c r="N139" s="718"/>
      <c r="O139" s="662"/>
      <c r="P139" s="662"/>
      <c r="Q139" s="718"/>
      <c r="R139" s="662"/>
      <c r="S139" s="672"/>
      <c r="T139" s="672"/>
      <c r="U139" s="672"/>
      <c r="V139" s="672"/>
    </row>
    <row r="140">
      <c r="A140" s="705"/>
      <c r="B140" s="706"/>
      <c r="C140" s="707"/>
      <c r="D140" s="708"/>
      <c r="E140" s="707"/>
      <c r="F140" s="708"/>
      <c r="G140" s="709"/>
      <c r="H140" s="710"/>
      <c r="I140" s="706"/>
      <c r="J140" s="711"/>
      <c r="K140" s="711"/>
      <c r="L140" s="711"/>
      <c r="M140" s="706"/>
      <c r="N140" s="711"/>
      <c r="O140" s="655"/>
      <c r="P140" s="655"/>
      <c r="Q140" s="711"/>
      <c r="R140" s="655"/>
      <c r="S140" s="674"/>
      <c r="T140" s="674"/>
      <c r="U140" s="674"/>
      <c r="V140" s="674"/>
    </row>
    <row r="141">
      <c r="A141" s="712"/>
      <c r="B141" s="713"/>
      <c r="C141" s="714"/>
      <c r="D141" s="715"/>
      <c r="E141" s="714"/>
      <c r="F141" s="715"/>
      <c r="G141" s="716"/>
      <c r="H141" s="717"/>
      <c r="I141" s="713"/>
      <c r="J141" s="718"/>
      <c r="K141" s="718"/>
      <c r="L141" s="718"/>
      <c r="M141" s="713"/>
      <c r="N141" s="718"/>
      <c r="O141" s="662"/>
      <c r="P141" s="662"/>
      <c r="Q141" s="718"/>
      <c r="R141" s="662"/>
      <c r="S141" s="672"/>
      <c r="T141" s="672"/>
      <c r="U141" s="672"/>
      <c r="V141" s="672"/>
    </row>
    <row r="142">
      <c r="A142" s="705"/>
      <c r="B142" s="706"/>
      <c r="C142" s="707"/>
      <c r="D142" s="708"/>
      <c r="E142" s="707"/>
      <c r="F142" s="708"/>
      <c r="G142" s="709"/>
      <c r="H142" s="710"/>
      <c r="I142" s="706"/>
      <c r="J142" s="711"/>
      <c r="K142" s="711"/>
      <c r="L142" s="711"/>
      <c r="M142" s="706"/>
      <c r="N142" s="711"/>
      <c r="O142" s="655"/>
      <c r="P142" s="655"/>
      <c r="Q142" s="711"/>
      <c r="R142" s="655"/>
      <c r="S142" s="674"/>
      <c r="T142" s="674"/>
      <c r="U142" s="674"/>
      <c r="V142" s="674"/>
    </row>
    <row r="143">
      <c r="A143" s="712"/>
      <c r="B143" s="713"/>
      <c r="C143" s="714"/>
      <c r="D143" s="715"/>
      <c r="E143" s="714"/>
      <c r="F143" s="715"/>
      <c r="G143" s="716"/>
      <c r="H143" s="717"/>
      <c r="I143" s="713"/>
      <c r="J143" s="718"/>
      <c r="K143" s="718"/>
      <c r="L143" s="718"/>
      <c r="M143" s="713"/>
      <c r="N143" s="718"/>
      <c r="O143" s="662"/>
      <c r="P143" s="662"/>
      <c r="Q143" s="718"/>
      <c r="R143" s="662"/>
      <c r="S143" s="672"/>
      <c r="T143" s="672"/>
      <c r="U143" s="672"/>
      <c r="V143" s="672"/>
    </row>
    <row r="144">
      <c r="A144" s="705"/>
      <c r="B144" s="706"/>
      <c r="C144" s="707"/>
      <c r="D144" s="708"/>
      <c r="E144" s="707"/>
      <c r="F144" s="708"/>
      <c r="G144" s="709"/>
      <c r="H144" s="710"/>
      <c r="I144" s="706"/>
      <c r="J144" s="711"/>
      <c r="K144" s="711"/>
      <c r="L144" s="711"/>
      <c r="M144" s="706"/>
      <c r="N144" s="711"/>
      <c r="O144" s="655"/>
      <c r="P144" s="655"/>
      <c r="Q144" s="711"/>
      <c r="R144" s="655"/>
      <c r="S144" s="674"/>
      <c r="T144" s="674"/>
      <c r="U144" s="674"/>
      <c r="V144" s="674"/>
    </row>
    <row r="145">
      <c r="A145" s="712"/>
      <c r="B145" s="713"/>
      <c r="C145" s="714"/>
      <c r="D145" s="715"/>
      <c r="E145" s="714"/>
      <c r="F145" s="715"/>
      <c r="G145" s="716"/>
      <c r="H145" s="717"/>
      <c r="I145" s="713"/>
      <c r="J145" s="718"/>
      <c r="K145" s="718"/>
      <c r="L145" s="718"/>
      <c r="M145" s="713"/>
      <c r="N145" s="718"/>
      <c r="O145" s="662"/>
      <c r="P145" s="662"/>
      <c r="Q145" s="718"/>
      <c r="R145" s="662"/>
      <c r="S145" s="672"/>
      <c r="T145" s="672"/>
      <c r="U145" s="672"/>
      <c r="V145" s="672"/>
    </row>
    <row r="146">
      <c r="A146" s="705"/>
      <c r="B146" s="706"/>
      <c r="C146" s="707"/>
      <c r="D146" s="708"/>
      <c r="E146" s="707"/>
      <c r="F146" s="708"/>
      <c r="G146" s="709"/>
      <c r="H146" s="710"/>
      <c r="I146" s="706"/>
      <c r="J146" s="711"/>
      <c r="K146" s="711"/>
      <c r="L146" s="711"/>
      <c r="M146" s="706"/>
      <c r="N146" s="711"/>
      <c r="O146" s="655"/>
      <c r="P146" s="655"/>
      <c r="Q146" s="711"/>
      <c r="R146" s="655"/>
      <c r="S146" s="674"/>
      <c r="T146" s="674"/>
      <c r="U146" s="674"/>
      <c r="V146" s="674"/>
    </row>
    <row r="147">
      <c r="A147" s="712"/>
      <c r="B147" s="713"/>
      <c r="C147" s="714"/>
      <c r="D147" s="715"/>
      <c r="E147" s="714"/>
      <c r="F147" s="715"/>
      <c r="G147" s="716"/>
      <c r="H147" s="717"/>
      <c r="I147" s="713"/>
      <c r="J147" s="718"/>
      <c r="K147" s="718"/>
      <c r="L147" s="718"/>
      <c r="M147" s="713"/>
      <c r="N147" s="718"/>
      <c r="O147" s="662"/>
      <c r="P147" s="662"/>
      <c r="Q147" s="718"/>
      <c r="R147" s="662"/>
      <c r="S147" s="672"/>
      <c r="T147" s="672"/>
      <c r="U147" s="672"/>
      <c r="V147" s="672"/>
    </row>
    <row r="148">
      <c r="A148" s="705"/>
      <c r="B148" s="706"/>
      <c r="C148" s="707"/>
      <c r="D148" s="708"/>
      <c r="E148" s="707"/>
      <c r="F148" s="708"/>
      <c r="G148" s="709"/>
      <c r="H148" s="710"/>
      <c r="I148" s="706"/>
      <c r="J148" s="711"/>
      <c r="K148" s="711"/>
      <c r="L148" s="711"/>
      <c r="M148" s="706"/>
      <c r="N148" s="711"/>
      <c r="O148" s="655"/>
      <c r="P148" s="655"/>
      <c r="Q148" s="711"/>
      <c r="R148" s="655"/>
      <c r="S148" s="674"/>
      <c r="T148" s="674"/>
      <c r="U148" s="674"/>
      <c r="V148" s="674"/>
    </row>
    <row r="149">
      <c r="A149" s="712"/>
      <c r="B149" s="713"/>
      <c r="C149" s="714"/>
      <c r="D149" s="715"/>
      <c r="E149" s="714"/>
      <c r="F149" s="715"/>
      <c r="G149" s="716"/>
      <c r="H149" s="717"/>
      <c r="I149" s="713"/>
      <c r="J149" s="718"/>
      <c r="K149" s="718"/>
      <c r="L149" s="718"/>
      <c r="M149" s="713"/>
      <c r="N149" s="718"/>
      <c r="O149" s="662"/>
      <c r="P149" s="662"/>
      <c r="Q149" s="718"/>
      <c r="R149" s="662"/>
      <c r="S149" s="672"/>
      <c r="T149" s="672"/>
      <c r="U149" s="672"/>
      <c r="V149" s="672"/>
    </row>
    <row r="150">
      <c r="A150" s="705"/>
      <c r="B150" s="706"/>
      <c r="C150" s="707"/>
      <c r="D150" s="708"/>
      <c r="E150" s="707"/>
      <c r="F150" s="708"/>
      <c r="G150" s="709"/>
      <c r="H150" s="710"/>
      <c r="I150" s="706"/>
      <c r="J150" s="711"/>
      <c r="K150" s="711"/>
      <c r="L150" s="711"/>
      <c r="M150" s="706"/>
      <c r="N150" s="711"/>
      <c r="O150" s="655"/>
      <c r="P150" s="655"/>
      <c r="Q150" s="711"/>
      <c r="R150" s="655"/>
      <c r="S150" s="674"/>
      <c r="T150" s="674"/>
      <c r="U150" s="674"/>
      <c r="V150" s="674"/>
    </row>
    <row r="151">
      <c r="A151" s="712"/>
      <c r="B151" s="713"/>
      <c r="C151" s="714"/>
      <c r="D151" s="715"/>
      <c r="E151" s="714"/>
      <c r="F151" s="715"/>
      <c r="G151" s="716"/>
      <c r="H151" s="717"/>
      <c r="I151" s="713"/>
      <c r="J151" s="718"/>
      <c r="K151" s="718"/>
      <c r="L151" s="718"/>
      <c r="M151" s="713"/>
      <c r="N151" s="718"/>
      <c r="O151" s="662"/>
      <c r="P151" s="662"/>
      <c r="Q151" s="718"/>
      <c r="R151" s="662"/>
      <c r="S151" s="672"/>
      <c r="T151" s="672"/>
      <c r="U151" s="672"/>
      <c r="V151" s="672"/>
    </row>
    <row r="152">
      <c r="A152" s="705"/>
      <c r="B152" s="706"/>
      <c r="C152" s="707"/>
      <c r="D152" s="708"/>
      <c r="E152" s="707"/>
      <c r="F152" s="708"/>
      <c r="G152" s="709"/>
      <c r="H152" s="710"/>
      <c r="I152" s="706"/>
      <c r="J152" s="711"/>
      <c r="K152" s="711"/>
      <c r="L152" s="711"/>
      <c r="M152" s="706"/>
      <c r="N152" s="711"/>
      <c r="O152" s="655"/>
      <c r="P152" s="655"/>
      <c r="Q152" s="711"/>
      <c r="R152" s="655"/>
      <c r="S152" s="674"/>
      <c r="T152" s="674"/>
      <c r="U152" s="674"/>
      <c r="V152" s="674"/>
    </row>
    <row r="153">
      <c r="A153" s="712"/>
      <c r="B153" s="713"/>
      <c r="C153" s="714"/>
      <c r="D153" s="715"/>
      <c r="E153" s="714"/>
      <c r="F153" s="715"/>
      <c r="G153" s="716"/>
      <c r="H153" s="717"/>
      <c r="I153" s="713"/>
      <c r="J153" s="718"/>
      <c r="K153" s="718"/>
      <c r="L153" s="718"/>
      <c r="M153" s="713"/>
      <c r="N153" s="718"/>
      <c r="O153" s="662"/>
      <c r="P153" s="662"/>
      <c r="Q153" s="718"/>
      <c r="R153" s="662"/>
      <c r="S153" s="672"/>
      <c r="T153" s="672"/>
      <c r="U153" s="672"/>
      <c r="V153" s="672"/>
    </row>
    <row r="154">
      <c r="A154" s="705"/>
      <c r="B154" s="706"/>
      <c r="C154" s="707"/>
      <c r="D154" s="708"/>
      <c r="E154" s="707"/>
      <c r="F154" s="708"/>
      <c r="G154" s="709"/>
      <c r="H154" s="710"/>
      <c r="I154" s="706"/>
      <c r="J154" s="711"/>
      <c r="K154" s="711"/>
      <c r="L154" s="711"/>
      <c r="M154" s="706"/>
      <c r="N154" s="711"/>
      <c r="O154" s="655"/>
      <c r="P154" s="655"/>
      <c r="Q154" s="711"/>
      <c r="R154" s="655"/>
      <c r="S154" s="674"/>
      <c r="T154" s="674"/>
      <c r="U154" s="674"/>
      <c r="V154" s="674"/>
    </row>
    <row r="155">
      <c r="A155" s="712"/>
      <c r="B155" s="713"/>
      <c r="C155" s="714"/>
      <c r="D155" s="715"/>
      <c r="E155" s="714"/>
      <c r="F155" s="715"/>
      <c r="G155" s="716"/>
      <c r="H155" s="717"/>
      <c r="I155" s="713"/>
      <c r="J155" s="718"/>
      <c r="K155" s="718"/>
      <c r="L155" s="718"/>
      <c r="M155" s="713"/>
      <c r="N155" s="718"/>
      <c r="O155" s="662"/>
      <c r="P155" s="662"/>
      <c r="Q155" s="718"/>
      <c r="R155" s="662"/>
      <c r="S155" s="672"/>
      <c r="T155" s="672"/>
      <c r="U155" s="672"/>
      <c r="V155" s="672"/>
    </row>
    <row r="156">
      <c r="A156" s="705"/>
      <c r="B156" s="706"/>
      <c r="C156" s="707"/>
      <c r="D156" s="708"/>
      <c r="E156" s="707"/>
      <c r="F156" s="708"/>
      <c r="G156" s="709"/>
      <c r="H156" s="710"/>
      <c r="I156" s="706"/>
      <c r="J156" s="711"/>
      <c r="K156" s="711"/>
      <c r="L156" s="711"/>
      <c r="M156" s="706"/>
      <c r="N156" s="711"/>
      <c r="O156" s="655"/>
      <c r="P156" s="655"/>
      <c r="Q156" s="711"/>
      <c r="R156" s="655"/>
      <c r="S156" s="674"/>
      <c r="T156" s="674"/>
      <c r="U156" s="674"/>
      <c r="V156" s="674"/>
    </row>
    <row r="157">
      <c r="A157" s="712"/>
      <c r="B157" s="713"/>
      <c r="C157" s="714"/>
      <c r="D157" s="715"/>
      <c r="E157" s="714"/>
      <c r="F157" s="715"/>
      <c r="G157" s="716"/>
      <c r="H157" s="717"/>
      <c r="I157" s="713"/>
      <c r="J157" s="718"/>
      <c r="K157" s="718"/>
      <c r="L157" s="718"/>
      <c r="M157" s="713"/>
      <c r="N157" s="718"/>
      <c r="O157" s="662"/>
      <c r="P157" s="662"/>
      <c r="Q157" s="718"/>
      <c r="R157" s="662"/>
      <c r="S157" s="672"/>
      <c r="T157" s="672"/>
      <c r="U157" s="672"/>
      <c r="V157" s="672"/>
    </row>
    <row r="158">
      <c r="A158" s="705"/>
      <c r="B158" s="706"/>
      <c r="C158" s="707"/>
      <c r="D158" s="708"/>
      <c r="E158" s="707"/>
      <c r="F158" s="708"/>
      <c r="G158" s="709"/>
      <c r="H158" s="710"/>
      <c r="I158" s="706"/>
      <c r="J158" s="711"/>
      <c r="K158" s="711"/>
      <c r="L158" s="711"/>
      <c r="M158" s="706"/>
      <c r="N158" s="711"/>
      <c r="O158" s="655"/>
      <c r="P158" s="655"/>
      <c r="Q158" s="711"/>
      <c r="R158" s="655"/>
      <c r="S158" s="674"/>
      <c r="T158" s="674"/>
      <c r="U158" s="674"/>
      <c r="V158" s="674"/>
    </row>
    <row r="159">
      <c r="A159" s="712"/>
      <c r="B159" s="713"/>
      <c r="C159" s="714"/>
      <c r="D159" s="715"/>
      <c r="E159" s="714"/>
      <c r="F159" s="715"/>
      <c r="G159" s="716"/>
      <c r="H159" s="717"/>
      <c r="I159" s="713"/>
      <c r="J159" s="718"/>
      <c r="K159" s="718"/>
      <c r="L159" s="718"/>
      <c r="M159" s="713"/>
      <c r="N159" s="718"/>
      <c r="O159" s="662"/>
      <c r="P159" s="662"/>
      <c r="Q159" s="718"/>
      <c r="R159" s="662"/>
      <c r="S159" s="672"/>
      <c r="T159" s="672"/>
      <c r="U159" s="672"/>
      <c r="V159" s="672"/>
    </row>
    <row r="160">
      <c r="A160" s="705"/>
      <c r="B160" s="706"/>
      <c r="C160" s="707"/>
      <c r="D160" s="708"/>
      <c r="E160" s="707"/>
      <c r="F160" s="708"/>
      <c r="G160" s="709"/>
      <c r="H160" s="710"/>
      <c r="I160" s="706"/>
      <c r="J160" s="711"/>
      <c r="K160" s="711"/>
      <c r="L160" s="711"/>
      <c r="M160" s="706"/>
      <c r="N160" s="711"/>
      <c r="O160" s="655"/>
      <c r="P160" s="655"/>
      <c r="Q160" s="711"/>
      <c r="R160" s="655"/>
      <c r="S160" s="674"/>
      <c r="T160" s="674"/>
      <c r="U160" s="674"/>
      <c r="V160" s="674"/>
    </row>
    <row r="161">
      <c r="A161" s="712"/>
      <c r="B161" s="713"/>
      <c r="C161" s="714"/>
      <c r="D161" s="715"/>
      <c r="E161" s="714"/>
      <c r="F161" s="715"/>
      <c r="G161" s="716"/>
      <c r="H161" s="717"/>
      <c r="I161" s="713"/>
      <c r="J161" s="718"/>
      <c r="K161" s="718"/>
      <c r="L161" s="718"/>
      <c r="M161" s="713"/>
      <c r="N161" s="718"/>
      <c r="O161" s="662"/>
      <c r="P161" s="662"/>
      <c r="Q161" s="718"/>
      <c r="R161" s="662"/>
      <c r="S161" s="672"/>
      <c r="T161" s="672"/>
      <c r="U161" s="672"/>
      <c r="V161" s="672"/>
    </row>
    <row r="162">
      <c r="A162" s="705"/>
      <c r="B162" s="706"/>
      <c r="C162" s="707"/>
      <c r="D162" s="708"/>
      <c r="E162" s="707"/>
      <c r="F162" s="708"/>
      <c r="G162" s="709"/>
      <c r="H162" s="710"/>
      <c r="I162" s="706"/>
      <c r="J162" s="711"/>
      <c r="K162" s="711"/>
      <c r="L162" s="711"/>
      <c r="M162" s="706"/>
      <c r="N162" s="711"/>
      <c r="O162" s="655"/>
      <c r="P162" s="655"/>
      <c r="Q162" s="711"/>
      <c r="R162" s="655"/>
      <c r="S162" s="674"/>
      <c r="T162" s="674"/>
      <c r="U162" s="674"/>
      <c r="V162" s="674"/>
    </row>
    <row r="163">
      <c r="A163" s="712"/>
      <c r="B163" s="713"/>
      <c r="C163" s="714"/>
      <c r="D163" s="715"/>
      <c r="E163" s="714"/>
      <c r="F163" s="715"/>
      <c r="G163" s="716"/>
      <c r="H163" s="717"/>
      <c r="I163" s="713"/>
      <c r="J163" s="718"/>
      <c r="K163" s="718"/>
      <c r="L163" s="718"/>
      <c r="M163" s="713"/>
      <c r="N163" s="718"/>
      <c r="O163" s="662"/>
      <c r="P163" s="662"/>
      <c r="Q163" s="718"/>
      <c r="R163" s="662"/>
      <c r="S163" s="672"/>
      <c r="T163" s="672"/>
      <c r="U163" s="672"/>
      <c r="V163" s="672"/>
    </row>
    <row r="164">
      <c r="A164" s="705"/>
      <c r="B164" s="706"/>
      <c r="C164" s="707"/>
      <c r="D164" s="708"/>
      <c r="E164" s="707"/>
      <c r="F164" s="708"/>
      <c r="G164" s="709"/>
      <c r="H164" s="710"/>
      <c r="I164" s="706"/>
      <c r="J164" s="711"/>
      <c r="K164" s="711"/>
      <c r="L164" s="711"/>
      <c r="M164" s="706"/>
      <c r="N164" s="711"/>
      <c r="O164" s="655"/>
      <c r="P164" s="655"/>
      <c r="Q164" s="711"/>
      <c r="R164" s="655"/>
      <c r="S164" s="674"/>
      <c r="T164" s="674"/>
      <c r="U164" s="674"/>
      <c r="V164" s="674"/>
    </row>
    <row r="165">
      <c r="A165" s="712"/>
      <c r="B165" s="713"/>
      <c r="C165" s="714"/>
      <c r="D165" s="715"/>
      <c r="E165" s="714"/>
      <c r="F165" s="715"/>
      <c r="G165" s="716"/>
      <c r="H165" s="717"/>
      <c r="I165" s="713"/>
      <c r="J165" s="718"/>
      <c r="K165" s="718"/>
      <c r="L165" s="718"/>
      <c r="M165" s="713"/>
      <c r="N165" s="718"/>
      <c r="O165" s="662"/>
      <c r="P165" s="662"/>
      <c r="Q165" s="718"/>
      <c r="R165" s="662"/>
      <c r="S165" s="672"/>
      <c r="T165" s="672"/>
      <c r="U165" s="672"/>
      <c r="V165" s="672"/>
    </row>
    <row r="166">
      <c r="A166" s="705"/>
      <c r="B166" s="706"/>
      <c r="C166" s="707"/>
      <c r="D166" s="708"/>
      <c r="E166" s="707"/>
      <c r="F166" s="708"/>
      <c r="G166" s="709"/>
      <c r="H166" s="710"/>
      <c r="I166" s="706"/>
      <c r="J166" s="711"/>
      <c r="K166" s="711"/>
      <c r="L166" s="711"/>
      <c r="M166" s="706"/>
      <c r="N166" s="711"/>
      <c r="O166" s="655"/>
      <c r="P166" s="655"/>
      <c r="Q166" s="711"/>
      <c r="R166" s="655"/>
      <c r="S166" s="674"/>
      <c r="T166" s="674"/>
      <c r="U166" s="674"/>
      <c r="V166" s="674"/>
    </row>
    <row r="167">
      <c r="A167" s="712"/>
      <c r="B167" s="713"/>
      <c r="C167" s="714"/>
      <c r="D167" s="715"/>
      <c r="E167" s="714"/>
      <c r="F167" s="715"/>
      <c r="G167" s="716"/>
      <c r="H167" s="717"/>
      <c r="I167" s="713"/>
      <c r="J167" s="718"/>
      <c r="K167" s="718"/>
      <c r="L167" s="718"/>
      <c r="M167" s="713"/>
      <c r="N167" s="718"/>
      <c r="O167" s="662"/>
      <c r="P167" s="662"/>
      <c r="Q167" s="718"/>
      <c r="R167" s="662"/>
      <c r="S167" s="672"/>
      <c r="T167" s="672"/>
      <c r="U167" s="672"/>
      <c r="V167" s="672"/>
    </row>
    <row r="168">
      <c r="A168" s="705"/>
      <c r="B168" s="706"/>
      <c r="C168" s="707"/>
      <c r="D168" s="708"/>
      <c r="E168" s="707"/>
      <c r="F168" s="708"/>
      <c r="G168" s="709"/>
      <c r="H168" s="710"/>
      <c r="I168" s="706"/>
      <c r="J168" s="711"/>
      <c r="K168" s="711"/>
      <c r="L168" s="711"/>
      <c r="M168" s="706"/>
      <c r="N168" s="711"/>
      <c r="O168" s="655"/>
      <c r="P168" s="655"/>
      <c r="Q168" s="711"/>
      <c r="R168" s="655"/>
      <c r="S168" s="674"/>
      <c r="T168" s="674"/>
      <c r="U168" s="674"/>
      <c r="V168" s="674"/>
    </row>
    <row r="169">
      <c r="A169" s="712"/>
      <c r="B169" s="713"/>
      <c r="C169" s="714"/>
      <c r="D169" s="715"/>
      <c r="E169" s="714"/>
      <c r="F169" s="715"/>
      <c r="G169" s="716"/>
      <c r="H169" s="717"/>
      <c r="I169" s="713"/>
      <c r="J169" s="718"/>
      <c r="K169" s="718"/>
      <c r="L169" s="718"/>
      <c r="M169" s="713"/>
      <c r="N169" s="718"/>
      <c r="O169" s="662"/>
      <c r="P169" s="662"/>
      <c r="Q169" s="718"/>
      <c r="R169" s="662"/>
      <c r="S169" s="672"/>
      <c r="T169" s="672"/>
      <c r="U169" s="672"/>
      <c r="V169" s="672"/>
    </row>
    <row r="170">
      <c r="A170" s="705"/>
      <c r="B170" s="706"/>
      <c r="C170" s="707"/>
      <c r="D170" s="708"/>
      <c r="E170" s="707"/>
      <c r="F170" s="708"/>
      <c r="G170" s="709"/>
      <c r="H170" s="710"/>
      <c r="I170" s="706"/>
      <c r="J170" s="711"/>
      <c r="K170" s="711"/>
      <c r="L170" s="711"/>
      <c r="M170" s="706"/>
      <c r="N170" s="711"/>
      <c r="O170" s="655"/>
      <c r="P170" s="655"/>
      <c r="Q170" s="711"/>
      <c r="R170" s="655"/>
      <c r="S170" s="674"/>
      <c r="T170" s="674"/>
      <c r="U170" s="674"/>
      <c r="V170" s="674"/>
    </row>
    <row r="171">
      <c r="A171" s="712"/>
      <c r="B171" s="713"/>
      <c r="C171" s="714"/>
      <c r="D171" s="715"/>
      <c r="E171" s="714"/>
      <c r="F171" s="715"/>
      <c r="G171" s="716"/>
      <c r="H171" s="717"/>
      <c r="I171" s="713"/>
      <c r="J171" s="718"/>
      <c r="K171" s="718"/>
      <c r="L171" s="718"/>
      <c r="M171" s="713"/>
      <c r="N171" s="718"/>
      <c r="O171" s="662"/>
      <c r="P171" s="662"/>
      <c r="Q171" s="718"/>
      <c r="R171" s="662"/>
      <c r="S171" s="672"/>
      <c r="T171" s="672"/>
      <c r="U171" s="672"/>
      <c r="V171" s="672"/>
    </row>
    <row r="172">
      <c r="A172" s="705"/>
      <c r="B172" s="706"/>
      <c r="C172" s="707"/>
      <c r="D172" s="708"/>
      <c r="E172" s="707"/>
      <c r="F172" s="708"/>
      <c r="G172" s="709"/>
      <c r="H172" s="710"/>
      <c r="I172" s="706"/>
      <c r="J172" s="711"/>
      <c r="K172" s="711"/>
      <c r="L172" s="711"/>
      <c r="M172" s="706"/>
      <c r="N172" s="711"/>
      <c r="O172" s="655"/>
      <c r="P172" s="655"/>
      <c r="Q172" s="711"/>
      <c r="R172" s="655"/>
      <c r="S172" s="674"/>
      <c r="T172" s="674"/>
      <c r="U172" s="674"/>
      <c r="V172" s="674"/>
    </row>
    <row r="173">
      <c r="A173" s="712"/>
      <c r="B173" s="713"/>
      <c r="C173" s="714"/>
      <c r="D173" s="715"/>
      <c r="E173" s="714"/>
      <c r="F173" s="715"/>
      <c r="G173" s="716"/>
      <c r="H173" s="717"/>
      <c r="I173" s="713"/>
      <c r="J173" s="718"/>
      <c r="K173" s="718"/>
      <c r="L173" s="718"/>
      <c r="M173" s="713"/>
      <c r="N173" s="718"/>
      <c r="O173" s="662"/>
      <c r="P173" s="662"/>
      <c r="Q173" s="718"/>
      <c r="R173" s="662"/>
      <c r="S173" s="672"/>
      <c r="T173" s="672"/>
      <c r="U173" s="672"/>
      <c r="V173" s="672"/>
    </row>
    <row r="174">
      <c r="A174" s="705"/>
      <c r="B174" s="706"/>
      <c r="C174" s="707"/>
      <c r="D174" s="708"/>
      <c r="E174" s="707"/>
      <c r="F174" s="708"/>
      <c r="G174" s="709"/>
      <c r="H174" s="710"/>
      <c r="I174" s="706"/>
      <c r="J174" s="711"/>
      <c r="K174" s="711"/>
      <c r="L174" s="711"/>
      <c r="M174" s="706"/>
      <c r="N174" s="711"/>
      <c r="O174" s="655"/>
      <c r="P174" s="655"/>
      <c r="Q174" s="711"/>
      <c r="R174" s="655"/>
      <c r="S174" s="674"/>
      <c r="T174" s="674"/>
      <c r="U174" s="674"/>
      <c r="V174" s="674"/>
    </row>
    <row r="175">
      <c r="A175" s="712"/>
      <c r="B175" s="713"/>
      <c r="C175" s="714"/>
      <c r="D175" s="715"/>
      <c r="E175" s="714"/>
      <c r="F175" s="715"/>
      <c r="G175" s="716"/>
      <c r="H175" s="717"/>
      <c r="I175" s="713"/>
      <c r="J175" s="718"/>
      <c r="K175" s="718"/>
      <c r="L175" s="718"/>
      <c r="M175" s="713"/>
      <c r="N175" s="718"/>
      <c r="O175" s="662"/>
      <c r="P175" s="662"/>
      <c r="Q175" s="718"/>
      <c r="R175" s="662"/>
      <c r="S175" s="672"/>
      <c r="T175" s="672"/>
      <c r="U175" s="672"/>
      <c r="V175" s="672"/>
    </row>
    <row r="176">
      <c r="A176" s="705"/>
      <c r="B176" s="706"/>
      <c r="C176" s="707"/>
      <c r="D176" s="708"/>
      <c r="E176" s="707"/>
      <c r="F176" s="708"/>
      <c r="G176" s="709"/>
      <c r="H176" s="710"/>
      <c r="I176" s="706"/>
      <c r="J176" s="711"/>
      <c r="K176" s="711"/>
      <c r="L176" s="711"/>
      <c r="M176" s="706"/>
      <c r="N176" s="711"/>
      <c r="O176" s="655"/>
      <c r="P176" s="655"/>
      <c r="Q176" s="711"/>
      <c r="R176" s="655"/>
      <c r="S176" s="674"/>
      <c r="T176" s="674"/>
      <c r="U176" s="674"/>
      <c r="V176" s="674"/>
    </row>
    <row r="177">
      <c r="A177" s="712"/>
      <c r="B177" s="713"/>
      <c r="C177" s="714"/>
      <c r="D177" s="715"/>
      <c r="E177" s="714"/>
      <c r="F177" s="715"/>
      <c r="G177" s="716"/>
      <c r="H177" s="717"/>
      <c r="I177" s="713"/>
      <c r="J177" s="718"/>
      <c r="K177" s="718"/>
      <c r="L177" s="718"/>
      <c r="M177" s="713"/>
      <c r="N177" s="718"/>
      <c r="O177" s="662"/>
      <c r="P177" s="662"/>
      <c r="Q177" s="718"/>
      <c r="R177" s="662"/>
      <c r="S177" s="672"/>
      <c r="T177" s="672"/>
      <c r="U177" s="672"/>
      <c r="V177" s="672"/>
    </row>
    <row r="178">
      <c r="A178" s="705"/>
      <c r="B178" s="706"/>
      <c r="C178" s="707"/>
      <c r="D178" s="708"/>
      <c r="E178" s="707"/>
      <c r="F178" s="708"/>
      <c r="G178" s="709"/>
      <c r="H178" s="710"/>
      <c r="I178" s="706"/>
      <c r="J178" s="711"/>
      <c r="K178" s="711"/>
      <c r="L178" s="711"/>
      <c r="M178" s="706"/>
      <c r="N178" s="711"/>
      <c r="O178" s="655"/>
      <c r="P178" s="655"/>
      <c r="Q178" s="711"/>
      <c r="R178" s="655"/>
      <c r="S178" s="674"/>
      <c r="T178" s="674"/>
      <c r="U178" s="674"/>
      <c r="V178" s="674"/>
    </row>
    <row r="179">
      <c r="A179" s="712"/>
      <c r="B179" s="713"/>
      <c r="C179" s="714"/>
      <c r="D179" s="715"/>
      <c r="E179" s="714"/>
      <c r="F179" s="715"/>
      <c r="G179" s="716"/>
      <c r="H179" s="717"/>
      <c r="I179" s="713"/>
      <c r="J179" s="718"/>
      <c r="K179" s="718"/>
      <c r="L179" s="718"/>
      <c r="M179" s="713"/>
      <c r="N179" s="718"/>
      <c r="O179" s="662"/>
      <c r="P179" s="662"/>
      <c r="Q179" s="718"/>
      <c r="R179" s="662"/>
      <c r="S179" s="672"/>
      <c r="T179" s="672"/>
      <c r="U179" s="672"/>
      <c r="V179" s="672"/>
    </row>
    <row r="180">
      <c r="A180" s="705"/>
      <c r="B180" s="706"/>
      <c r="C180" s="707"/>
      <c r="D180" s="708"/>
      <c r="E180" s="707"/>
      <c r="F180" s="708"/>
      <c r="G180" s="709"/>
      <c r="H180" s="710"/>
      <c r="I180" s="706"/>
      <c r="J180" s="711"/>
      <c r="K180" s="711"/>
      <c r="L180" s="711"/>
      <c r="M180" s="706"/>
      <c r="N180" s="711"/>
      <c r="O180" s="655"/>
      <c r="P180" s="655"/>
      <c r="Q180" s="711"/>
      <c r="R180" s="655"/>
      <c r="S180" s="674"/>
      <c r="T180" s="674"/>
      <c r="U180" s="674"/>
      <c r="V180" s="674"/>
    </row>
    <row r="181">
      <c r="A181" s="712"/>
      <c r="B181" s="713"/>
      <c r="C181" s="714"/>
      <c r="D181" s="715"/>
      <c r="E181" s="714"/>
      <c r="F181" s="715"/>
      <c r="G181" s="716"/>
      <c r="H181" s="717"/>
      <c r="I181" s="713"/>
      <c r="J181" s="718"/>
      <c r="K181" s="718"/>
      <c r="L181" s="718"/>
      <c r="M181" s="713"/>
      <c r="N181" s="718"/>
      <c r="O181" s="662"/>
      <c r="P181" s="662"/>
      <c r="Q181" s="718"/>
      <c r="R181" s="662"/>
      <c r="S181" s="672"/>
      <c r="T181" s="672"/>
      <c r="U181" s="672"/>
      <c r="V181" s="672"/>
    </row>
    <row r="182">
      <c r="A182" s="705"/>
      <c r="B182" s="706"/>
      <c r="C182" s="707"/>
      <c r="D182" s="708"/>
      <c r="E182" s="707"/>
      <c r="F182" s="708"/>
      <c r="G182" s="709"/>
      <c r="H182" s="710"/>
      <c r="I182" s="706"/>
      <c r="J182" s="711"/>
      <c r="K182" s="711"/>
      <c r="L182" s="711"/>
      <c r="M182" s="706"/>
      <c r="N182" s="711"/>
      <c r="O182" s="655"/>
      <c r="P182" s="655"/>
      <c r="Q182" s="711"/>
      <c r="R182" s="655"/>
      <c r="S182" s="674"/>
      <c r="T182" s="674"/>
      <c r="U182" s="674"/>
      <c r="V182" s="674"/>
    </row>
    <row r="183">
      <c r="A183" s="712"/>
      <c r="B183" s="713"/>
      <c r="C183" s="714"/>
      <c r="D183" s="715"/>
      <c r="E183" s="714"/>
      <c r="F183" s="715"/>
      <c r="G183" s="716"/>
      <c r="H183" s="717"/>
      <c r="I183" s="713"/>
      <c r="J183" s="718"/>
      <c r="K183" s="718"/>
      <c r="L183" s="718"/>
      <c r="M183" s="713"/>
      <c r="N183" s="718"/>
      <c r="O183" s="662"/>
      <c r="P183" s="662"/>
      <c r="Q183" s="718"/>
      <c r="R183" s="662"/>
      <c r="S183" s="672"/>
      <c r="T183" s="672"/>
      <c r="U183" s="672"/>
      <c r="V183" s="672"/>
    </row>
    <row r="184">
      <c r="A184" s="705"/>
      <c r="B184" s="706"/>
      <c r="C184" s="707"/>
      <c r="D184" s="708"/>
      <c r="E184" s="707"/>
      <c r="F184" s="708"/>
      <c r="G184" s="709"/>
      <c r="H184" s="710"/>
      <c r="I184" s="706"/>
      <c r="J184" s="711"/>
      <c r="K184" s="711"/>
      <c r="L184" s="711"/>
      <c r="M184" s="706"/>
      <c r="N184" s="711"/>
      <c r="O184" s="655"/>
      <c r="P184" s="655"/>
      <c r="Q184" s="711"/>
      <c r="R184" s="655"/>
      <c r="S184" s="674"/>
      <c r="T184" s="674"/>
      <c r="U184" s="674"/>
      <c r="V184" s="674"/>
    </row>
    <row r="185">
      <c r="A185" s="712"/>
      <c r="B185" s="713"/>
      <c r="C185" s="714"/>
      <c r="D185" s="715"/>
      <c r="E185" s="714"/>
      <c r="F185" s="715"/>
      <c r="G185" s="716"/>
      <c r="H185" s="717"/>
      <c r="I185" s="713"/>
      <c r="J185" s="718"/>
      <c r="K185" s="718"/>
      <c r="L185" s="718"/>
      <c r="M185" s="713"/>
      <c r="N185" s="718"/>
      <c r="O185" s="662"/>
      <c r="P185" s="662"/>
      <c r="Q185" s="718"/>
      <c r="R185" s="662"/>
      <c r="S185" s="672"/>
      <c r="T185" s="672"/>
      <c r="U185" s="672"/>
      <c r="V185" s="672"/>
    </row>
    <row r="186">
      <c r="A186" s="705"/>
      <c r="B186" s="706"/>
      <c r="C186" s="707"/>
      <c r="D186" s="708"/>
      <c r="E186" s="707"/>
      <c r="F186" s="708"/>
      <c r="G186" s="709"/>
      <c r="H186" s="710"/>
      <c r="I186" s="706"/>
      <c r="J186" s="711"/>
      <c r="K186" s="711"/>
      <c r="L186" s="711"/>
      <c r="M186" s="706"/>
      <c r="N186" s="711"/>
      <c r="O186" s="655"/>
      <c r="P186" s="655"/>
      <c r="Q186" s="711"/>
      <c r="R186" s="655"/>
      <c r="S186" s="674"/>
      <c r="T186" s="674"/>
      <c r="U186" s="674"/>
      <c r="V186" s="674"/>
    </row>
    <row r="187">
      <c r="A187" s="712"/>
      <c r="B187" s="713"/>
      <c r="C187" s="714"/>
      <c r="D187" s="715"/>
      <c r="E187" s="714"/>
      <c r="F187" s="715"/>
      <c r="G187" s="716"/>
      <c r="H187" s="717"/>
      <c r="I187" s="713"/>
      <c r="J187" s="718"/>
      <c r="K187" s="718"/>
      <c r="L187" s="718"/>
      <c r="M187" s="713"/>
      <c r="N187" s="718"/>
      <c r="O187" s="662"/>
      <c r="P187" s="662"/>
      <c r="Q187" s="718"/>
      <c r="R187" s="662"/>
      <c r="S187" s="672"/>
      <c r="T187" s="672"/>
      <c r="U187" s="672"/>
      <c r="V187" s="672"/>
    </row>
    <row r="188">
      <c r="A188" s="705"/>
      <c r="B188" s="706"/>
      <c r="C188" s="707"/>
      <c r="D188" s="708"/>
      <c r="E188" s="707"/>
      <c r="F188" s="708"/>
      <c r="G188" s="709"/>
      <c r="H188" s="710"/>
      <c r="I188" s="706"/>
      <c r="J188" s="711"/>
      <c r="K188" s="711"/>
      <c r="L188" s="711"/>
      <c r="M188" s="706"/>
      <c r="N188" s="711"/>
      <c r="O188" s="655"/>
      <c r="P188" s="655"/>
      <c r="Q188" s="711"/>
      <c r="R188" s="655"/>
      <c r="S188" s="674"/>
      <c r="T188" s="674"/>
      <c r="U188" s="674"/>
      <c r="V188" s="674"/>
    </row>
    <row r="189">
      <c r="A189" s="712"/>
      <c r="B189" s="713"/>
      <c r="C189" s="714"/>
      <c r="D189" s="715"/>
      <c r="E189" s="714"/>
      <c r="F189" s="715"/>
      <c r="G189" s="716"/>
      <c r="H189" s="717"/>
      <c r="I189" s="713"/>
      <c r="J189" s="718"/>
      <c r="K189" s="718"/>
      <c r="L189" s="718"/>
      <c r="M189" s="713"/>
      <c r="N189" s="718"/>
      <c r="O189" s="662"/>
      <c r="P189" s="662"/>
      <c r="Q189" s="718"/>
      <c r="R189" s="662"/>
      <c r="S189" s="672"/>
      <c r="T189" s="672"/>
      <c r="U189" s="672"/>
      <c r="V189" s="672"/>
    </row>
    <row r="190">
      <c r="A190" s="705"/>
      <c r="B190" s="706"/>
      <c r="C190" s="707"/>
      <c r="D190" s="708"/>
      <c r="E190" s="707"/>
      <c r="F190" s="708"/>
      <c r="G190" s="709"/>
      <c r="H190" s="710"/>
      <c r="I190" s="706"/>
      <c r="J190" s="711"/>
      <c r="K190" s="711"/>
      <c r="L190" s="711"/>
      <c r="M190" s="706"/>
      <c r="N190" s="711"/>
      <c r="O190" s="655"/>
      <c r="P190" s="655"/>
      <c r="Q190" s="711"/>
      <c r="R190" s="655"/>
      <c r="S190" s="674"/>
      <c r="T190" s="674"/>
      <c r="U190" s="674"/>
      <c r="V190" s="674"/>
    </row>
    <row r="191">
      <c r="A191" s="712"/>
      <c r="B191" s="713"/>
      <c r="C191" s="714"/>
      <c r="D191" s="715"/>
      <c r="E191" s="714"/>
      <c r="F191" s="715"/>
      <c r="G191" s="716"/>
      <c r="H191" s="717"/>
      <c r="I191" s="713"/>
      <c r="J191" s="718"/>
      <c r="K191" s="718"/>
      <c r="L191" s="718"/>
      <c r="M191" s="713"/>
      <c r="N191" s="718"/>
      <c r="O191" s="662"/>
      <c r="P191" s="662"/>
      <c r="Q191" s="718"/>
      <c r="R191" s="662"/>
      <c r="S191" s="672"/>
      <c r="T191" s="672"/>
      <c r="U191" s="672"/>
      <c r="V191" s="672"/>
    </row>
    <row r="192">
      <c r="A192" s="705"/>
      <c r="B192" s="706"/>
      <c r="C192" s="707"/>
      <c r="D192" s="708"/>
      <c r="E192" s="707"/>
      <c r="F192" s="708"/>
      <c r="G192" s="709"/>
      <c r="H192" s="710"/>
      <c r="I192" s="706"/>
      <c r="J192" s="711"/>
      <c r="K192" s="711"/>
      <c r="L192" s="711"/>
      <c r="M192" s="706"/>
      <c r="N192" s="711"/>
      <c r="O192" s="655"/>
      <c r="P192" s="655"/>
      <c r="Q192" s="711"/>
      <c r="R192" s="655"/>
      <c r="S192" s="674"/>
      <c r="T192" s="674"/>
      <c r="U192" s="674"/>
      <c r="V192" s="674"/>
    </row>
    <row r="193">
      <c r="A193" s="712"/>
      <c r="B193" s="713"/>
      <c r="C193" s="714"/>
      <c r="D193" s="715"/>
      <c r="E193" s="714"/>
      <c r="F193" s="715"/>
      <c r="G193" s="716"/>
      <c r="H193" s="717"/>
      <c r="I193" s="713"/>
      <c r="J193" s="718"/>
      <c r="K193" s="718"/>
      <c r="L193" s="718"/>
      <c r="M193" s="713"/>
      <c r="N193" s="718"/>
      <c r="O193" s="662"/>
      <c r="P193" s="662"/>
      <c r="Q193" s="718"/>
      <c r="R193" s="662"/>
      <c r="S193" s="672"/>
      <c r="T193" s="672"/>
      <c r="U193" s="672"/>
      <c r="V193" s="672"/>
    </row>
    <row r="194">
      <c r="A194" s="705"/>
      <c r="B194" s="706"/>
      <c r="C194" s="707"/>
      <c r="D194" s="708"/>
      <c r="E194" s="707"/>
      <c r="F194" s="708"/>
      <c r="G194" s="709"/>
      <c r="H194" s="710"/>
      <c r="I194" s="706"/>
      <c r="J194" s="711"/>
      <c r="K194" s="711"/>
      <c r="L194" s="711"/>
      <c r="M194" s="706"/>
      <c r="N194" s="711"/>
      <c r="O194" s="655"/>
      <c r="P194" s="655"/>
      <c r="Q194" s="711"/>
      <c r="R194" s="655"/>
      <c r="S194" s="674"/>
      <c r="T194" s="674"/>
      <c r="U194" s="674"/>
      <c r="V194" s="674"/>
    </row>
    <row r="195">
      <c r="A195" s="712"/>
      <c r="B195" s="713"/>
      <c r="C195" s="714"/>
      <c r="D195" s="715"/>
      <c r="E195" s="714"/>
      <c r="F195" s="715"/>
      <c r="G195" s="716"/>
      <c r="H195" s="717"/>
      <c r="I195" s="713"/>
      <c r="J195" s="718"/>
      <c r="K195" s="718"/>
      <c r="L195" s="718"/>
      <c r="M195" s="713"/>
      <c r="N195" s="718"/>
      <c r="O195" s="662"/>
      <c r="P195" s="662"/>
      <c r="Q195" s="718"/>
      <c r="R195" s="662"/>
      <c r="S195" s="672"/>
      <c r="T195" s="672"/>
      <c r="U195" s="672"/>
      <c r="V195" s="672"/>
    </row>
    <row r="196">
      <c r="A196" s="705"/>
      <c r="B196" s="706"/>
      <c r="C196" s="707"/>
      <c r="D196" s="708"/>
      <c r="E196" s="707"/>
      <c r="F196" s="708"/>
      <c r="G196" s="709"/>
      <c r="H196" s="710"/>
      <c r="I196" s="706"/>
      <c r="J196" s="711"/>
      <c r="K196" s="711"/>
      <c r="L196" s="711"/>
      <c r="M196" s="706"/>
      <c r="N196" s="711"/>
      <c r="O196" s="655"/>
      <c r="P196" s="655"/>
      <c r="Q196" s="711"/>
      <c r="R196" s="655"/>
      <c r="S196" s="674"/>
      <c r="T196" s="674"/>
      <c r="U196" s="674"/>
      <c r="V196" s="674"/>
    </row>
    <row r="197">
      <c r="A197" s="712"/>
      <c r="B197" s="713"/>
      <c r="C197" s="714"/>
      <c r="D197" s="715"/>
      <c r="E197" s="714"/>
      <c r="F197" s="715"/>
      <c r="G197" s="716"/>
      <c r="H197" s="717"/>
      <c r="I197" s="713"/>
      <c r="J197" s="718"/>
      <c r="K197" s="718"/>
      <c r="L197" s="718"/>
      <c r="M197" s="713"/>
      <c r="N197" s="718"/>
      <c r="O197" s="662"/>
      <c r="P197" s="662"/>
      <c r="Q197" s="718"/>
      <c r="R197" s="662"/>
      <c r="S197" s="672"/>
      <c r="T197" s="672"/>
      <c r="U197" s="672"/>
      <c r="V197" s="672"/>
    </row>
    <row r="198">
      <c r="A198" s="705"/>
      <c r="B198" s="706"/>
      <c r="C198" s="707"/>
      <c r="D198" s="708"/>
      <c r="E198" s="707"/>
      <c r="F198" s="708"/>
      <c r="G198" s="709"/>
      <c r="H198" s="710"/>
      <c r="I198" s="706"/>
      <c r="J198" s="711"/>
      <c r="K198" s="711"/>
      <c r="L198" s="711"/>
      <c r="M198" s="706"/>
      <c r="N198" s="711"/>
      <c r="O198" s="655"/>
      <c r="P198" s="655"/>
      <c r="Q198" s="711"/>
      <c r="R198" s="655"/>
      <c r="S198" s="674"/>
      <c r="T198" s="674"/>
      <c r="U198" s="674"/>
      <c r="V198" s="674"/>
    </row>
    <row r="199">
      <c r="A199" s="712"/>
      <c r="B199" s="713"/>
      <c r="C199" s="714"/>
      <c r="D199" s="715"/>
      <c r="E199" s="714"/>
      <c r="F199" s="715"/>
      <c r="G199" s="716"/>
      <c r="H199" s="717"/>
      <c r="I199" s="713"/>
      <c r="J199" s="718"/>
      <c r="K199" s="718"/>
      <c r="L199" s="718"/>
      <c r="M199" s="713"/>
      <c r="N199" s="718"/>
      <c r="O199" s="662"/>
      <c r="P199" s="662"/>
      <c r="Q199" s="718"/>
      <c r="R199" s="662"/>
      <c r="S199" s="672"/>
      <c r="T199" s="672"/>
      <c r="U199" s="672"/>
      <c r="V199" s="672"/>
    </row>
    <row r="200">
      <c r="A200" s="705"/>
      <c r="B200" s="706"/>
      <c r="C200" s="707"/>
      <c r="D200" s="708"/>
      <c r="E200" s="707"/>
      <c r="F200" s="708"/>
      <c r="G200" s="709"/>
      <c r="H200" s="710"/>
      <c r="I200" s="706"/>
      <c r="J200" s="711"/>
      <c r="K200" s="711"/>
      <c r="L200" s="711"/>
      <c r="M200" s="706"/>
      <c r="N200" s="711"/>
      <c r="O200" s="655"/>
      <c r="P200" s="655"/>
      <c r="Q200" s="711"/>
      <c r="R200" s="655"/>
      <c r="S200" s="674"/>
      <c r="T200" s="674"/>
      <c r="U200" s="674"/>
      <c r="V200" s="674"/>
    </row>
    <row r="201">
      <c r="A201" s="712"/>
      <c r="B201" s="713"/>
      <c r="C201" s="714"/>
      <c r="D201" s="715"/>
      <c r="E201" s="714"/>
      <c r="F201" s="715"/>
      <c r="G201" s="716"/>
      <c r="H201" s="717"/>
      <c r="I201" s="713"/>
      <c r="J201" s="718"/>
      <c r="K201" s="718"/>
      <c r="L201" s="718"/>
      <c r="M201" s="713"/>
      <c r="N201" s="718"/>
      <c r="O201" s="662"/>
      <c r="P201" s="662"/>
      <c r="Q201" s="718"/>
      <c r="R201" s="662"/>
      <c r="S201" s="672"/>
      <c r="T201" s="672"/>
      <c r="U201" s="672"/>
      <c r="V201" s="672"/>
    </row>
    <row r="202">
      <c r="A202" s="705"/>
      <c r="B202" s="706"/>
      <c r="C202" s="707"/>
      <c r="D202" s="708"/>
      <c r="E202" s="707"/>
      <c r="F202" s="708"/>
      <c r="G202" s="709"/>
      <c r="H202" s="710"/>
      <c r="I202" s="706"/>
      <c r="J202" s="711"/>
      <c r="K202" s="711"/>
      <c r="L202" s="711"/>
      <c r="M202" s="706"/>
      <c r="N202" s="711"/>
      <c r="O202" s="655"/>
      <c r="P202" s="655"/>
      <c r="Q202" s="711"/>
      <c r="R202" s="655"/>
      <c r="S202" s="674"/>
      <c r="T202" s="674"/>
      <c r="U202" s="674"/>
      <c r="V202" s="674"/>
    </row>
    <row r="203">
      <c r="A203" s="712"/>
      <c r="B203" s="713"/>
      <c r="C203" s="714"/>
      <c r="D203" s="715"/>
      <c r="E203" s="714"/>
      <c r="F203" s="715"/>
      <c r="G203" s="716"/>
      <c r="H203" s="717"/>
      <c r="I203" s="713"/>
      <c r="J203" s="718"/>
      <c r="K203" s="718"/>
      <c r="L203" s="718"/>
      <c r="M203" s="713"/>
      <c r="N203" s="718"/>
      <c r="O203" s="662"/>
      <c r="P203" s="662"/>
      <c r="Q203" s="718"/>
      <c r="R203" s="662"/>
      <c r="S203" s="672"/>
      <c r="T203" s="672"/>
      <c r="U203" s="672"/>
      <c r="V203" s="672"/>
    </row>
    <row r="204">
      <c r="A204" s="705"/>
      <c r="B204" s="706"/>
      <c r="C204" s="707"/>
      <c r="D204" s="708"/>
      <c r="E204" s="707"/>
      <c r="F204" s="708"/>
      <c r="G204" s="709"/>
      <c r="H204" s="710"/>
      <c r="I204" s="706"/>
      <c r="J204" s="711"/>
      <c r="K204" s="711"/>
      <c r="L204" s="711"/>
      <c r="M204" s="706"/>
      <c r="N204" s="711"/>
      <c r="O204" s="655"/>
      <c r="P204" s="655"/>
      <c r="Q204" s="711"/>
      <c r="R204" s="655"/>
      <c r="S204" s="674"/>
      <c r="T204" s="674"/>
      <c r="U204" s="674"/>
      <c r="V204" s="674"/>
    </row>
    <row r="205">
      <c r="A205" s="712"/>
      <c r="B205" s="713"/>
      <c r="C205" s="714"/>
      <c r="D205" s="715"/>
      <c r="E205" s="714"/>
      <c r="F205" s="715"/>
      <c r="G205" s="716"/>
      <c r="H205" s="717"/>
      <c r="I205" s="713"/>
      <c r="J205" s="718"/>
      <c r="K205" s="718"/>
      <c r="L205" s="718"/>
      <c r="M205" s="713"/>
      <c r="N205" s="718"/>
      <c r="O205" s="662"/>
      <c r="P205" s="662"/>
      <c r="Q205" s="718"/>
      <c r="R205" s="662"/>
      <c r="S205" s="672"/>
      <c r="T205" s="672"/>
      <c r="U205" s="672"/>
      <c r="V205" s="672"/>
    </row>
    <row r="206">
      <c r="A206" s="705"/>
      <c r="B206" s="706"/>
      <c r="C206" s="707"/>
      <c r="D206" s="708"/>
      <c r="E206" s="707"/>
      <c r="F206" s="708"/>
      <c r="G206" s="709"/>
      <c r="H206" s="710"/>
      <c r="I206" s="706"/>
      <c r="J206" s="711"/>
      <c r="K206" s="711"/>
      <c r="L206" s="711"/>
      <c r="M206" s="706"/>
      <c r="N206" s="711"/>
      <c r="O206" s="655"/>
      <c r="P206" s="655"/>
      <c r="Q206" s="711"/>
      <c r="R206" s="655"/>
      <c r="S206" s="674"/>
      <c r="T206" s="674"/>
      <c r="U206" s="674"/>
      <c r="V206" s="674"/>
    </row>
    <row r="207">
      <c r="A207" s="712"/>
      <c r="B207" s="713"/>
      <c r="C207" s="714"/>
      <c r="D207" s="715"/>
      <c r="E207" s="714"/>
      <c r="F207" s="715"/>
      <c r="G207" s="716"/>
      <c r="H207" s="717"/>
      <c r="I207" s="713"/>
      <c r="J207" s="718"/>
      <c r="K207" s="718"/>
      <c r="L207" s="718"/>
      <c r="M207" s="713"/>
      <c r="N207" s="718"/>
      <c r="O207" s="662"/>
      <c r="P207" s="662"/>
      <c r="Q207" s="718"/>
      <c r="R207" s="662"/>
      <c r="S207" s="672"/>
      <c r="T207" s="672"/>
      <c r="U207" s="672"/>
      <c r="V207" s="672"/>
    </row>
    <row r="208">
      <c r="A208" s="705"/>
      <c r="B208" s="706"/>
      <c r="C208" s="707"/>
      <c r="D208" s="708"/>
      <c r="E208" s="707"/>
      <c r="F208" s="708"/>
      <c r="G208" s="709"/>
      <c r="H208" s="710"/>
      <c r="I208" s="706"/>
      <c r="J208" s="711"/>
      <c r="K208" s="711"/>
      <c r="L208" s="711"/>
      <c r="M208" s="706"/>
      <c r="N208" s="711"/>
      <c r="O208" s="655"/>
      <c r="P208" s="655"/>
      <c r="Q208" s="711"/>
      <c r="R208" s="655"/>
      <c r="S208" s="674"/>
      <c r="T208" s="674"/>
      <c r="U208" s="674"/>
      <c r="V208" s="674"/>
    </row>
    <row r="209">
      <c r="A209" s="712"/>
      <c r="B209" s="713"/>
      <c r="C209" s="714"/>
      <c r="D209" s="715"/>
      <c r="E209" s="714"/>
      <c r="F209" s="715"/>
      <c r="G209" s="716"/>
      <c r="H209" s="717"/>
      <c r="I209" s="713"/>
      <c r="J209" s="718"/>
      <c r="K209" s="718"/>
      <c r="L209" s="718"/>
      <c r="M209" s="713"/>
      <c r="N209" s="718"/>
      <c r="O209" s="662"/>
      <c r="P209" s="662"/>
      <c r="Q209" s="718"/>
      <c r="R209" s="662"/>
      <c r="S209" s="672"/>
      <c r="T209" s="672"/>
      <c r="U209" s="672"/>
      <c r="V209" s="672"/>
    </row>
    <row r="210">
      <c r="A210" s="705"/>
      <c r="B210" s="706"/>
      <c r="C210" s="707"/>
      <c r="D210" s="708"/>
      <c r="E210" s="707"/>
      <c r="F210" s="708"/>
      <c r="G210" s="709"/>
      <c r="H210" s="710"/>
      <c r="I210" s="706"/>
      <c r="J210" s="711"/>
      <c r="K210" s="711"/>
      <c r="L210" s="711"/>
      <c r="M210" s="706"/>
      <c r="N210" s="711"/>
      <c r="O210" s="655"/>
      <c r="P210" s="655"/>
      <c r="Q210" s="711"/>
      <c r="R210" s="655"/>
      <c r="S210" s="674"/>
      <c r="T210" s="674"/>
      <c r="U210" s="674"/>
      <c r="V210" s="674"/>
    </row>
    <row r="211">
      <c r="A211" s="712"/>
      <c r="B211" s="713"/>
      <c r="C211" s="714"/>
      <c r="D211" s="715"/>
      <c r="E211" s="714"/>
      <c r="F211" s="715"/>
      <c r="G211" s="716"/>
      <c r="H211" s="717"/>
      <c r="I211" s="713"/>
      <c r="J211" s="718"/>
      <c r="K211" s="718"/>
      <c r="L211" s="718"/>
      <c r="M211" s="713"/>
      <c r="N211" s="718"/>
      <c r="O211" s="662"/>
      <c r="P211" s="662"/>
      <c r="Q211" s="718"/>
      <c r="R211" s="662"/>
      <c r="S211" s="672"/>
      <c r="T211" s="672"/>
      <c r="U211" s="672"/>
      <c r="V211" s="672"/>
    </row>
    <row r="212">
      <c r="A212" s="705"/>
      <c r="B212" s="706"/>
      <c r="C212" s="707"/>
      <c r="D212" s="708"/>
      <c r="E212" s="707"/>
      <c r="F212" s="708"/>
      <c r="G212" s="709"/>
      <c r="H212" s="710"/>
      <c r="I212" s="706"/>
      <c r="J212" s="711"/>
      <c r="K212" s="711"/>
      <c r="L212" s="711"/>
      <c r="M212" s="706"/>
      <c r="N212" s="711"/>
      <c r="O212" s="655"/>
      <c r="P212" s="655"/>
      <c r="Q212" s="711"/>
      <c r="R212" s="655"/>
      <c r="S212" s="674"/>
      <c r="T212" s="674"/>
      <c r="U212" s="674"/>
      <c r="V212" s="674"/>
    </row>
    <row r="213">
      <c r="A213" s="712"/>
      <c r="B213" s="713"/>
      <c r="C213" s="714"/>
      <c r="D213" s="715"/>
      <c r="E213" s="714"/>
      <c r="F213" s="715"/>
      <c r="G213" s="716"/>
      <c r="H213" s="717"/>
      <c r="I213" s="713"/>
      <c r="J213" s="718"/>
      <c r="K213" s="718"/>
      <c r="L213" s="718"/>
      <c r="M213" s="713"/>
      <c r="N213" s="718"/>
      <c r="O213" s="662"/>
      <c r="P213" s="662"/>
      <c r="Q213" s="718"/>
      <c r="R213" s="662"/>
      <c r="S213" s="672"/>
      <c r="T213" s="672"/>
      <c r="U213" s="672"/>
      <c r="V213" s="672"/>
    </row>
    <row r="214">
      <c r="A214" s="705"/>
      <c r="B214" s="706"/>
      <c r="C214" s="707"/>
      <c r="D214" s="708"/>
      <c r="E214" s="707"/>
      <c r="F214" s="708"/>
      <c r="G214" s="709"/>
      <c r="H214" s="710"/>
      <c r="I214" s="706"/>
      <c r="J214" s="711"/>
      <c r="K214" s="711"/>
      <c r="L214" s="711"/>
      <c r="M214" s="706"/>
      <c r="N214" s="711"/>
      <c r="O214" s="655"/>
      <c r="P214" s="655"/>
      <c r="Q214" s="711"/>
      <c r="R214" s="655"/>
      <c r="S214" s="674"/>
      <c r="T214" s="674"/>
      <c r="U214" s="674"/>
      <c r="V214" s="674"/>
    </row>
    <row r="215">
      <c r="A215" s="712"/>
      <c r="B215" s="713"/>
      <c r="C215" s="714"/>
      <c r="D215" s="715"/>
      <c r="E215" s="714"/>
      <c r="F215" s="715"/>
      <c r="G215" s="716"/>
      <c r="H215" s="717"/>
      <c r="I215" s="713"/>
      <c r="J215" s="718"/>
      <c r="K215" s="718"/>
      <c r="L215" s="718"/>
      <c r="M215" s="713"/>
      <c r="N215" s="718"/>
      <c r="O215" s="662"/>
      <c r="P215" s="662"/>
      <c r="Q215" s="718"/>
      <c r="R215" s="662"/>
      <c r="S215" s="672"/>
      <c r="T215" s="672"/>
      <c r="U215" s="672"/>
      <c r="V215" s="672"/>
    </row>
    <row r="216">
      <c r="A216" s="705"/>
      <c r="B216" s="706"/>
      <c r="C216" s="707"/>
      <c r="D216" s="708"/>
      <c r="E216" s="707"/>
      <c r="F216" s="708"/>
      <c r="G216" s="709"/>
      <c r="H216" s="710"/>
      <c r="I216" s="706"/>
      <c r="J216" s="711"/>
      <c r="K216" s="711"/>
      <c r="L216" s="711"/>
      <c r="M216" s="706"/>
      <c r="N216" s="711"/>
      <c r="O216" s="655"/>
      <c r="P216" s="655"/>
      <c r="Q216" s="711"/>
      <c r="R216" s="655"/>
      <c r="S216" s="674"/>
      <c r="T216" s="674"/>
      <c r="U216" s="674"/>
      <c r="V216" s="674"/>
    </row>
    <row r="217">
      <c r="A217" s="712"/>
      <c r="B217" s="713"/>
      <c r="C217" s="714"/>
      <c r="D217" s="715"/>
      <c r="E217" s="714"/>
      <c r="F217" s="715"/>
      <c r="G217" s="716"/>
      <c r="H217" s="717"/>
      <c r="I217" s="713"/>
      <c r="J217" s="718"/>
      <c r="K217" s="718"/>
      <c r="L217" s="718"/>
      <c r="M217" s="713"/>
      <c r="N217" s="718"/>
      <c r="O217" s="662"/>
      <c r="P217" s="662"/>
      <c r="Q217" s="718"/>
      <c r="R217" s="662"/>
      <c r="S217" s="672"/>
      <c r="T217" s="672"/>
      <c r="U217" s="672"/>
      <c r="V217" s="672"/>
    </row>
    <row r="218">
      <c r="A218" s="705"/>
      <c r="B218" s="706"/>
      <c r="C218" s="707"/>
      <c r="D218" s="708"/>
      <c r="E218" s="707"/>
      <c r="F218" s="708"/>
      <c r="G218" s="709"/>
      <c r="H218" s="710"/>
      <c r="I218" s="706"/>
      <c r="J218" s="711"/>
      <c r="K218" s="711"/>
      <c r="L218" s="711"/>
      <c r="M218" s="706"/>
      <c r="N218" s="711"/>
      <c r="O218" s="655"/>
      <c r="P218" s="655"/>
      <c r="Q218" s="711"/>
      <c r="R218" s="655"/>
      <c r="S218" s="674"/>
      <c r="T218" s="674"/>
      <c r="U218" s="674"/>
      <c r="V218" s="674"/>
    </row>
    <row r="219">
      <c r="A219" s="712"/>
      <c r="B219" s="713"/>
      <c r="C219" s="714"/>
      <c r="D219" s="715"/>
      <c r="E219" s="714"/>
      <c r="F219" s="715"/>
      <c r="G219" s="716"/>
      <c r="H219" s="717"/>
      <c r="I219" s="713"/>
      <c r="J219" s="718"/>
      <c r="K219" s="718"/>
      <c r="L219" s="718"/>
      <c r="M219" s="713"/>
      <c r="N219" s="718"/>
      <c r="O219" s="662"/>
      <c r="P219" s="662"/>
      <c r="Q219" s="718"/>
      <c r="R219" s="662"/>
      <c r="S219" s="672"/>
      <c r="T219" s="672"/>
      <c r="U219" s="672"/>
      <c r="V219" s="672"/>
    </row>
    <row r="220">
      <c r="A220" s="705"/>
      <c r="B220" s="706"/>
      <c r="C220" s="707"/>
      <c r="D220" s="708"/>
      <c r="E220" s="707"/>
      <c r="F220" s="708"/>
      <c r="G220" s="709"/>
      <c r="H220" s="710"/>
      <c r="I220" s="706"/>
      <c r="J220" s="711"/>
      <c r="K220" s="711"/>
      <c r="L220" s="711"/>
      <c r="M220" s="706"/>
      <c r="N220" s="711"/>
      <c r="O220" s="655"/>
      <c r="P220" s="655"/>
      <c r="Q220" s="711"/>
      <c r="R220" s="655"/>
      <c r="S220" s="674"/>
      <c r="T220" s="674"/>
      <c r="U220" s="674"/>
      <c r="V220" s="674"/>
    </row>
    <row r="221">
      <c r="A221" s="712"/>
      <c r="B221" s="713"/>
      <c r="C221" s="714"/>
      <c r="D221" s="715"/>
      <c r="E221" s="714"/>
      <c r="F221" s="715"/>
      <c r="G221" s="716"/>
      <c r="H221" s="717"/>
      <c r="I221" s="713"/>
      <c r="J221" s="718"/>
      <c r="K221" s="718"/>
      <c r="L221" s="718"/>
      <c r="M221" s="713"/>
      <c r="N221" s="718"/>
      <c r="O221" s="662"/>
      <c r="P221" s="662"/>
      <c r="Q221" s="718"/>
      <c r="R221" s="662"/>
      <c r="S221" s="672"/>
      <c r="T221" s="672"/>
      <c r="U221" s="672"/>
      <c r="V221" s="672"/>
    </row>
    <row r="222">
      <c r="A222" s="705"/>
      <c r="B222" s="706"/>
      <c r="C222" s="707"/>
      <c r="D222" s="708"/>
      <c r="E222" s="707"/>
      <c r="F222" s="708"/>
      <c r="G222" s="709"/>
      <c r="H222" s="710"/>
      <c r="I222" s="706"/>
      <c r="J222" s="711"/>
      <c r="K222" s="711"/>
      <c r="L222" s="711"/>
      <c r="M222" s="706"/>
      <c r="N222" s="711"/>
      <c r="O222" s="655"/>
      <c r="P222" s="655"/>
      <c r="Q222" s="711"/>
      <c r="R222" s="655"/>
      <c r="S222" s="674"/>
      <c r="T222" s="674"/>
      <c r="U222" s="674"/>
      <c r="V222" s="674"/>
    </row>
    <row r="223">
      <c r="A223" s="712"/>
      <c r="B223" s="713"/>
      <c r="C223" s="714"/>
      <c r="D223" s="715"/>
      <c r="E223" s="714"/>
      <c r="F223" s="715"/>
      <c r="G223" s="716"/>
      <c r="H223" s="717"/>
      <c r="I223" s="713"/>
      <c r="J223" s="718"/>
      <c r="K223" s="718"/>
      <c r="L223" s="718"/>
      <c r="M223" s="713"/>
      <c r="N223" s="718"/>
      <c r="O223" s="662"/>
      <c r="P223" s="662"/>
      <c r="Q223" s="718"/>
      <c r="R223" s="662"/>
      <c r="S223" s="672"/>
      <c r="T223" s="672"/>
      <c r="U223" s="672"/>
      <c r="V223" s="672"/>
    </row>
    <row r="224">
      <c r="A224" s="705"/>
      <c r="B224" s="706"/>
      <c r="C224" s="707"/>
      <c r="D224" s="708"/>
      <c r="E224" s="707"/>
      <c r="F224" s="708"/>
      <c r="G224" s="709"/>
      <c r="H224" s="710"/>
      <c r="I224" s="706"/>
      <c r="J224" s="711"/>
      <c r="K224" s="711"/>
      <c r="L224" s="711"/>
      <c r="M224" s="706"/>
      <c r="N224" s="711"/>
      <c r="O224" s="655"/>
      <c r="P224" s="655"/>
      <c r="Q224" s="711"/>
      <c r="R224" s="655"/>
      <c r="S224" s="674"/>
      <c r="T224" s="674"/>
      <c r="U224" s="674"/>
      <c r="V224" s="674"/>
    </row>
    <row r="225">
      <c r="A225" s="712"/>
      <c r="B225" s="713"/>
      <c r="C225" s="714"/>
      <c r="D225" s="715"/>
      <c r="E225" s="714"/>
      <c r="F225" s="715"/>
      <c r="G225" s="716"/>
      <c r="H225" s="717"/>
      <c r="I225" s="713"/>
      <c r="J225" s="718"/>
      <c r="K225" s="718"/>
      <c r="L225" s="718"/>
      <c r="M225" s="713"/>
      <c r="N225" s="718"/>
      <c r="O225" s="662"/>
      <c r="P225" s="662"/>
      <c r="Q225" s="718"/>
      <c r="R225" s="662"/>
      <c r="S225" s="672"/>
      <c r="T225" s="672"/>
      <c r="U225" s="672"/>
      <c r="V225" s="672"/>
    </row>
    <row r="226">
      <c r="A226" s="705"/>
      <c r="B226" s="706"/>
      <c r="C226" s="707"/>
      <c r="D226" s="708"/>
      <c r="E226" s="707"/>
      <c r="F226" s="708"/>
      <c r="G226" s="709"/>
      <c r="H226" s="710"/>
      <c r="I226" s="706"/>
      <c r="J226" s="711"/>
      <c r="K226" s="711"/>
      <c r="L226" s="711"/>
      <c r="M226" s="706"/>
      <c r="N226" s="711"/>
      <c r="O226" s="655"/>
      <c r="P226" s="655"/>
      <c r="Q226" s="711"/>
      <c r="R226" s="655"/>
      <c r="S226" s="674"/>
      <c r="T226" s="674"/>
      <c r="U226" s="674"/>
      <c r="V226" s="674"/>
    </row>
    <row r="227">
      <c r="A227" s="712"/>
      <c r="B227" s="713"/>
      <c r="C227" s="714"/>
      <c r="D227" s="715"/>
      <c r="E227" s="714"/>
      <c r="F227" s="715"/>
      <c r="G227" s="716"/>
      <c r="H227" s="717"/>
      <c r="I227" s="713"/>
      <c r="J227" s="718"/>
      <c r="K227" s="718"/>
      <c r="L227" s="718"/>
      <c r="M227" s="713"/>
      <c r="N227" s="718"/>
      <c r="O227" s="662"/>
      <c r="P227" s="662"/>
      <c r="Q227" s="718"/>
      <c r="R227" s="662"/>
      <c r="S227" s="672"/>
      <c r="T227" s="672"/>
      <c r="U227" s="672"/>
      <c r="V227" s="672"/>
    </row>
    <row r="228">
      <c r="A228" s="705"/>
      <c r="B228" s="706"/>
      <c r="C228" s="707"/>
      <c r="D228" s="708"/>
      <c r="E228" s="707"/>
      <c r="F228" s="708"/>
      <c r="G228" s="709"/>
      <c r="H228" s="710"/>
      <c r="I228" s="706"/>
      <c r="J228" s="711"/>
      <c r="K228" s="711"/>
      <c r="L228" s="711"/>
      <c r="M228" s="706"/>
      <c r="N228" s="711"/>
      <c r="O228" s="655"/>
      <c r="P228" s="655"/>
      <c r="Q228" s="711"/>
      <c r="R228" s="655"/>
      <c r="S228" s="674"/>
      <c r="T228" s="674"/>
      <c r="U228" s="674"/>
      <c r="V228" s="674"/>
    </row>
    <row r="229">
      <c r="A229" s="712"/>
      <c r="B229" s="713"/>
      <c r="C229" s="714"/>
      <c r="D229" s="715"/>
      <c r="E229" s="714"/>
      <c r="F229" s="715"/>
      <c r="G229" s="716"/>
      <c r="H229" s="717"/>
      <c r="I229" s="713"/>
      <c r="J229" s="718"/>
      <c r="K229" s="718"/>
      <c r="L229" s="718"/>
      <c r="M229" s="713"/>
      <c r="N229" s="718"/>
      <c r="O229" s="662"/>
      <c r="P229" s="662"/>
      <c r="Q229" s="718"/>
      <c r="R229" s="662"/>
      <c r="S229" s="672"/>
      <c r="T229" s="672"/>
      <c r="U229" s="672"/>
      <c r="V229" s="672"/>
    </row>
    <row r="230">
      <c r="A230" s="705"/>
      <c r="B230" s="706"/>
      <c r="C230" s="707"/>
      <c r="D230" s="708"/>
      <c r="E230" s="707"/>
      <c r="F230" s="708"/>
      <c r="G230" s="709"/>
      <c r="H230" s="710"/>
      <c r="I230" s="706"/>
      <c r="J230" s="711"/>
      <c r="K230" s="711"/>
      <c r="L230" s="711"/>
      <c r="M230" s="706"/>
      <c r="N230" s="711"/>
      <c r="O230" s="655"/>
      <c r="P230" s="655"/>
      <c r="Q230" s="711"/>
      <c r="R230" s="655"/>
      <c r="S230" s="674"/>
      <c r="T230" s="674"/>
      <c r="U230" s="674"/>
      <c r="V230" s="674"/>
    </row>
    <row r="231">
      <c r="A231" s="712"/>
      <c r="B231" s="713"/>
      <c r="C231" s="714"/>
      <c r="D231" s="715"/>
      <c r="E231" s="714"/>
      <c r="F231" s="715"/>
      <c r="G231" s="716"/>
      <c r="H231" s="717"/>
      <c r="I231" s="713"/>
      <c r="J231" s="718"/>
      <c r="K231" s="718"/>
      <c r="L231" s="718"/>
      <c r="M231" s="713"/>
      <c r="N231" s="718"/>
      <c r="O231" s="662"/>
      <c r="P231" s="662"/>
      <c r="Q231" s="718"/>
      <c r="R231" s="662"/>
      <c r="S231" s="672"/>
      <c r="T231" s="672"/>
      <c r="U231" s="672"/>
      <c r="V231" s="672"/>
    </row>
    <row r="232">
      <c r="A232" s="705"/>
      <c r="B232" s="706"/>
      <c r="C232" s="707"/>
      <c r="D232" s="708"/>
      <c r="E232" s="707"/>
      <c r="F232" s="708"/>
      <c r="G232" s="709"/>
      <c r="H232" s="710"/>
      <c r="I232" s="706"/>
      <c r="J232" s="711"/>
      <c r="K232" s="711"/>
      <c r="L232" s="711"/>
      <c r="M232" s="706"/>
      <c r="N232" s="711"/>
      <c r="O232" s="655"/>
      <c r="P232" s="655"/>
      <c r="Q232" s="711"/>
      <c r="R232" s="655"/>
      <c r="S232" s="674"/>
      <c r="T232" s="674"/>
      <c r="U232" s="674"/>
      <c r="V232" s="674"/>
    </row>
    <row r="233">
      <c r="A233" s="712"/>
      <c r="B233" s="713"/>
      <c r="C233" s="714"/>
      <c r="D233" s="715"/>
      <c r="E233" s="714"/>
      <c r="F233" s="715"/>
      <c r="G233" s="716"/>
      <c r="H233" s="717"/>
      <c r="I233" s="713"/>
      <c r="J233" s="718"/>
      <c r="K233" s="718"/>
      <c r="L233" s="718"/>
      <c r="M233" s="713"/>
      <c r="N233" s="718"/>
      <c r="O233" s="662"/>
      <c r="P233" s="662"/>
      <c r="Q233" s="718"/>
      <c r="R233" s="662"/>
      <c r="S233" s="672"/>
      <c r="T233" s="672"/>
      <c r="U233" s="672"/>
      <c r="V233" s="672"/>
    </row>
    <row r="234">
      <c r="A234" s="705"/>
      <c r="B234" s="706"/>
      <c r="C234" s="707"/>
      <c r="D234" s="708"/>
      <c r="E234" s="707"/>
      <c r="F234" s="708"/>
      <c r="G234" s="709"/>
      <c r="H234" s="710"/>
      <c r="I234" s="706"/>
      <c r="J234" s="711"/>
      <c r="K234" s="711"/>
      <c r="L234" s="711"/>
      <c r="M234" s="706"/>
      <c r="N234" s="711"/>
      <c r="O234" s="655"/>
      <c r="P234" s="655"/>
      <c r="Q234" s="711"/>
      <c r="R234" s="655"/>
      <c r="S234" s="674"/>
      <c r="T234" s="674"/>
      <c r="U234" s="674"/>
      <c r="V234" s="674"/>
    </row>
    <row r="235">
      <c r="A235" s="712"/>
      <c r="B235" s="713"/>
      <c r="C235" s="714"/>
      <c r="D235" s="715"/>
      <c r="E235" s="714"/>
      <c r="F235" s="715"/>
      <c r="G235" s="716"/>
      <c r="H235" s="717"/>
      <c r="I235" s="713"/>
      <c r="J235" s="718"/>
      <c r="K235" s="718"/>
      <c r="L235" s="718"/>
      <c r="M235" s="713"/>
      <c r="N235" s="718"/>
      <c r="O235" s="662"/>
      <c r="P235" s="662"/>
      <c r="Q235" s="718"/>
      <c r="R235" s="662"/>
      <c r="S235" s="672"/>
      <c r="T235" s="672"/>
      <c r="U235" s="672"/>
      <c r="V235" s="672"/>
    </row>
    <row r="236">
      <c r="A236" s="705"/>
      <c r="B236" s="706"/>
      <c r="C236" s="707"/>
      <c r="D236" s="708"/>
      <c r="E236" s="707"/>
      <c r="F236" s="708"/>
      <c r="G236" s="709"/>
      <c r="H236" s="710"/>
      <c r="I236" s="706"/>
      <c r="J236" s="711"/>
      <c r="K236" s="711"/>
      <c r="L236" s="711"/>
      <c r="M236" s="706"/>
      <c r="N236" s="711"/>
      <c r="O236" s="655"/>
      <c r="P236" s="655"/>
      <c r="Q236" s="711"/>
      <c r="R236" s="655"/>
      <c r="S236" s="674"/>
      <c r="T236" s="674"/>
      <c r="U236" s="674"/>
      <c r="V236" s="674"/>
    </row>
    <row r="237">
      <c r="A237" s="712"/>
      <c r="B237" s="713"/>
      <c r="C237" s="714"/>
      <c r="D237" s="715"/>
      <c r="E237" s="714"/>
      <c r="F237" s="715"/>
      <c r="G237" s="716"/>
      <c r="H237" s="717"/>
      <c r="I237" s="713"/>
      <c r="J237" s="718"/>
      <c r="K237" s="718"/>
      <c r="L237" s="718"/>
      <c r="M237" s="713"/>
      <c r="N237" s="718"/>
      <c r="O237" s="662"/>
      <c r="P237" s="662"/>
      <c r="Q237" s="718"/>
      <c r="R237" s="662"/>
      <c r="S237" s="672"/>
      <c r="T237" s="672"/>
      <c r="U237" s="672"/>
      <c r="V237" s="672"/>
    </row>
    <row r="238">
      <c r="A238" s="705"/>
      <c r="B238" s="706"/>
      <c r="C238" s="707"/>
      <c r="D238" s="708"/>
      <c r="E238" s="707"/>
      <c r="F238" s="708"/>
      <c r="G238" s="709"/>
      <c r="H238" s="710"/>
      <c r="I238" s="706"/>
      <c r="J238" s="711"/>
      <c r="K238" s="711"/>
      <c r="L238" s="711"/>
      <c r="M238" s="706"/>
      <c r="N238" s="711"/>
      <c r="O238" s="655"/>
      <c r="P238" s="655"/>
      <c r="Q238" s="711"/>
      <c r="R238" s="655"/>
      <c r="S238" s="674"/>
      <c r="T238" s="674"/>
      <c r="U238" s="674"/>
      <c r="V238" s="674"/>
    </row>
    <row r="239">
      <c r="A239" s="712"/>
      <c r="B239" s="713"/>
      <c r="C239" s="714"/>
      <c r="D239" s="715"/>
      <c r="E239" s="714"/>
      <c r="F239" s="715"/>
      <c r="G239" s="716"/>
      <c r="H239" s="717"/>
      <c r="I239" s="713"/>
      <c r="J239" s="718"/>
      <c r="K239" s="718"/>
      <c r="L239" s="718"/>
      <c r="M239" s="713"/>
      <c r="N239" s="718"/>
      <c r="O239" s="662"/>
      <c r="P239" s="662"/>
      <c r="Q239" s="718"/>
      <c r="R239" s="662"/>
      <c r="S239" s="672"/>
      <c r="T239" s="672"/>
      <c r="U239" s="672"/>
      <c r="V239" s="672"/>
    </row>
    <row r="240">
      <c r="A240" s="705"/>
      <c r="B240" s="706"/>
      <c r="C240" s="707"/>
      <c r="D240" s="708"/>
      <c r="E240" s="707"/>
      <c r="F240" s="708"/>
      <c r="G240" s="709"/>
      <c r="H240" s="710"/>
      <c r="I240" s="706"/>
      <c r="J240" s="711"/>
      <c r="K240" s="711"/>
      <c r="L240" s="711"/>
      <c r="M240" s="706"/>
      <c r="N240" s="711"/>
      <c r="O240" s="655"/>
      <c r="P240" s="655"/>
      <c r="Q240" s="711"/>
      <c r="R240" s="655"/>
      <c r="S240" s="674"/>
      <c r="T240" s="674"/>
      <c r="U240" s="674"/>
      <c r="V240" s="674"/>
    </row>
    <row r="241">
      <c r="A241" s="712"/>
      <c r="B241" s="713"/>
      <c r="C241" s="714"/>
      <c r="D241" s="715"/>
      <c r="E241" s="714"/>
      <c r="F241" s="715"/>
      <c r="G241" s="716"/>
      <c r="H241" s="717"/>
      <c r="I241" s="713"/>
      <c r="J241" s="718"/>
      <c r="K241" s="718"/>
      <c r="L241" s="718"/>
      <c r="M241" s="713"/>
      <c r="N241" s="718"/>
      <c r="O241" s="662"/>
      <c r="P241" s="662"/>
      <c r="Q241" s="718"/>
      <c r="R241" s="662"/>
      <c r="S241" s="672"/>
      <c r="T241" s="672"/>
      <c r="U241" s="672"/>
      <c r="V241" s="672"/>
    </row>
    <row r="242">
      <c r="A242" s="705"/>
      <c r="B242" s="706"/>
      <c r="C242" s="707"/>
      <c r="D242" s="708"/>
      <c r="E242" s="707"/>
      <c r="F242" s="708"/>
      <c r="G242" s="709"/>
      <c r="H242" s="710"/>
      <c r="I242" s="706"/>
      <c r="J242" s="711"/>
      <c r="K242" s="711"/>
      <c r="L242" s="711"/>
      <c r="M242" s="706"/>
      <c r="N242" s="711"/>
      <c r="O242" s="655"/>
      <c r="P242" s="655"/>
      <c r="Q242" s="711"/>
      <c r="R242" s="655"/>
      <c r="S242" s="674"/>
      <c r="T242" s="674"/>
      <c r="U242" s="674"/>
      <c r="V242" s="674"/>
    </row>
    <row r="243">
      <c r="A243" s="712"/>
      <c r="B243" s="713"/>
      <c r="C243" s="714"/>
      <c r="D243" s="715"/>
      <c r="E243" s="714"/>
      <c r="F243" s="715"/>
      <c r="G243" s="716"/>
      <c r="H243" s="717"/>
      <c r="I243" s="713"/>
      <c r="J243" s="718"/>
      <c r="K243" s="718"/>
      <c r="L243" s="718"/>
      <c r="M243" s="713"/>
      <c r="N243" s="718"/>
      <c r="O243" s="662"/>
      <c r="P243" s="662"/>
      <c r="Q243" s="718"/>
      <c r="R243" s="662"/>
      <c r="S243" s="672"/>
      <c r="T243" s="672"/>
      <c r="U243" s="672"/>
      <c r="V243" s="672"/>
    </row>
    <row r="244">
      <c r="A244" s="705"/>
      <c r="B244" s="706"/>
      <c r="C244" s="707"/>
      <c r="D244" s="708"/>
      <c r="E244" s="707"/>
      <c r="F244" s="708"/>
      <c r="G244" s="709"/>
      <c r="H244" s="710"/>
      <c r="I244" s="706"/>
      <c r="J244" s="711"/>
      <c r="K244" s="711"/>
      <c r="L244" s="711"/>
      <c r="M244" s="706"/>
      <c r="N244" s="711"/>
      <c r="O244" s="655"/>
      <c r="P244" s="655"/>
      <c r="Q244" s="711"/>
      <c r="R244" s="655"/>
      <c r="S244" s="674"/>
      <c r="T244" s="674"/>
      <c r="U244" s="674"/>
      <c r="V244" s="674"/>
    </row>
    <row r="245">
      <c r="A245" s="712"/>
      <c r="B245" s="713"/>
      <c r="C245" s="714"/>
      <c r="D245" s="715"/>
      <c r="E245" s="714"/>
      <c r="F245" s="715"/>
      <c r="G245" s="716"/>
      <c r="H245" s="717"/>
      <c r="I245" s="713"/>
      <c r="J245" s="718"/>
      <c r="K245" s="718"/>
      <c r="L245" s="718"/>
      <c r="M245" s="713"/>
      <c r="N245" s="718"/>
      <c r="O245" s="662"/>
      <c r="P245" s="662"/>
      <c r="Q245" s="718"/>
      <c r="R245" s="662"/>
      <c r="S245" s="672"/>
      <c r="T245" s="672"/>
      <c r="U245" s="672"/>
      <c r="V245" s="672"/>
    </row>
    <row r="246">
      <c r="A246" s="705"/>
      <c r="B246" s="706"/>
      <c r="C246" s="707"/>
      <c r="D246" s="708"/>
      <c r="E246" s="707"/>
      <c r="F246" s="708"/>
      <c r="G246" s="709"/>
      <c r="H246" s="710"/>
      <c r="I246" s="706"/>
      <c r="J246" s="711"/>
      <c r="K246" s="711"/>
      <c r="L246" s="711"/>
      <c r="M246" s="706"/>
      <c r="N246" s="711"/>
      <c r="O246" s="655"/>
      <c r="P246" s="655"/>
      <c r="Q246" s="711"/>
      <c r="R246" s="655"/>
      <c r="S246" s="674"/>
      <c r="T246" s="674"/>
      <c r="U246" s="674"/>
      <c r="V246" s="674"/>
    </row>
    <row r="247">
      <c r="A247" s="712"/>
      <c r="B247" s="713"/>
      <c r="C247" s="714"/>
      <c r="D247" s="715"/>
      <c r="E247" s="714"/>
      <c r="F247" s="715"/>
      <c r="G247" s="716"/>
      <c r="H247" s="717"/>
      <c r="I247" s="713"/>
      <c r="J247" s="718"/>
      <c r="K247" s="718"/>
      <c r="L247" s="718"/>
      <c r="M247" s="713"/>
      <c r="N247" s="718"/>
      <c r="O247" s="662"/>
      <c r="P247" s="662"/>
      <c r="Q247" s="718"/>
      <c r="R247" s="662"/>
      <c r="S247" s="672"/>
      <c r="T247" s="672"/>
      <c r="U247" s="672"/>
      <c r="V247" s="672"/>
    </row>
    <row r="248">
      <c r="A248" s="705"/>
      <c r="B248" s="706"/>
      <c r="C248" s="707"/>
      <c r="D248" s="708"/>
      <c r="E248" s="707"/>
      <c r="F248" s="708"/>
      <c r="G248" s="709"/>
      <c r="H248" s="710"/>
      <c r="I248" s="706"/>
      <c r="J248" s="711"/>
      <c r="K248" s="711"/>
      <c r="L248" s="711"/>
      <c r="M248" s="706"/>
      <c r="N248" s="711"/>
      <c r="O248" s="655"/>
      <c r="P248" s="655"/>
      <c r="Q248" s="711"/>
      <c r="R248" s="655"/>
      <c r="S248" s="674"/>
      <c r="T248" s="674"/>
      <c r="U248" s="674"/>
      <c r="V248" s="674"/>
    </row>
    <row r="249">
      <c r="A249" s="712"/>
      <c r="B249" s="713"/>
      <c r="C249" s="714"/>
      <c r="D249" s="715"/>
      <c r="E249" s="714"/>
      <c r="F249" s="715"/>
      <c r="G249" s="716"/>
      <c r="H249" s="717"/>
      <c r="I249" s="713"/>
      <c r="J249" s="718"/>
      <c r="K249" s="718"/>
      <c r="L249" s="718"/>
      <c r="M249" s="713"/>
      <c r="N249" s="718"/>
      <c r="O249" s="662"/>
      <c r="P249" s="662"/>
      <c r="Q249" s="718"/>
      <c r="R249" s="662"/>
      <c r="S249" s="672"/>
      <c r="T249" s="672"/>
      <c r="U249" s="672"/>
      <c r="V249" s="672"/>
    </row>
    <row r="250">
      <c r="A250" s="705"/>
      <c r="B250" s="706"/>
      <c r="C250" s="707"/>
      <c r="D250" s="708"/>
      <c r="E250" s="707"/>
      <c r="F250" s="708"/>
      <c r="G250" s="709"/>
      <c r="H250" s="710"/>
      <c r="I250" s="706"/>
      <c r="J250" s="711"/>
      <c r="K250" s="711"/>
      <c r="L250" s="711"/>
      <c r="M250" s="706"/>
      <c r="N250" s="711"/>
      <c r="O250" s="655"/>
      <c r="P250" s="655"/>
      <c r="Q250" s="711"/>
      <c r="R250" s="655"/>
      <c r="S250" s="674"/>
      <c r="T250" s="674"/>
      <c r="U250" s="674"/>
      <c r="V250" s="674"/>
    </row>
    <row r="251">
      <c r="A251" s="712"/>
      <c r="B251" s="713"/>
      <c r="C251" s="714"/>
      <c r="D251" s="715"/>
      <c r="E251" s="714"/>
      <c r="F251" s="715"/>
      <c r="G251" s="716"/>
      <c r="H251" s="717"/>
      <c r="I251" s="713"/>
      <c r="J251" s="718"/>
      <c r="K251" s="718"/>
      <c r="L251" s="718"/>
      <c r="M251" s="713"/>
      <c r="N251" s="718"/>
      <c r="O251" s="662"/>
      <c r="P251" s="662"/>
      <c r="Q251" s="718"/>
      <c r="R251" s="662"/>
      <c r="S251" s="672"/>
      <c r="T251" s="672"/>
      <c r="U251" s="672"/>
      <c r="V251" s="672"/>
    </row>
    <row r="252">
      <c r="A252" s="705"/>
      <c r="B252" s="706"/>
      <c r="C252" s="707"/>
      <c r="D252" s="708"/>
      <c r="E252" s="707"/>
      <c r="F252" s="708"/>
      <c r="G252" s="709"/>
      <c r="H252" s="710"/>
      <c r="I252" s="706"/>
      <c r="J252" s="711"/>
      <c r="K252" s="711"/>
      <c r="L252" s="711"/>
      <c r="M252" s="706"/>
      <c r="N252" s="711"/>
      <c r="O252" s="655"/>
      <c r="P252" s="655"/>
      <c r="Q252" s="711"/>
      <c r="R252" s="655"/>
      <c r="S252" s="674"/>
      <c r="T252" s="674"/>
      <c r="U252" s="674"/>
      <c r="V252" s="674"/>
    </row>
    <row r="253">
      <c r="A253" s="712"/>
      <c r="B253" s="713"/>
      <c r="C253" s="714"/>
      <c r="D253" s="715"/>
      <c r="E253" s="714"/>
      <c r="F253" s="715"/>
      <c r="G253" s="716"/>
      <c r="H253" s="717"/>
      <c r="I253" s="713"/>
      <c r="J253" s="718"/>
      <c r="K253" s="718"/>
      <c r="L253" s="718"/>
      <c r="M253" s="713"/>
      <c r="N253" s="718"/>
      <c r="O253" s="662"/>
      <c r="P253" s="662"/>
      <c r="Q253" s="718"/>
      <c r="R253" s="662"/>
      <c r="S253" s="672"/>
      <c r="T253" s="672"/>
      <c r="U253" s="672"/>
      <c r="V253" s="672"/>
    </row>
    <row r="254">
      <c r="A254" s="705"/>
      <c r="B254" s="706"/>
      <c r="C254" s="707"/>
      <c r="D254" s="708"/>
      <c r="E254" s="707"/>
      <c r="F254" s="708"/>
      <c r="G254" s="709"/>
      <c r="H254" s="710"/>
      <c r="I254" s="706"/>
      <c r="J254" s="711"/>
      <c r="K254" s="711"/>
      <c r="L254" s="711"/>
      <c r="M254" s="706"/>
      <c r="N254" s="711"/>
      <c r="O254" s="655"/>
      <c r="P254" s="655"/>
      <c r="Q254" s="711"/>
      <c r="R254" s="655"/>
      <c r="S254" s="674"/>
      <c r="T254" s="674"/>
      <c r="U254" s="674"/>
      <c r="V254" s="674"/>
    </row>
    <row r="255">
      <c r="A255" s="712"/>
      <c r="B255" s="713"/>
      <c r="C255" s="714"/>
      <c r="D255" s="715"/>
      <c r="E255" s="714"/>
      <c r="F255" s="715"/>
      <c r="G255" s="716"/>
      <c r="H255" s="717"/>
      <c r="I255" s="713"/>
      <c r="J255" s="718"/>
      <c r="K255" s="718"/>
      <c r="L255" s="718"/>
      <c r="M255" s="713"/>
      <c r="N255" s="718"/>
      <c r="O255" s="662"/>
      <c r="P255" s="662"/>
      <c r="Q255" s="718"/>
      <c r="R255" s="662"/>
      <c r="S255" s="672"/>
      <c r="T255" s="672"/>
      <c r="U255" s="672"/>
      <c r="V255" s="672"/>
    </row>
    <row r="256">
      <c r="A256" s="705"/>
      <c r="B256" s="706"/>
      <c r="C256" s="707"/>
      <c r="D256" s="708"/>
      <c r="E256" s="707"/>
      <c r="F256" s="708"/>
      <c r="G256" s="709"/>
      <c r="H256" s="710"/>
      <c r="I256" s="706"/>
      <c r="J256" s="711"/>
      <c r="K256" s="711"/>
      <c r="L256" s="711"/>
      <c r="M256" s="706"/>
      <c r="N256" s="711"/>
      <c r="O256" s="655"/>
      <c r="P256" s="655"/>
      <c r="Q256" s="711"/>
      <c r="R256" s="655"/>
      <c r="S256" s="674"/>
      <c r="T256" s="674"/>
      <c r="U256" s="674"/>
      <c r="V256" s="674"/>
    </row>
    <row r="257">
      <c r="A257" s="712"/>
      <c r="B257" s="713"/>
      <c r="C257" s="714"/>
      <c r="D257" s="715"/>
      <c r="E257" s="714"/>
      <c r="F257" s="715"/>
      <c r="G257" s="716"/>
      <c r="H257" s="717"/>
      <c r="I257" s="713"/>
      <c r="J257" s="718"/>
      <c r="K257" s="718"/>
      <c r="L257" s="718"/>
      <c r="M257" s="713"/>
      <c r="N257" s="718"/>
      <c r="O257" s="662"/>
      <c r="P257" s="662"/>
      <c r="Q257" s="718"/>
      <c r="R257" s="662"/>
      <c r="S257" s="672"/>
      <c r="T257" s="672"/>
      <c r="U257" s="672"/>
      <c r="V257" s="672"/>
    </row>
    <row r="258">
      <c r="A258" s="705"/>
      <c r="B258" s="706"/>
      <c r="C258" s="707"/>
      <c r="D258" s="708"/>
      <c r="E258" s="707"/>
      <c r="F258" s="708"/>
      <c r="G258" s="709"/>
      <c r="H258" s="710"/>
      <c r="I258" s="706"/>
      <c r="J258" s="711"/>
      <c r="K258" s="711"/>
      <c r="L258" s="711"/>
      <c r="M258" s="706"/>
      <c r="N258" s="711"/>
      <c r="O258" s="655"/>
      <c r="P258" s="655"/>
      <c r="Q258" s="711"/>
      <c r="R258" s="655"/>
      <c r="S258" s="674"/>
      <c r="T258" s="674"/>
      <c r="U258" s="674"/>
      <c r="V258" s="674"/>
    </row>
    <row r="259">
      <c r="A259" s="712"/>
      <c r="B259" s="713"/>
      <c r="C259" s="714"/>
      <c r="D259" s="715"/>
      <c r="E259" s="714"/>
      <c r="F259" s="715"/>
      <c r="G259" s="716"/>
      <c r="H259" s="717"/>
      <c r="I259" s="713"/>
      <c r="J259" s="718"/>
      <c r="K259" s="718"/>
      <c r="L259" s="718"/>
      <c r="M259" s="713"/>
      <c r="N259" s="718"/>
      <c r="O259" s="662"/>
      <c r="P259" s="662"/>
      <c r="Q259" s="718"/>
      <c r="R259" s="662"/>
      <c r="S259" s="672"/>
      <c r="T259" s="672"/>
      <c r="U259" s="672"/>
      <c r="V259" s="672"/>
    </row>
    <row r="260">
      <c r="A260" s="705"/>
      <c r="B260" s="706"/>
      <c r="C260" s="707"/>
      <c r="D260" s="708"/>
      <c r="E260" s="707"/>
      <c r="F260" s="708"/>
      <c r="G260" s="709"/>
      <c r="H260" s="710"/>
      <c r="I260" s="706"/>
      <c r="J260" s="711"/>
      <c r="K260" s="711"/>
      <c r="L260" s="711"/>
      <c r="M260" s="706"/>
      <c r="N260" s="711"/>
      <c r="O260" s="655"/>
      <c r="P260" s="655"/>
      <c r="Q260" s="711"/>
      <c r="R260" s="655"/>
      <c r="S260" s="674"/>
      <c r="T260" s="674"/>
      <c r="U260" s="674"/>
      <c r="V260" s="674"/>
    </row>
    <row r="261">
      <c r="A261" s="712"/>
      <c r="B261" s="713"/>
      <c r="C261" s="714"/>
      <c r="D261" s="715"/>
      <c r="E261" s="714"/>
      <c r="F261" s="715"/>
      <c r="G261" s="716"/>
      <c r="H261" s="717"/>
      <c r="I261" s="713"/>
      <c r="J261" s="718"/>
      <c r="K261" s="718"/>
      <c r="L261" s="718"/>
      <c r="M261" s="713"/>
      <c r="N261" s="718"/>
      <c r="O261" s="662"/>
      <c r="P261" s="662"/>
      <c r="Q261" s="718"/>
      <c r="R261" s="662"/>
      <c r="S261" s="672"/>
      <c r="T261" s="672"/>
      <c r="U261" s="672"/>
      <c r="V261" s="672"/>
    </row>
    <row r="262">
      <c r="A262" s="705"/>
      <c r="B262" s="706"/>
      <c r="C262" s="707"/>
      <c r="D262" s="708"/>
      <c r="E262" s="707"/>
      <c r="F262" s="708"/>
      <c r="G262" s="709"/>
      <c r="H262" s="710"/>
      <c r="I262" s="706"/>
      <c r="J262" s="711"/>
      <c r="K262" s="711"/>
      <c r="L262" s="711"/>
      <c r="M262" s="706"/>
      <c r="N262" s="711"/>
      <c r="O262" s="655"/>
      <c r="P262" s="655"/>
      <c r="Q262" s="711"/>
      <c r="R262" s="655"/>
      <c r="S262" s="674"/>
      <c r="T262" s="674"/>
      <c r="U262" s="674"/>
      <c r="V262" s="674"/>
    </row>
    <row r="263">
      <c r="A263" s="712"/>
      <c r="B263" s="713"/>
      <c r="C263" s="714"/>
      <c r="D263" s="715"/>
      <c r="E263" s="714"/>
      <c r="F263" s="715"/>
      <c r="G263" s="716"/>
      <c r="H263" s="717"/>
      <c r="I263" s="713"/>
      <c r="J263" s="718"/>
      <c r="K263" s="718"/>
      <c r="L263" s="718"/>
      <c r="M263" s="713"/>
      <c r="N263" s="718"/>
      <c r="O263" s="662"/>
      <c r="P263" s="662"/>
      <c r="Q263" s="718"/>
      <c r="R263" s="662"/>
      <c r="S263" s="672"/>
      <c r="T263" s="672"/>
      <c r="U263" s="672"/>
      <c r="V263" s="672"/>
    </row>
    <row r="264">
      <c r="A264" s="705"/>
      <c r="B264" s="706"/>
      <c r="C264" s="707"/>
      <c r="D264" s="708"/>
      <c r="E264" s="707"/>
      <c r="F264" s="708"/>
      <c r="G264" s="709"/>
      <c r="H264" s="710"/>
      <c r="I264" s="706"/>
      <c r="J264" s="711"/>
      <c r="K264" s="711"/>
      <c r="L264" s="711"/>
      <c r="M264" s="706"/>
      <c r="N264" s="711"/>
      <c r="O264" s="655"/>
      <c r="P264" s="655"/>
      <c r="Q264" s="711"/>
      <c r="R264" s="655"/>
      <c r="S264" s="674"/>
      <c r="T264" s="674"/>
      <c r="U264" s="674"/>
      <c r="V264" s="674"/>
    </row>
    <row r="265">
      <c r="A265" s="712"/>
      <c r="B265" s="713"/>
      <c r="C265" s="714"/>
      <c r="D265" s="715"/>
      <c r="E265" s="714"/>
      <c r="F265" s="715"/>
      <c r="G265" s="716"/>
      <c r="H265" s="717"/>
      <c r="I265" s="713"/>
      <c r="J265" s="718"/>
      <c r="K265" s="718"/>
      <c r="L265" s="718"/>
      <c r="M265" s="713"/>
      <c r="N265" s="718"/>
      <c r="O265" s="662"/>
      <c r="P265" s="662"/>
      <c r="Q265" s="718"/>
      <c r="R265" s="662"/>
      <c r="S265" s="672"/>
      <c r="T265" s="672"/>
      <c r="U265" s="672"/>
      <c r="V265" s="672"/>
    </row>
    <row r="266">
      <c r="A266" s="705"/>
      <c r="B266" s="706"/>
      <c r="C266" s="707"/>
      <c r="D266" s="708"/>
      <c r="E266" s="707"/>
      <c r="F266" s="708"/>
      <c r="G266" s="709"/>
      <c r="H266" s="710"/>
      <c r="I266" s="706"/>
      <c r="J266" s="711"/>
      <c r="K266" s="711"/>
      <c r="L266" s="711"/>
      <c r="M266" s="706"/>
      <c r="N266" s="711"/>
      <c r="O266" s="655"/>
      <c r="P266" s="655"/>
      <c r="Q266" s="711"/>
      <c r="R266" s="655"/>
      <c r="S266" s="674"/>
      <c r="T266" s="674"/>
      <c r="U266" s="674"/>
      <c r="V266" s="674"/>
    </row>
    <row r="267">
      <c r="A267" s="712"/>
      <c r="B267" s="713"/>
      <c r="C267" s="714"/>
      <c r="D267" s="715"/>
      <c r="E267" s="714"/>
      <c r="F267" s="715"/>
      <c r="G267" s="716"/>
      <c r="H267" s="717"/>
      <c r="I267" s="713"/>
      <c r="J267" s="718"/>
      <c r="K267" s="718"/>
      <c r="L267" s="718"/>
      <c r="M267" s="713"/>
      <c r="N267" s="718"/>
      <c r="O267" s="662"/>
      <c r="P267" s="662"/>
      <c r="Q267" s="718"/>
      <c r="R267" s="662"/>
      <c r="S267" s="672"/>
      <c r="T267" s="672"/>
      <c r="U267" s="672"/>
      <c r="V267" s="672"/>
    </row>
    <row r="268">
      <c r="A268" s="705"/>
      <c r="B268" s="706"/>
      <c r="C268" s="707"/>
      <c r="D268" s="708"/>
      <c r="E268" s="707"/>
      <c r="F268" s="708"/>
      <c r="G268" s="709"/>
      <c r="H268" s="710"/>
      <c r="I268" s="706"/>
      <c r="J268" s="711"/>
      <c r="K268" s="711"/>
      <c r="L268" s="711"/>
      <c r="M268" s="706"/>
      <c r="N268" s="711"/>
      <c r="O268" s="655"/>
      <c r="P268" s="655"/>
      <c r="Q268" s="711"/>
      <c r="R268" s="655"/>
      <c r="S268" s="674"/>
      <c r="T268" s="674"/>
      <c r="U268" s="674"/>
      <c r="V268" s="674"/>
    </row>
    <row r="269">
      <c r="A269" s="712"/>
      <c r="B269" s="713"/>
      <c r="C269" s="714"/>
      <c r="D269" s="715"/>
      <c r="E269" s="714"/>
      <c r="F269" s="715"/>
      <c r="G269" s="716"/>
      <c r="H269" s="717"/>
      <c r="I269" s="713"/>
      <c r="J269" s="718"/>
      <c r="K269" s="718"/>
      <c r="L269" s="718"/>
      <c r="M269" s="713"/>
      <c r="N269" s="718"/>
      <c r="O269" s="662"/>
      <c r="P269" s="662"/>
      <c r="Q269" s="718"/>
      <c r="R269" s="662"/>
      <c r="S269" s="672"/>
      <c r="T269" s="672"/>
      <c r="U269" s="672"/>
      <c r="V269" s="672"/>
    </row>
    <row r="270">
      <c r="A270" s="705"/>
      <c r="B270" s="706"/>
      <c r="C270" s="707"/>
      <c r="D270" s="708"/>
      <c r="E270" s="707"/>
      <c r="F270" s="708"/>
      <c r="G270" s="709"/>
      <c r="H270" s="710"/>
      <c r="I270" s="706"/>
      <c r="J270" s="711"/>
      <c r="K270" s="711"/>
      <c r="L270" s="711"/>
      <c r="M270" s="706"/>
      <c r="N270" s="711"/>
      <c r="O270" s="655"/>
      <c r="P270" s="655"/>
      <c r="Q270" s="711"/>
      <c r="R270" s="655"/>
      <c r="S270" s="674"/>
      <c r="T270" s="674"/>
      <c r="U270" s="674"/>
      <c r="V270" s="674"/>
    </row>
    <row r="271">
      <c r="A271" s="712"/>
      <c r="B271" s="713"/>
      <c r="C271" s="714"/>
      <c r="D271" s="715"/>
      <c r="E271" s="714"/>
      <c r="F271" s="715"/>
      <c r="G271" s="716"/>
      <c r="H271" s="717"/>
      <c r="I271" s="713"/>
      <c r="J271" s="718"/>
      <c r="K271" s="718"/>
      <c r="L271" s="718"/>
      <c r="M271" s="713"/>
      <c r="N271" s="718"/>
      <c r="O271" s="662"/>
      <c r="P271" s="662"/>
      <c r="Q271" s="718"/>
      <c r="R271" s="662"/>
      <c r="S271" s="672"/>
      <c r="T271" s="672"/>
      <c r="U271" s="672"/>
      <c r="V271" s="672"/>
    </row>
    <row r="272">
      <c r="A272" s="705"/>
      <c r="B272" s="706"/>
      <c r="C272" s="707"/>
      <c r="D272" s="708"/>
      <c r="E272" s="707"/>
      <c r="F272" s="708"/>
      <c r="G272" s="709"/>
      <c r="H272" s="710"/>
      <c r="I272" s="706"/>
      <c r="J272" s="711"/>
      <c r="K272" s="711"/>
      <c r="L272" s="711"/>
      <c r="M272" s="706"/>
      <c r="N272" s="711"/>
      <c r="O272" s="655"/>
      <c r="P272" s="655"/>
      <c r="Q272" s="711"/>
      <c r="R272" s="655"/>
      <c r="S272" s="674"/>
      <c r="T272" s="674"/>
      <c r="U272" s="674"/>
      <c r="V272" s="674"/>
    </row>
    <row r="273">
      <c r="A273" s="712"/>
      <c r="B273" s="713"/>
      <c r="C273" s="714"/>
      <c r="D273" s="715"/>
      <c r="E273" s="714"/>
      <c r="F273" s="715"/>
      <c r="G273" s="716"/>
      <c r="H273" s="717"/>
      <c r="I273" s="713"/>
      <c r="J273" s="718"/>
      <c r="K273" s="718"/>
      <c r="L273" s="718"/>
      <c r="M273" s="713"/>
      <c r="N273" s="718"/>
      <c r="O273" s="662"/>
      <c r="P273" s="662"/>
      <c r="Q273" s="718"/>
      <c r="R273" s="662"/>
      <c r="S273" s="672"/>
      <c r="T273" s="672"/>
      <c r="U273" s="672"/>
      <c r="V273" s="672"/>
    </row>
    <row r="274">
      <c r="A274" s="705"/>
      <c r="B274" s="706"/>
      <c r="C274" s="707"/>
      <c r="D274" s="708"/>
      <c r="E274" s="707"/>
      <c r="F274" s="708"/>
      <c r="G274" s="709"/>
      <c r="H274" s="710"/>
      <c r="I274" s="706"/>
      <c r="J274" s="711"/>
      <c r="K274" s="711"/>
      <c r="L274" s="711"/>
      <c r="M274" s="706"/>
      <c r="N274" s="711"/>
      <c r="O274" s="655"/>
      <c r="P274" s="655"/>
      <c r="Q274" s="711"/>
      <c r="R274" s="655"/>
      <c r="S274" s="674"/>
      <c r="T274" s="674"/>
      <c r="U274" s="674"/>
      <c r="V274" s="674"/>
    </row>
    <row r="275">
      <c r="A275" s="712"/>
      <c r="B275" s="713"/>
      <c r="C275" s="714"/>
      <c r="D275" s="715"/>
      <c r="E275" s="714"/>
      <c r="F275" s="715"/>
      <c r="G275" s="716"/>
      <c r="H275" s="717"/>
      <c r="I275" s="713"/>
      <c r="J275" s="718"/>
      <c r="K275" s="718"/>
      <c r="L275" s="718"/>
      <c r="M275" s="713"/>
      <c r="N275" s="718"/>
      <c r="O275" s="662"/>
      <c r="P275" s="662"/>
      <c r="Q275" s="718"/>
      <c r="R275" s="662"/>
      <c r="S275" s="672"/>
      <c r="T275" s="672"/>
      <c r="U275" s="672"/>
      <c r="V275" s="672"/>
    </row>
    <row r="276">
      <c r="A276" s="705"/>
      <c r="B276" s="706"/>
      <c r="C276" s="707"/>
      <c r="D276" s="708"/>
      <c r="E276" s="707"/>
      <c r="F276" s="708"/>
      <c r="G276" s="709"/>
      <c r="H276" s="710"/>
      <c r="I276" s="706"/>
      <c r="J276" s="711"/>
      <c r="K276" s="711"/>
      <c r="L276" s="711"/>
      <c r="M276" s="706"/>
      <c r="N276" s="711"/>
      <c r="O276" s="655"/>
      <c r="P276" s="655"/>
      <c r="Q276" s="711"/>
      <c r="R276" s="655"/>
      <c r="S276" s="674"/>
      <c r="T276" s="674"/>
      <c r="U276" s="674"/>
      <c r="V276" s="674"/>
    </row>
    <row r="277">
      <c r="A277" s="712"/>
      <c r="B277" s="713"/>
      <c r="C277" s="714"/>
      <c r="D277" s="715"/>
      <c r="E277" s="714"/>
      <c r="F277" s="715"/>
      <c r="G277" s="716"/>
      <c r="H277" s="717"/>
      <c r="I277" s="713"/>
      <c r="J277" s="718"/>
      <c r="K277" s="718"/>
      <c r="L277" s="718"/>
      <c r="M277" s="713"/>
      <c r="N277" s="718"/>
      <c r="O277" s="662"/>
      <c r="P277" s="662"/>
      <c r="Q277" s="718"/>
      <c r="R277" s="662"/>
      <c r="S277" s="672"/>
      <c r="T277" s="672"/>
      <c r="U277" s="672"/>
      <c r="V277" s="672"/>
    </row>
    <row r="278">
      <c r="A278" s="705"/>
      <c r="B278" s="706"/>
      <c r="C278" s="707"/>
      <c r="D278" s="708"/>
      <c r="E278" s="707"/>
      <c r="F278" s="708"/>
      <c r="G278" s="709"/>
      <c r="H278" s="710"/>
      <c r="I278" s="706"/>
      <c r="J278" s="711"/>
      <c r="K278" s="711"/>
      <c r="L278" s="711"/>
      <c r="M278" s="706"/>
      <c r="N278" s="711"/>
      <c r="O278" s="655"/>
      <c r="P278" s="655"/>
      <c r="Q278" s="711"/>
      <c r="R278" s="655"/>
      <c r="S278" s="674"/>
      <c r="T278" s="674"/>
      <c r="U278" s="674"/>
      <c r="V278" s="674"/>
    </row>
    <row r="279">
      <c r="A279" s="712"/>
      <c r="B279" s="713"/>
      <c r="C279" s="714"/>
      <c r="D279" s="715"/>
      <c r="E279" s="714"/>
      <c r="F279" s="715"/>
      <c r="G279" s="716"/>
      <c r="H279" s="717"/>
      <c r="I279" s="713"/>
      <c r="J279" s="718"/>
      <c r="K279" s="718"/>
      <c r="L279" s="718"/>
      <c r="M279" s="713"/>
      <c r="N279" s="718"/>
      <c r="O279" s="662"/>
      <c r="P279" s="662"/>
      <c r="Q279" s="718"/>
      <c r="R279" s="662"/>
      <c r="S279" s="672"/>
      <c r="T279" s="672"/>
      <c r="U279" s="672"/>
      <c r="V279" s="672"/>
    </row>
    <row r="280">
      <c r="A280" s="705"/>
      <c r="B280" s="706"/>
      <c r="C280" s="707"/>
      <c r="D280" s="708"/>
      <c r="E280" s="707"/>
      <c r="F280" s="708"/>
      <c r="G280" s="709"/>
      <c r="H280" s="710"/>
      <c r="I280" s="706"/>
      <c r="J280" s="711"/>
      <c r="K280" s="711"/>
      <c r="L280" s="711"/>
      <c r="M280" s="706"/>
      <c r="N280" s="711"/>
      <c r="O280" s="655"/>
      <c r="P280" s="655"/>
      <c r="Q280" s="711"/>
      <c r="R280" s="655"/>
      <c r="S280" s="674"/>
      <c r="T280" s="674"/>
      <c r="U280" s="674"/>
      <c r="V280" s="674"/>
    </row>
    <row r="281">
      <c r="A281" s="712"/>
      <c r="B281" s="713"/>
      <c r="C281" s="714"/>
      <c r="D281" s="715"/>
      <c r="E281" s="714"/>
      <c r="F281" s="715"/>
      <c r="G281" s="716"/>
      <c r="H281" s="717"/>
      <c r="I281" s="713"/>
      <c r="J281" s="718"/>
      <c r="K281" s="718"/>
      <c r="L281" s="718"/>
      <c r="M281" s="713"/>
      <c r="N281" s="718"/>
      <c r="O281" s="662"/>
      <c r="P281" s="662"/>
      <c r="Q281" s="718"/>
      <c r="R281" s="662"/>
      <c r="S281" s="672"/>
      <c r="T281" s="672"/>
      <c r="U281" s="672"/>
      <c r="V281" s="672"/>
    </row>
    <row r="282">
      <c r="A282" s="705"/>
      <c r="B282" s="706"/>
      <c r="C282" s="707"/>
      <c r="D282" s="708"/>
      <c r="E282" s="707"/>
      <c r="F282" s="708"/>
      <c r="G282" s="709"/>
      <c r="H282" s="710"/>
      <c r="I282" s="706"/>
      <c r="J282" s="711"/>
      <c r="K282" s="711"/>
      <c r="L282" s="711"/>
      <c r="M282" s="706"/>
      <c r="N282" s="711"/>
      <c r="O282" s="655"/>
      <c r="P282" s="655"/>
      <c r="Q282" s="711"/>
      <c r="R282" s="655"/>
      <c r="S282" s="674"/>
      <c r="T282" s="674"/>
      <c r="U282" s="674"/>
      <c r="V282" s="674"/>
    </row>
    <row r="283">
      <c r="A283" s="712"/>
      <c r="B283" s="713"/>
      <c r="C283" s="714"/>
      <c r="D283" s="715"/>
      <c r="E283" s="714"/>
      <c r="F283" s="715"/>
      <c r="G283" s="716"/>
      <c r="H283" s="717"/>
      <c r="I283" s="713"/>
      <c r="J283" s="718"/>
      <c r="K283" s="718"/>
      <c r="L283" s="718"/>
      <c r="M283" s="713"/>
      <c r="N283" s="718"/>
      <c r="O283" s="662"/>
      <c r="P283" s="662"/>
      <c r="Q283" s="718"/>
      <c r="R283" s="662"/>
      <c r="S283" s="672"/>
      <c r="T283" s="672"/>
      <c r="U283" s="672"/>
      <c r="V283" s="672"/>
    </row>
    <row r="284">
      <c r="A284" s="705"/>
      <c r="B284" s="706"/>
      <c r="C284" s="707"/>
      <c r="D284" s="708"/>
      <c r="E284" s="707"/>
      <c r="F284" s="708"/>
      <c r="G284" s="709"/>
      <c r="H284" s="710"/>
      <c r="I284" s="706"/>
      <c r="J284" s="711"/>
      <c r="K284" s="711"/>
      <c r="L284" s="711"/>
      <c r="M284" s="706"/>
      <c r="N284" s="711"/>
      <c r="O284" s="655"/>
      <c r="P284" s="655"/>
      <c r="Q284" s="711"/>
      <c r="R284" s="655"/>
      <c r="S284" s="674"/>
      <c r="T284" s="674"/>
      <c r="U284" s="674"/>
      <c r="V284" s="674"/>
    </row>
    <row r="285">
      <c r="A285" s="712"/>
      <c r="B285" s="713"/>
      <c r="C285" s="714"/>
      <c r="D285" s="715"/>
      <c r="E285" s="714"/>
      <c r="F285" s="715"/>
      <c r="G285" s="716"/>
      <c r="H285" s="717"/>
      <c r="I285" s="713"/>
      <c r="J285" s="718"/>
      <c r="K285" s="718"/>
      <c r="L285" s="718"/>
      <c r="M285" s="713"/>
      <c r="N285" s="718"/>
      <c r="O285" s="662"/>
      <c r="P285" s="662"/>
      <c r="Q285" s="718"/>
      <c r="R285" s="662"/>
      <c r="S285" s="672"/>
      <c r="T285" s="672"/>
      <c r="U285" s="672"/>
      <c r="V285" s="672"/>
    </row>
    <row r="286">
      <c r="A286" s="705"/>
      <c r="B286" s="706"/>
      <c r="C286" s="707"/>
      <c r="D286" s="708"/>
      <c r="E286" s="707"/>
      <c r="F286" s="708"/>
      <c r="G286" s="709"/>
      <c r="H286" s="710"/>
      <c r="I286" s="706"/>
      <c r="J286" s="711"/>
      <c r="K286" s="711"/>
      <c r="L286" s="711"/>
      <c r="M286" s="706"/>
      <c r="N286" s="711"/>
      <c r="O286" s="655"/>
      <c r="P286" s="655"/>
      <c r="Q286" s="711"/>
      <c r="R286" s="655"/>
      <c r="S286" s="674"/>
      <c r="T286" s="674"/>
      <c r="U286" s="674"/>
      <c r="V286" s="674"/>
    </row>
    <row r="287">
      <c r="A287" s="712"/>
      <c r="B287" s="713"/>
      <c r="C287" s="714"/>
      <c r="D287" s="715"/>
      <c r="E287" s="714"/>
      <c r="F287" s="715"/>
      <c r="G287" s="716"/>
      <c r="H287" s="717"/>
      <c r="I287" s="713"/>
      <c r="J287" s="718"/>
      <c r="K287" s="718"/>
      <c r="L287" s="718"/>
      <c r="M287" s="713"/>
      <c r="N287" s="718"/>
      <c r="O287" s="662"/>
      <c r="P287" s="662"/>
      <c r="Q287" s="718"/>
      <c r="R287" s="662"/>
      <c r="S287" s="672"/>
      <c r="T287" s="672"/>
      <c r="U287" s="672"/>
      <c r="V287" s="672"/>
    </row>
    <row r="288">
      <c r="A288" s="705"/>
      <c r="B288" s="706"/>
      <c r="C288" s="707"/>
      <c r="D288" s="708"/>
      <c r="E288" s="707"/>
      <c r="F288" s="708"/>
      <c r="G288" s="709"/>
      <c r="H288" s="710"/>
      <c r="I288" s="706"/>
      <c r="J288" s="711"/>
      <c r="K288" s="711"/>
      <c r="L288" s="711"/>
      <c r="M288" s="706"/>
      <c r="N288" s="711"/>
      <c r="O288" s="655"/>
      <c r="P288" s="655"/>
      <c r="Q288" s="711"/>
      <c r="R288" s="655"/>
      <c r="S288" s="674"/>
      <c r="T288" s="674"/>
      <c r="U288" s="674"/>
      <c r="V288" s="674"/>
    </row>
    <row r="289">
      <c r="A289" s="712"/>
      <c r="B289" s="713"/>
      <c r="C289" s="714"/>
      <c r="D289" s="715"/>
      <c r="E289" s="714"/>
      <c r="F289" s="715"/>
      <c r="G289" s="716"/>
      <c r="H289" s="717"/>
      <c r="I289" s="713"/>
      <c r="J289" s="718"/>
      <c r="K289" s="718"/>
      <c r="L289" s="718"/>
      <c r="M289" s="713"/>
      <c r="N289" s="718"/>
      <c r="O289" s="662"/>
      <c r="P289" s="662"/>
      <c r="Q289" s="718"/>
      <c r="R289" s="662"/>
      <c r="S289" s="672"/>
      <c r="T289" s="672"/>
      <c r="U289" s="672"/>
      <c r="V289" s="672"/>
    </row>
    <row r="290">
      <c r="A290" s="705"/>
      <c r="B290" s="706"/>
      <c r="C290" s="707"/>
      <c r="D290" s="708"/>
      <c r="E290" s="707"/>
      <c r="F290" s="708"/>
      <c r="G290" s="709"/>
      <c r="H290" s="710"/>
      <c r="I290" s="706"/>
      <c r="J290" s="711"/>
      <c r="K290" s="711"/>
      <c r="L290" s="711"/>
      <c r="M290" s="706"/>
      <c r="N290" s="711"/>
      <c r="O290" s="655"/>
      <c r="P290" s="655"/>
      <c r="Q290" s="711"/>
      <c r="R290" s="655"/>
      <c r="S290" s="674"/>
      <c r="T290" s="674"/>
      <c r="U290" s="674"/>
      <c r="V290" s="674"/>
    </row>
    <row r="291">
      <c r="A291" s="712"/>
      <c r="B291" s="713"/>
      <c r="C291" s="714"/>
      <c r="D291" s="715"/>
      <c r="E291" s="714"/>
      <c r="F291" s="715"/>
      <c r="G291" s="716"/>
      <c r="H291" s="717"/>
      <c r="I291" s="713"/>
      <c r="J291" s="718"/>
      <c r="K291" s="718"/>
      <c r="L291" s="718"/>
      <c r="M291" s="713"/>
      <c r="N291" s="718"/>
      <c r="O291" s="662"/>
      <c r="P291" s="662"/>
      <c r="Q291" s="718"/>
      <c r="R291" s="662"/>
      <c r="S291" s="672"/>
      <c r="T291" s="672"/>
      <c r="U291" s="672"/>
      <c r="V291" s="672"/>
    </row>
    <row r="292">
      <c r="A292" s="705"/>
      <c r="B292" s="706"/>
      <c r="C292" s="707"/>
      <c r="D292" s="708"/>
      <c r="E292" s="707"/>
      <c r="F292" s="708"/>
      <c r="G292" s="709"/>
      <c r="H292" s="710"/>
      <c r="I292" s="706"/>
      <c r="J292" s="711"/>
      <c r="K292" s="711"/>
      <c r="L292" s="711"/>
      <c r="M292" s="706"/>
      <c r="N292" s="711"/>
      <c r="O292" s="655"/>
      <c r="P292" s="655"/>
      <c r="Q292" s="711"/>
      <c r="R292" s="655"/>
      <c r="S292" s="674"/>
      <c r="T292" s="674"/>
      <c r="U292" s="674"/>
      <c r="V292" s="674"/>
    </row>
    <row r="293">
      <c r="A293" s="712"/>
      <c r="B293" s="713"/>
      <c r="C293" s="714"/>
      <c r="D293" s="715"/>
      <c r="E293" s="714"/>
      <c r="F293" s="715"/>
      <c r="G293" s="716"/>
      <c r="H293" s="717"/>
      <c r="I293" s="713"/>
      <c r="J293" s="718"/>
      <c r="K293" s="718"/>
      <c r="L293" s="718"/>
      <c r="M293" s="713"/>
      <c r="N293" s="718"/>
      <c r="O293" s="662"/>
      <c r="P293" s="662"/>
      <c r="Q293" s="718"/>
      <c r="R293" s="662"/>
      <c r="S293" s="672"/>
      <c r="T293" s="672"/>
      <c r="U293" s="672"/>
      <c r="V293" s="672"/>
    </row>
    <row r="294">
      <c r="A294" s="705"/>
      <c r="B294" s="706"/>
      <c r="C294" s="707"/>
      <c r="D294" s="708"/>
      <c r="E294" s="707"/>
      <c r="F294" s="708"/>
      <c r="G294" s="709"/>
      <c r="H294" s="710"/>
      <c r="I294" s="706"/>
      <c r="J294" s="711"/>
      <c r="K294" s="711"/>
      <c r="L294" s="711"/>
      <c r="M294" s="706"/>
      <c r="N294" s="711"/>
      <c r="O294" s="655"/>
      <c r="P294" s="655"/>
      <c r="Q294" s="711"/>
      <c r="R294" s="655"/>
      <c r="S294" s="674"/>
      <c r="T294" s="674"/>
      <c r="U294" s="674"/>
      <c r="V294" s="674"/>
    </row>
    <row r="295">
      <c r="A295" s="712"/>
      <c r="B295" s="713"/>
      <c r="C295" s="714"/>
      <c r="D295" s="715"/>
      <c r="E295" s="714"/>
      <c r="F295" s="715"/>
      <c r="G295" s="716"/>
      <c r="H295" s="717"/>
      <c r="I295" s="713"/>
      <c r="J295" s="718"/>
      <c r="K295" s="718"/>
      <c r="L295" s="718"/>
      <c r="M295" s="713"/>
      <c r="N295" s="718"/>
      <c r="O295" s="662"/>
      <c r="P295" s="662"/>
      <c r="Q295" s="718"/>
      <c r="R295" s="662"/>
      <c r="S295" s="672"/>
      <c r="T295" s="672"/>
      <c r="U295" s="672"/>
      <c r="V295" s="672"/>
    </row>
    <row r="296">
      <c r="A296" s="705"/>
      <c r="B296" s="706"/>
      <c r="C296" s="707"/>
      <c r="D296" s="708"/>
      <c r="E296" s="707"/>
      <c r="F296" s="708"/>
      <c r="G296" s="709"/>
      <c r="H296" s="710"/>
      <c r="I296" s="706"/>
      <c r="J296" s="711"/>
      <c r="K296" s="711"/>
      <c r="L296" s="711"/>
      <c r="M296" s="706"/>
      <c r="N296" s="711"/>
      <c r="O296" s="655"/>
      <c r="P296" s="655"/>
      <c r="Q296" s="711"/>
      <c r="R296" s="655"/>
      <c r="S296" s="674"/>
      <c r="T296" s="674"/>
      <c r="U296" s="674"/>
      <c r="V296" s="674"/>
    </row>
    <row r="297">
      <c r="A297" s="712"/>
      <c r="B297" s="713"/>
      <c r="C297" s="714"/>
      <c r="D297" s="715"/>
      <c r="E297" s="714"/>
      <c r="F297" s="715"/>
      <c r="G297" s="716"/>
      <c r="H297" s="717"/>
      <c r="I297" s="713"/>
      <c r="J297" s="718"/>
      <c r="K297" s="718"/>
      <c r="L297" s="718"/>
      <c r="M297" s="713"/>
      <c r="N297" s="718"/>
      <c r="O297" s="662"/>
      <c r="P297" s="662"/>
      <c r="Q297" s="718"/>
      <c r="R297" s="662"/>
      <c r="S297" s="672"/>
      <c r="T297" s="672"/>
      <c r="U297" s="672"/>
      <c r="V297" s="672"/>
    </row>
    <row r="298">
      <c r="A298" s="705"/>
      <c r="B298" s="706"/>
      <c r="C298" s="707"/>
      <c r="D298" s="708"/>
      <c r="E298" s="707"/>
      <c r="F298" s="708"/>
      <c r="G298" s="709"/>
      <c r="H298" s="710"/>
      <c r="I298" s="706"/>
      <c r="J298" s="711"/>
      <c r="K298" s="711"/>
      <c r="L298" s="711"/>
      <c r="M298" s="706"/>
      <c r="N298" s="711"/>
      <c r="O298" s="655"/>
      <c r="P298" s="655"/>
      <c r="Q298" s="711"/>
      <c r="R298" s="655"/>
      <c r="S298" s="674"/>
      <c r="T298" s="674"/>
      <c r="U298" s="674"/>
      <c r="V298" s="674"/>
    </row>
    <row r="299">
      <c r="A299" s="712"/>
      <c r="B299" s="713"/>
      <c r="C299" s="714"/>
      <c r="D299" s="715"/>
      <c r="E299" s="714"/>
      <c r="F299" s="715"/>
      <c r="G299" s="716"/>
      <c r="H299" s="717"/>
      <c r="I299" s="713"/>
      <c r="J299" s="718"/>
      <c r="K299" s="718"/>
      <c r="L299" s="718"/>
      <c r="M299" s="713"/>
      <c r="N299" s="718"/>
      <c r="O299" s="662"/>
      <c r="P299" s="662"/>
      <c r="Q299" s="718"/>
      <c r="R299" s="662"/>
      <c r="S299" s="672"/>
      <c r="T299" s="672"/>
      <c r="U299" s="672"/>
      <c r="V299" s="672"/>
    </row>
    <row r="300">
      <c r="A300" s="705"/>
      <c r="B300" s="706"/>
      <c r="C300" s="707"/>
      <c r="D300" s="708"/>
      <c r="E300" s="707"/>
      <c r="F300" s="708"/>
      <c r="G300" s="709"/>
      <c r="H300" s="710"/>
      <c r="I300" s="706"/>
      <c r="J300" s="711"/>
      <c r="K300" s="711"/>
      <c r="L300" s="711"/>
      <c r="M300" s="706"/>
      <c r="N300" s="711"/>
      <c r="O300" s="655"/>
      <c r="P300" s="655"/>
      <c r="Q300" s="711"/>
      <c r="R300" s="655"/>
      <c r="S300" s="674"/>
      <c r="T300" s="674"/>
      <c r="U300" s="674"/>
      <c r="V300" s="674"/>
    </row>
    <row r="301">
      <c r="A301" s="712"/>
      <c r="B301" s="713"/>
      <c r="C301" s="714"/>
      <c r="D301" s="715"/>
      <c r="E301" s="714"/>
      <c r="F301" s="715"/>
      <c r="G301" s="716"/>
      <c r="H301" s="717"/>
      <c r="I301" s="713"/>
      <c r="J301" s="718"/>
      <c r="K301" s="718"/>
      <c r="L301" s="718"/>
      <c r="M301" s="713"/>
      <c r="N301" s="718"/>
      <c r="O301" s="662"/>
      <c r="P301" s="662"/>
      <c r="Q301" s="718"/>
      <c r="R301" s="662"/>
      <c r="S301" s="672"/>
      <c r="T301" s="672"/>
      <c r="U301" s="672"/>
      <c r="V301" s="672"/>
    </row>
    <row r="302">
      <c r="A302" s="705"/>
      <c r="B302" s="706"/>
      <c r="C302" s="707"/>
      <c r="D302" s="708"/>
      <c r="E302" s="707"/>
      <c r="F302" s="708"/>
      <c r="G302" s="709"/>
      <c r="H302" s="710"/>
      <c r="I302" s="706"/>
      <c r="J302" s="711"/>
      <c r="K302" s="711"/>
      <c r="L302" s="711"/>
      <c r="M302" s="706"/>
      <c r="N302" s="711"/>
      <c r="O302" s="655"/>
      <c r="P302" s="655"/>
      <c r="Q302" s="711"/>
      <c r="R302" s="655"/>
      <c r="S302" s="674"/>
      <c r="T302" s="674"/>
      <c r="U302" s="674"/>
      <c r="V302" s="674"/>
    </row>
    <row r="303">
      <c r="A303" s="712"/>
      <c r="B303" s="713"/>
      <c r="C303" s="714"/>
      <c r="D303" s="715"/>
      <c r="E303" s="714"/>
      <c r="F303" s="715"/>
      <c r="G303" s="716"/>
      <c r="H303" s="717"/>
      <c r="I303" s="713"/>
      <c r="J303" s="718"/>
      <c r="K303" s="718"/>
      <c r="L303" s="718"/>
      <c r="M303" s="713"/>
      <c r="N303" s="718"/>
      <c r="O303" s="662"/>
      <c r="P303" s="662"/>
      <c r="Q303" s="718"/>
      <c r="R303" s="662"/>
      <c r="S303" s="672"/>
      <c r="T303" s="672"/>
      <c r="U303" s="672"/>
      <c r="V303" s="672"/>
    </row>
    <row r="304">
      <c r="A304" s="705"/>
      <c r="B304" s="706"/>
      <c r="C304" s="707"/>
      <c r="D304" s="708"/>
      <c r="E304" s="707"/>
      <c r="F304" s="708"/>
      <c r="G304" s="709"/>
      <c r="H304" s="710"/>
      <c r="I304" s="706"/>
      <c r="J304" s="711"/>
      <c r="K304" s="711"/>
      <c r="L304" s="711"/>
      <c r="M304" s="706"/>
      <c r="N304" s="711"/>
      <c r="O304" s="655"/>
      <c r="P304" s="655"/>
      <c r="Q304" s="711"/>
      <c r="R304" s="655"/>
      <c r="S304" s="674"/>
      <c r="T304" s="674"/>
      <c r="U304" s="674"/>
      <c r="V304" s="674"/>
    </row>
    <row r="305">
      <c r="A305" s="712"/>
      <c r="B305" s="713"/>
      <c r="C305" s="714"/>
      <c r="D305" s="715"/>
      <c r="E305" s="714"/>
      <c r="F305" s="715"/>
      <c r="G305" s="716"/>
      <c r="H305" s="717"/>
      <c r="I305" s="713"/>
      <c r="J305" s="718"/>
      <c r="K305" s="718"/>
      <c r="L305" s="718"/>
      <c r="M305" s="713"/>
      <c r="N305" s="718"/>
      <c r="O305" s="662"/>
      <c r="P305" s="662"/>
      <c r="Q305" s="718"/>
      <c r="R305" s="662"/>
      <c r="S305" s="672"/>
      <c r="T305" s="672"/>
      <c r="U305" s="672"/>
      <c r="V305" s="672"/>
    </row>
    <row r="306">
      <c r="A306" s="705"/>
      <c r="B306" s="706"/>
      <c r="C306" s="707"/>
      <c r="D306" s="708"/>
      <c r="E306" s="707"/>
      <c r="F306" s="708"/>
      <c r="G306" s="709"/>
      <c r="H306" s="710"/>
      <c r="I306" s="706"/>
      <c r="J306" s="711"/>
      <c r="K306" s="711"/>
      <c r="L306" s="711"/>
      <c r="M306" s="706"/>
      <c r="N306" s="711"/>
      <c r="O306" s="655"/>
      <c r="P306" s="655"/>
      <c r="Q306" s="711"/>
      <c r="R306" s="655"/>
      <c r="S306" s="674"/>
      <c r="T306" s="674"/>
      <c r="U306" s="674"/>
      <c r="V306" s="674"/>
    </row>
    <row r="307">
      <c r="A307" s="712"/>
      <c r="B307" s="713"/>
      <c r="C307" s="714"/>
      <c r="D307" s="715"/>
      <c r="E307" s="714"/>
      <c r="F307" s="715"/>
      <c r="G307" s="716"/>
      <c r="H307" s="717"/>
      <c r="I307" s="713"/>
      <c r="J307" s="718"/>
      <c r="K307" s="718"/>
      <c r="L307" s="718"/>
      <c r="M307" s="713"/>
      <c r="N307" s="718"/>
      <c r="O307" s="662"/>
      <c r="P307" s="662"/>
      <c r="Q307" s="718"/>
      <c r="R307" s="662"/>
      <c r="S307" s="672"/>
      <c r="T307" s="672"/>
      <c r="U307" s="672"/>
      <c r="V307" s="672"/>
    </row>
    <row r="308">
      <c r="A308" s="705"/>
      <c r="B308" s="706"/>
      <c r="C308" s="707"/>
      <c r="D308" s="708"/>
      <c r="E308" s="707"/>
      <c r="F308" s="708"/>
      <c r="G308" s="709"/>
      <c r="H308" s="710"/>
      <c r="I308" s="706"/>
      <c r="J308" s="711"/>
      <c r="K308" s="711"/>
      <c r="L308" s="711"/>
      <c r="M308" s="706"/>
      <c r="N308" s="711"/>
      <c r="O308" s="655"/>
      <c r="P308" s="655"/>
      <c r="Q308" s="711"/>
      <c r="R308" s="655"/>
      <c r="S308" s="674"/>
      <c r="T308" s="674"/>
      <c r="U308" s="674"/>
      <c r="V308" s="674"/>
    </row>
    <row r="309">
      <c r="A309" s="712"/>
      <c r="B309" s="713"/>
      <c r="C309" s="714"/>
      <c r="D309" s="715"/>
      <c r="E309" s="714"/>
      <c r="F309" s="715"/>
      <c r="G309" s="716"/>
      <c r="H309" s="717"/>
      <c r="I309" s="713"/>
      <c r="J309" s="718"/>
      <c r="K309" s="718"/>
      <c r="L309" s="718"/>
      <c r="M309" s="713"/>
      <c r="N309" s="718"/>
      <c r="O309" s="662"/>
      <c r="P309" s="662"/>
      <c r="Q309" s="718"/>
      <c r="R309" s="662"/>
      <c r="S309" s="672"/>
      <c r="T309" s="672"/>
      <c r="U309" s="672"/>
      <c r="V309" s="672"/>
    </row>
    <row r="310">
      <c r="A310" s="705"/>
      <c r="B310" s="706"/>
      <c r="C310" s="707"/>
      <c r="D310" s="708"/>
      <c r="E310" s="707"/>
      <c r="F310" s="708"/>
      <c r="G310" s="709"/>
      <c r="H310" s="710"/>
      <c r="I310" s="706"/>
      <c r="J310" s="711"/>
      <c r="K310" s="711"/>
      <c r="L310" s="711"/>
      <c r="M310" s="706"/>
      <c r="N310" s="711"/>
      <c r="O310" s="655"/>
      <c r="P310" s="655"/>
      <c r="Q310" s="711"/>
      <c r="R310" s="655"/>
      <c r="S310" s="674"/>
      <c r="T310" s="674"/>
      <c r="U310" s="674"/>
      <c r="V310" s="674"/>
    </row>
    <row r="311">
      <c r="A311" s="712"/>
      <c r="B311" s="713"/>
      <c r="C311" s="714"/>
      <c r="D311" s="715"/>
      <c r="E311" s="714"/>
      <c r="F311" s="715"/>
      <c r="G311" s="716"/>
      <c r="H311" s="717"/>
      <c r="I311" s="713"/>
      <c r="J311" s="718"/>
      <c r="K311" s="718"/>
      <c r="L311" s="718"/>
      <c r="M311" s="713"/>
      <c r="N311" s="718"/>
      <c r="O311" s="662"/>
      <c r="P311" s="662"/>
      <c r="Q311" s="718"/>
      <c r="R311" s="662"/>
      <c r="S311" s="672"/>
      <c r="T311" s="672"/>
      <c r="U311" s="672"/>
      <c r="V311" s="672"/>
    </row>
    <row r="312">
      <c r="A312" s="705"/>
      <c r="B312" s="706"/>
      <c r="C312" s="707"/>
      <c r="D312" s="708"/>
      <c r="E312" s="707"/>
      <c r="F312" s="708"/>
      <c r="G312" s="709"/>
      <c r="H312" s="710"/>
      <c r="I312" s="706"/>
      <c r="J312" s="711"/>
      <c r="K312" s="711"/>
      <c r="L312" s="711"/>
      <c r="M312" s="706"/>
      <c r="N312" s="711"/>
      <c r="O312" s="655"/>
      <c r="P312" s="655"/>
      <c r="Q312" s="711"/>
      <c r="R312" s="655"/>
      <c r="S312" s="674"/>
      <c r="T312" s="674"/>
      <c r="U312" s="674"/>
      <c r="V312" s="674"/>
    </row>
    <row r="313">
      <c r="A313" s="712"/>
      <c r="B313" s="713"/>
      <c r="C313" s="714"/>
      <c r="D313" s="715"/>
      <c r="E313" s="714"/>
      <c r="F313" s="715"/>
      <c r="G313" s="716"/>
      <c r="H313" s="717"/>
      <c r="I313" s="713"/>
      <c r="J313" s="718"/>
      <c r="K313" s="718"/>
      <c r="L313" s="718"/>
      <c r="M313" s="713"/>
      <c r="N313" s="718"/>
      <c r="O313" s="662"/>
      <c r="P313" s="662"/>
      <c r="Q313" s="718"/>
      <c r="R313" s="662"/>
      <c r="S313" s="672"/>
      <c r="T313" s="672"/>
      <c r="U313" s="672"/>
      <c r="V313" s="672"/>
    </row>
    <row r="314">
      <c r="A314" s="705"/>
      <c r="B314" s="706"/>
      <c r="C314" s="707"/>
      <c r="D314" s="708"/>
      <c r="E314" s="707"/>
      <c r="F314" s="708"/>
      <c r="G314" s="709"/>
      <c r="H314" s="710"/>
      <c r="I314" s="706"/>
      <c r="J314" s="711"/>
      <c r="K314" s="711"/>
      <c r="L314" s="711"/>
      <c r="M314" s="706"/>
      <c r="N314" s="711"/>
      <c r="O314" s="655"/>
      <c r="P314" s="655"/>
      <c r="Q314" s="711"/>
      <c r="R314" s="655"/>
      <c r="S314" s="674"/>
      <c r="T314" s="674"/>
      <c r="U314" s="674"/>
      <c r="V314" s="674"/>
    </row>
    <row r="315">
      <c r="A315" s="712"/>
      <c r="B315" s="713"/>
      <c r="C315" s="714"/>
      <c r="D315" s="715"/>
      <c r="E315" s="714"/>
      <c r="F315" s="715"/>
      <c r="G315" s="716"/>
      <c r="H315" s="717"/>
      <c r="I315" s="713"/>
      <c r="J315" s="718"/>
      <c r="K315" s="718"/>
      <c r="L315" s="718"/>
      <c r="M315" s="713"/>
      <c r="N315" s="718"/>
      <c r="O315" s="662"/>
      <c r="P315" s="662"/>
      <c r="Q315" s="718"/>
      <c r="R315" s="662"/>
      <c r="S315" s="672"/>
      <c r="T315" s="672"/>
      <c r="U315" s="672"/>
      <c r="V315" s="672"/>
    </row>
    <row r="316">
      <c r="A316" s="705"/>
      <c r="B316" s="706"/>
      <c r="C316" s="707"/>
      <c r="D316" s="708"/>
      <c r="E316" s="707"/>
      <c r="F316" s="708"/>
      <c r="G316" s="709"/>
      <c r="H316" s="710"/>
      <c r="I316" s="706"/>
      <c r="J316" s="711"/>
      <c r="K316" s="711"/>
      <c r="L316" s="711"/>
      <c r="M316" s="706"/>
      <c r="N316" s="711"/>
      <c r="O316" s="655"/>
      <c r="P316" s="655"/>
      <c r="Q316" s="711"/>
      <c r="R316" s="655"/>
      <c r="S316" s="674"/>
      <c r="T316" s="674"/>
      <c r="U316" s="674"/>
      <c r="V316" s="674"/>
    </row>
    <row r="317">
      <c r="A317" s="712"/>
      <c r="B317" s="713"/>
      <c r="C317" s="714"/>
      <c r="D317" s="715"/>
      <c r="E317" s="714"/>
      <c r="F317" s="715"/>
      <c r="G317" s="716"/>
      <c r="H317" s="717"/>
      <c r="I317" s="713"/>
      <c r="J317" s="718"/>
      <c r="K317" s="718"/>
      <c r="L317" s="718"/>
      <c r="M317" s="713"/>
      <c r="N317" s="718"/>
      <c r="O317" s="662"/>
      <c r="P317" s="662"/>
      <c r="Q317" s="718"/>
      <c r="R317" s="662"/>
      <c r="S317" s="672"/>
      <c r="T317" s="672"/>
      <c r="U317" s="672"/>
      <c r="V317" s="672"/>
    </row>
    <row r="318">
      <c r="A318" s="705"/>
      <c r="B318" s="706"/>
      <c r="C318" s="707"/>
      <c r="D318" s="708"/>
      <c r="E318" s="707"/>
      <c r="F318" s="708"/>
      <c r="G318" s="709"/>
      <c r="H318" s="710"/>
      <c r="I318" s="706"/>
      <c r="J318" s="711"/>
      <c r="K318" s="711"/>
      <c r="L318" s="711"/>
      <c r="M318" s="706"/>
      <c r="N318" s="711"/>
      <c r="O318" s="655"/>
      <c r="P318" s="655"/>
      <c r="Q318" s="711"/>
      <c r="R318" s="655"/>
      <c r="S318" s="674"/>
      <c r="T318" s="674"/>
      <c r="U318" s="674"/>
      <c r="V318" s="674"/>
    </row>
    <row r="319">
      <c r="A319" s="712"/>
      <c r="B319" s="713"/>
      <c r="C319" s="714"/>
      <c r="D319" s="715"/>
      <c r="E319" s="714"/>
      <c r="F319" s="715"/>
      <c r="G319" s="716"/>
      <c r="H319" s="717"/>
      <c r="I319" s="713"/>
      <c r="J319" s="718"/>
      <c r="K319" s="718"/>
      <c r="L319" s="718"/>
      <c r="M319" s="713"/>
      <c r="N319" s="718"/>
      <c r="O319" s="662"/>
      <c r="P319" s="662"/>
      <c r="Q319" s="718"/>
      <c r="R319" s="662"/>
      <c r="S319" s="672"/>
      <c r="T319" s="672"/>
      <c r="U319" s="672"/>
      <c r="V319" s="672"/>
    </row>
    <row r="320">
      <c r="A320" s="705"/>
      <c r="B320" s="706"/>
      <c r="C320" s="707"/>
      <c r="D320" s="708"/>
      <c r="E320" s="707"/>
      <c r="F320" s="708"/>
      <c r="G320" s="709"/>
      <c r="H320" s="710"/>
      <c r="I320" s="706"/>
      <c r="J320" s="711"/>
      <c r="K320" s="711"/>
      <c r="L320" s="711"/>
      <c r="M320" s="706"/>
      <c r="N320" s="711"/>
      <c r="O320" s="655"/>
      <c r="P320" s="655"/>
      <c r="Q320" s="711"/>
      <c r="R320" s="655"/>
      <c r="S320" s="674"/>
      <c r="T320" s="674"/>
      <c r="U320" s="674"/>
      <c r="V320" s="674"/>
    </row>
    <row r="321">
      <c r="A321" s="712"/>
      <c r="B321" s="713"/>
      <c r="C321" s="714"/>
      <c r="D321" s="715"/>
      <c r="E321" s="714"/>
      <c r="F321" s="715"/>
      <c r="G321" s="716"/>
      <c r="H321" s="717"/>
      <c r="I321" s="713"/>
      <c r="J321" s="718"/>
      <c r="K321" s="718"/>
      <c r="L321" s="718"/>
      <c r="M321" s="713"/>
      <c r="N321" s="718"/>
      <c r="O321" s="662"/>
      <c r="P321" s="662"/>
      <c r="Q321" s="718"/>
      <c r="R321" s="662"/>
      <c r="S321" s="672"/>
      <c r="T321" s="672"/>
      <c r="U321" s="672"/>
      <c r="V321" s="672"/>
    </row>
    <row r="322">
      <c r="A322" s="705"/>
      <c r="B322" s="706"/>
      <c r="C322" s="707"/>
      <c r="D322" s="708"/>
      <c r="E322" s="707"/>
      <c r="F322" s="708"/>
      <c r="G322" s="709"/>
      <c r="H322" s="710"/>
      <c r="I322" s="706"/>
      <c r="J322" s="711"/>
      <c r="K322" s="711"/>
      <c r="L322" s="711"/>
      <c r="M322" s="706"/>
      <c r="N322" s="711"/>
      <c r="O322" s="655"/>
      <c r="P322" s="655"/>
      <c r="Q322" s="711"/>
      <c r="R322" s="655"/>
      <c r="S322" s="674"/>
      <c r="T322" s="674"/>
      <c r="U322" s="674"/>
      <c r="V322" s="674"/>
    </row>
    <row r="323">
      <c r="A323" s="712"/>
      <c r="B323" s="713"/>
      <c r="C323" s="714"/>
      <c r="D323" s="715"/>
      <c r="E323" s="714"/>
      <c r="F323" s="715"/>
      <c r="G323" s="716"/>
      <c r="H323" s="717"/>
      <c r="I323" s="713"/>
      <c r="J323" s="718"/>
      <c r="K323" s="718"/>
      <c r="L323" s="718"/>
      <c r="M323" s="713"/>
      <c r="N323" s="718"/>
      <c r="O323" s="662"/>
      <c r="P323" s="662"/>
      <c r="Q323" s="718"/>
      <c r="R323" s="662"/>
      <c r="S323" s="672"/>
      <c r="T323" s="672"/>
      <c r="U323" s="672"/>
      <c r="V323" s="672"/>
    </row>
    <row r="324">
      <c r="A324" s="705"/>
      <c r="B324" s="706"/>
      <c r="C324" s="707"/>
      <c r="D324" s="708"/>
      <c r="E324" s="707"/>
      <c r="F324" s="708"/>
      <c r="G324" s="709"/>
      <c r="H324" s="710"/>
      <c r="I324" s="706"/>
      <c r="J324" s="711"/>
      <c r="K324" s="711"/>
      <c r="L324" s="711"/>
      <c r="M324" s="706"/>
      <c r="N324" s="711"/>
      <c r="O324" s="655"/>
      <c r="P324" s="655"/>
      <c r="Q324" s="711"/>
      <c r="R324" s="655"/>
      <c r="S324" s="674"/>
      <c r="T324" s="674"/>
      <c r="U324" s="674"/>
      <c r="V324" s="674"/>
    </row>
    <row r="325">
      <c r="A325" s="712"/>
      <c r="B325" s="713"/>
      <c r="C325" s="714"/>
      <c r="D325" s="715"/>
      <c r="E325" s="714"/>
      <c r="F325" s="715"/>
      <c r="G325" s="716"/>
      <c r="H325" s="717"/>
      <c r="I325" s="713"/>
      <c r="J325" s="718"/>
      <c r="K325" s="718"/>
      <c r="L325" s="718"/>
      <c r="M325" s="713"/>
      <c r="N325" s="718"/>
      <c r="O325" s="662"/>
      <c r="P325" s="662"/>
      <c r="Q325" s="718"/>
      <c r="R325" s="662"/>
      <c r="S325" s="672"/>
      <c r="T325" s="672"/>
      <c r="U325" s="672"/>
      <c r="V325" s="672"/>
    </row>
    <row r="326">
      <c r="A326" s="705"/>
      <c r="B326" s="706"/>
      <c r="C326" s="707"/>
      <c r="D326" s="708"/>
      <c r="E326" s="707"/>
      <c r="F326" s="708"/>
      <c r="G326" s="709"/>
      <c r="H326" s="710"/>
      <c r="I326" s="706"/>
      <c r="J326" s="711"/>
      <c r="K326" s="711"/>
      <c r="L326" s="711"/>
      <c r="M326" s="706"/>
      <c r="N326" s="711"/>
      <c r="O326" s="655"/>
      <c r="P326" s="655"/>
      <c r="Q326" s="711"/>
      <c r="R326" s="655"/>
      <c r="S326" s="674"/>
      <c r="T326" s="674"/>
      <c r="U326" s="674"/>
      <c r="V326" s="674"/>
    </row>
    <row r="327">
      <c r="A327" s="712"/>
      <c r="B327" s="713"/>
      <c r="C327" s="714"/>
      <c r="D327" s="715"/>
      <c r="E327" s="714"/>
      <c r="F327" s="715"/>
      <c r="G327" s="716"/>
      <c r="H327" s="717"/>
      <c r="I327" s="713"/>
      <c r="J327" s="718"/>
      <c r="K327" s="718"/>
      <c r="L327" s="718"/>
      <c r="M327" s="713"/>
      <c r="N327" s="718"/>
      <c r="O327" s="662"/>
      <c r="P327" s="662"/>
      <c r="Q327" s="718"/>
      <c r="R327" s="662"/>
      <c r="S327" s="672"/>
      <c r="T327" s="672"/>
      <c r="U327" s="672"/>
      <c r="V327" s="672"/>
    </row>
    <row r="328">
      <c r="A328" s="705"/>
      <c r="B328" s="706"/>
      <c r="C328" s="707"/>
      <c r="D328" s="708"/>
      <c r="E328" s="707"/>
      <c r="F328" s="708"/>
      <c r="G328" s="709"/>
      <c r="H328" s="710"/>
      <c r="I328" s="706"/>
      <c r="J328" s="711"/>
      <c r="K328" s="711"/>
      <c r="L328" s="711"/>
      <c r="M328" s="706"/>
      <c r="N328" s="711"/>
      <c r="O328" s="655"/>
      <c r="P328" s="655"/>
      <c r="Q328" s="711"/>
      <c r="R328" s="655"/>
      <c r="S328" s="674"/>
      <c r="T328" s="674"/>
      <c r="U328" s="674"/>
      <c r="V328" s="674"/>
    </row>
    <row r="329">
      <c r="A329" s="712"/>
      <c r="B329" s="713"/>
      <c r="C329" s="714"/>
      <c r="D329" s="715"/>
      <c r="E329" s="714"/>
      <c r="F329" s="715"/>
      <c r="G329" s="716"/>
      <c r="H329" s="717"/>
      <c r="I329" s="713"/>
      <c r="J329" s="718"/>
      <c r="K329" s="718"/>
      <c r="L329" s="718"/>
      <c r="M329" s="713"/>
      <c r="N329" s="718"/>
      <c r="O329" s="662"/>
      <c r="P329" s="662"/>
      <c r="Q329" s="718"/>
      <c r="R329" s="662"/>
      <c r="S329" s="672"/>
      <c r="T329" s="672"/>
      <c r="U329" s="672"/>
      <c r="V329" s="672"/>
    </row>
    <row r="330">
      <c r="A330" s="705"/>
      <c r="B330" s="706"/>
      <c r="C330" s="707"/>
      <c r="D330" s="708"/>
      <c r="E330" s="707"/>
      <c r="F330" s="708"/>
      <c r="G330" s="709"/>
      <c r="H330" s="710"/>
      <c r="I330" s="706"/>
      <c r="J330" s="711"/>
      <c r="K330" s="711"/>
      <c r="L330" s="711"/>
      <c r="M330" s="706"/>
      <c r="N330" s="711"/>
      <c r="O330" s="655"/>
      <c r="P330" s="655"/>
      <c r="Q330" s="711"/>
      <c r="R330" s="655"/>
      <c r="S330" s="674"/>
      <c r="T330" s="674"/>
      <c r="U330" s="674"/>
      <c r="V330" s="674"/>
    </row>
    <row r="331">
      <c r="A331" s="712"/>
      <c r="B331" s="713"/>
      <c r="C331" s="714"/>
      <c r="D331" s="715"/>
      <c r="E331" s="714"/>
      <c r="F331" s="715"/>
      <c r="G331" s="716"/>
      <c r="H331" s="717"/>
      <c r="I331" s="713"/>
      <c r="J331" s="718"/>
      <c r="K331" s="718"/>
      <c r="L331" s="718"/>
      <c r="M331" s="713"/>
      <c r="N331" s="718"/>
      <c r="O331" s="662"/>
      <c r="P331" s="662"/>
      <c r="Q331" s="718"/>
      <c r="R331" s="662"/>
      <c r="S331" s="672"/>
      <c r="T331" s="672"/>
      <c r="U331" s="672"/>
      <c r="V331" s="672"/>
    </row>
    <row r="332">
      <c r="A332" s="705"/>
      <c r="B332" s="706"/>
      <c r="C332" s="707"/>
      <c r="D332" s="708"/>
      <c r="E332" s="707"/>
      <c r="F332" s="708"/>
      <c r="G332" s="709"/>
      <c r="H332" s="710"/>
      <c r="I332" s="706"/>
      <c r="J332" s="711"/>
      <c r="K332" s="711"/>
      <c r="L332" s="711"/>
      <c r="M332" s="706"/>
      <c r="N332" s="711"/>
      <c r="O332" s="655"/>
      <c r="P332" s="655"/>
      <c r="Q332" s="711"/>
      <c r="R332" s="655"/>
      <c r="S332" s="674"/>
      <c r="T332" s="674"/>
      <c r="U332" s="674"/>
      <c r="V332" s="674"/>
    </row>
    <row r="333">
      <c r="A333" s="712"/>
      <c r="B333" s="713"/>
      <c r="C333" s="714"/>
      <c r="D333" s="715"/>
      <c r="E333" s="714"/>
      <c r="F333" s="715"/>
      <c r="G333" s="716"/>
      <c r="H333" s="717"/>
      <c r="I333" s="713"/>
      <c r="J333" s="718"/>
      <c r="K333" s="718"/>
      <c r="L333" s="718"/>
      <c r="M333" s="713"/>
      <c r="N333" s="718"/>
      <c r="O333" s="662"/>
      <c r="P333" s="662"/>
      <c r="Q333" s="718"/>
      <c r="R333" s="662"/>
      <c r="S333" s="672"/>
      <c r="T333" s="672"/>
      <c r="U333" s="672"/>
      <c r="V333" s="672"/>
    </row>
    <row r="334">
      <c r="A334" s="705"/>
      <c r="B334" s="706"/>
      <c r="C334" s="707"/>
      <c r="D334" s="708"/>
      <c r="E334" s="707"/>
      <c r="F334" s="708"/>
      <c r="G334" s="709"/>
      <c r="H334" s="710"/>
      <c r="I334" s="706"/>
      <c r="J334" s="711"/>
      <c r="K334" s="711"/>
      <c r="L334" s="711"/>
      <c r="M334" s="706"/>
      <c r="N334" s="711"/>
      <c r="O334" s="655"/>
      <c r="P334" s="655"/>
      <c r="Q334" s="711"/>
      <c r="R334" s="655"/>
      <c r="S334" s="674"/>
      <c r="T334" s="674"/>
      <c r="U334" s="674"/>
      <c r="V334" s="674"/>
    </row>
    <row r="335">
      <c r="A335" s="712"/>
      <c r="B335" s="713"/>
      <c r="C335" s="714"/>
      <c r="D335" s="715"/>
      <c r="E335" s="714"/>
      <c r="F335" s="715"/>
      <c r="G335" s="716"/>
      <c r="H335" s="717"/>
      <c r="I335" s="713"/>
      <c r="J335" s="718"/>
      <c r="K335" s="718"/>
      <c r="L335" s="718"/>
      <c r="M335" s="713"/>
      <c r="N335" s="718"/>
      <c r="O335" s="662"/>
      <c r="P335" s="662"/>
      <c r="Q335" s="718"/>
      <c r="R335" s="662"/>
      <c r="S335" s="672"/>
      <c r="T335" s="672"/>
      <c r="U335" s="672"/>
      <c r="V335" s="672"/>
    </row>
    <row r="336">
      <c r="A336" s="705"/>
      <c r="B336" s="706"/>
      <c r="C336" s="707"/>
      <c r="D336" s="708"/>
      <c r="E336" s="707"/>
      <c r="F336" s="708"/>
      <c r="G336" s="709"/>
      <c r="H336" s="710"/>
      <c r="I336" s="706"/>
      <c r="J336" s="711"/>
      <c r="K336" s="711"/>
      <c r="L336" s="711"/>
      <c r="M336" s="706"/>
      <c r="N336" s="711"/>
      <c r="O336" s="655"/>
      <c r="P336" s="655"/>
      <c r="Q336" s="711"/>
      <c r="R336" s="655"/>
      <c r="S336" s="674"/>
      <c r="T336" s="674"/>
      <c r="U336" s="674"/>
      <c r="V336" s="674"/>
    </row>
    <row r="337">
      <c r="A337" s="712"/>
      <c r="B337" s="713"/>
      <c r="C337" s="714"/>
      <c r="D337" s="715"/>
      <c r="E337" s="714"/>
      <c r="F337" s="715"/>
      <c r="G337" s="716"/>
      <c r="H337" s="717"/>
      <c r="I337" s="713"/>
      <c r="J337" s="718"/>
      <c r="K337" s="718"/>
      <c r="L337" s="718"/>
      <c r="M337" s="713"/>
      <c r="N337" s="718"/>
      <c r="O337" s="662"/>
      <c r="P337" s="662"/>
      <c r="Q337" s="718"/>
      <c r="R337" s="662"/>
      <c r="S337" s="672"/>
      <c r="T337" s="672"/>
      <c r="U337" s="672"/>
      <c r="V337" s="672"/>
    </row>
    <row r="338">
      <c r="A338" s="705"/>
      <c r="B338" s="706"/>
      <c r="C338" s="707"/>
      <c r="D338" s="708"/>
      <c r="E338" s="707"/>
      <c r="F338" s="708"/>
      <c r="G338" s="709"/>
      <c r="H338" s="710"/>
      <c r="I338" s="706"/>
      <c r="J338" s="711"/>
      <c r="K338" s="711"/>
      <c r="L338" s="711"/>
      <c r="M338" s="706"/>
      <c r="N338" s="711"/>
      <c r="O338" s="655"/>
      <c r="P338" s="655"/>
      <c r="Q338" s="711"/>
      <c r="R338" s="655"/>
      <c r="S338" s="674"/>
      <c r="T338" s="674"/>
      <c r="U338" s="674"/>
      <c r="V338" s="674"/>
    </row>
    <row r="339">
      <c r="A339" s="712"/>
      <c r="B339" s="713"/>
      <c r="C339" s="714"/>
      <c r="D339" s="715"/>
      <c r="E339" s="714"/>
      <c r="F339" s="715"/>
      <c r="G339" s="716"/>
      <c r="H339" s="717"/>
      <c r="I339" s="713"/>
      <c r="J339" s="718"/>
      <c r="K339" s="718"/>
      <c r="L339" s="718"/>
      <c r="M339" s="713"/>
      <c r="N339" s="718"/>
      <c r="O339" s="662"/>
      <c r="P339" s="662"/>
      <c r="Q339" s="718"/>
      <c r="R339" s="662"/>
      <c r="S339" s="672"/>
      <c r="T339" s="672"/>
      <c r="U339" s="672"/>
      <c r="V339" s="672"/>
    </row>
    <row r="340">
      <c r="A340" s="705"/>
      <c r="B340" s="706"/>
      <c r="C340" s="707"/>
      <c r="D340" s="708"/>
      <c r="E340" s="707"/>
      <c r="F340" s="708"/>
      <c r="G340" s="709"/>
      <c r="H340" s="710"/>
      <c r="I340" s="706"/>
      <c r="J340" s="711"/>
      <c r="K340" s="711"/>
      <c r="L340" s="711"/>
      <c r="M340" s="706"/>
      <c r="N340" s="711"/>
      <c r="O340" s="655"/>
      <c r="P340" s="655"/>
      <c r="Q340" s="711"/>
      <c r="R340" s="655"/>
      <c r="S340" s="674"/>
      <c r="T340" s="674"/>
      <c r="U340" s="674"/>
      <c r="V340" s="674"/>
    </row>
    <row r="341">
      <c r="A341" s="712"/>
      <c r="B341" s="713"/>
      <c r="C341" s="714"/>
      <c r="D341" s="715"/>
      <c r="E341" s="714"/>
      <c r="F341" s="715"/>
      <c r="G341" s="716"/>
      <c r="H341" s="717"/>
      <c r="I341" s="713"/>
      <c r="J341" s="718"/>
      <c r="K341" s="718"/>
      <c r="L341" s="718"/>
      <c r="M341" s="713"/>
      <c r="N341" s="718"/>
      <c r="O341" s="662"/>
      <c r="P341" s="662"/>
      <c r="Q341" s="718"/>
      <c r="R341" s="662"/>
      <c r="S341" s="672"/>
      <c r="T341" s="672"/>
      <c r="U341" s="672"/>
      <c r="V341" s="672"/>
    </row>
    <row r="342">
      <c r="A342" s="705"/>
      <c r="B342" s="706"/>
      <c r="C342" s="707"/>
      <c r="D342" s="708"/>
      <c r="E342" s="707"/>
      <c r="F342" s="708"/>
      <c r="G342" s="709"/>
      <c r="H342" s="710"/>
      <c r="I342" s="706"/>
      <c r="J342" s="711"/>
      <c r="K342" s="711"/>
      <c r="L342" s="711"/>
      <c r="M342" s="706"/>
      <c r="N342" s="711"/>
      <c r="O342" s="655"/>
      <c r="P342" s="655"/>
      <c r="Q342" s="711"/>
      <c r="R342" s="655"/>
      <c r="S342" s="674"/>
      <c r="T342" s="674"/>
      <c r="U342" s="674"/>
      <c r="V342" s="674"/>
    </row>
    <row r="343">
      <c r="A343" s="712"/>
      <c r="B343" s="713"/>
      <c r="C343" s="714"/>
      <c r="D343" s="715"/>
      <c r="E343" s="714"/>
      <c r="F343" s="715"/>
      <c r="G343" s="716"/>
      <c r="H343" s="717"/>
      <c r="I343" s="713"/>
      <c r="J343" s="718"/>
      <c r="K343" s="718"/>
      <c r="L343" s="718"/>
      <c r="M343" s="713"/>
      <c r="N343" s="718"/>
      <c r="O343" s="662"/>
      <c r="P343" s="662"/>
      <c r="Q343" s="718"/>
      <c r="R343" s="662"/>
      <c r="S343" s="672"/>
      <c r="T343" s="672"/>
      <c r="U343" s="672"/>
      <c r="V343" s="672"/>
    </row>
    <row r="344">
      <c r="A344" s="705"/>
      <c r="B344" s="706"/>
      <c r="C344" s="707"/>
      <c r="D344" s="708"/>
      <c r="E344" s="707"/>
      <c r="F344" s="708"/>
      <c r="G344" s="709"/>
      <c r="H344" s="710"/>
      <c r="I344" s="706"/>
      <c r="J344" s="711"/>
      <c r="K344" s="711"/>
      <c r="L344" s="711"/>
      <c r="M344" s="706"/>
      <c r="N344" s="711"/>
      <c r="O344" s="655"/>
      <c r="P344" s="655"/>
      <c r="Q344" s="711"/>
      <c r="R344" s="655"/>
      <c r="S344" s="674"/>
      <c r="T344" s="674"/>
      <c r="U344" s="674"/>
      <c r="V344" s="674"/>
    </row>
    <row r="345">
      <c r="A345" s="712"/>
      <c r="B345" s="713"/>
      <c r="C345" s="714"/>
      <c r="D345" s="715"/>
      <c r="E345" s="714"/>
      <c r="F345" s="715"/>
      <c r="G345" s="716"/>
      <c r="H345" s="717"/>
      <c r="I345" s="713"/>
      <c r="J345" s="718"/>
      <c r="K345" s="718"/>
      <c r="L345" s="718"/>
      <c r="M345" s="713"/>
      <c r="N345" s="718"/>
      <c r="O345" s="662"/>
      <c r="P345" s="662"/>
      <c r="Q345" s="718"/>
      <c r="R345" s="662"/>
      <c r="S345" s="672"/>
      <c r="T345" s="672"/>
      <c r="U345" s="672"/>
      <c r="V345" s="672"/>
    </row>
    <row r="346">
      <c r="A346" s="705"/>
      <c r="B346" s="706"/>
      <c r="C346" s="707"/>
      <c r="D346" s="708"/>
      <c r="E346" s="707"/>
      <c r="F346" s="708"/>
      <c r="G346" s="709"/>
      <c r="H346" s="710"/>
      <c r="I346" s="706"/>
      <c r="J346" s="711"/>
      <c r="K346" s="711"/>
      <c r="L346" s="711"/>
      <c r="M346" s="706"/>
      <c r="N346" s="711"/>
      <c r="O346" s="655"/>
      <c r="P346" s="655"/>
      <c r="Q346" s="711"/>
      <c r="R346" s="655"/>
      <c r="S346" s="674"/>
      <c r="T346" s="674"/>
      <c r="U346" s="674"/>
      <c r="V346" s="674"/>
    </row>
    <row r="347">
      <c r="A347" s="712"/>
      <c r="B347" s="713"/>
      <c r="C347" s="714"/>
      <c r="D347" s="715"/>
      <c r="E347" s="714"/>
      <c r="F347" s="715"/>
      <c r="G347" s="716"/>
      <c r="H347" s="717"/>
      <c r="I347" s="713"/>
      <c r="J347" s="718"/>
      <c r="K347" s="718"/>
      <c r="L347" s="718"/>
      <c r="M347" s="713"/>
      <c r="N347" s="718"/>
      <c r="O347" s="662"/>
      <c r="P347" s="662"/>
      <c r="Q347" s="718"/>
      <c r="R347" s="662"/>
      <c r="S347" s="672"/>
      <c r="T347" s="672"/>
      <c r="U347" s="672"/>
      <c r="V347" s="672"/>
    </row>
    <row r="348">
      <c r="A348" s="705"/>
      <c r="B348" s="706"/>
      <c r="C348" s="707"/>
      <c r="D348" s="708"/>
      <c r="E348" s="707"/>
      <c r="F348" s="708"/>
      <c r="G348" s="709"/>
      <c r="H348" s="710"/>
      <c r="I348" s="706"/>
      <c r="J348" s="711"/>
      <c r="K348" s="711"/>
      <c r="L348" s="711"/>
      <c r="M348" s="706"/>
      <c r="N348" s="711"/>
      <c r="O348" s="655"/>
      <c r="P348" s="655"/>
      <c r="Q348" s="711"/>
      <c r="R348" s="655"/>
      <c r="S348" s="674"/>
      <c r="T348" s="674"/>
      <c r="U348" s="674"/>
      <c r="V348" s="674"/>
    </row>
    <row r="349">
      <c r="A349" s="712"/>
      <c r="B349" s="713"/>
      <c r="C349" s="714"/>
      <c r="D349" s="715"/>
      <c r="E349" s="714"/>
      <c r="F349" s="715"/>
      <c r="G349" s="716"/>
      <c r="H349" s="717"/>
      <c r="I349" s="713"/>
      <c r="J349" s="718"/>
      <c r="K349" s="718"/>
      <c r="L349" s="718"/>
      <c r="M349" s="713"/>
      <c r="N349" s="718"/>
      <c r="O349" s="662"/>
      <c r="P349" s="662"/>
      <c r="Q349" s="718"/>
      <c r="R349" s="662"/>
      <c r="S349" s="672"/>
      <c r="T349" s="672"/>
      <c r="U349" s="672"/>
      <c r="V349" s="672"/>
    </row>
    <row r="350">
      <c r="A350" s="705"/>
      <c r="B350" s="706"/>
      <c r="C350" s="707"/>
      <c r="D350" s="708"/>
      <c r="E350" s="707"/>
      <c r="F350" s="708"/>
      <c r="G350" s="709"/>
      <c r="H350" s="710"/>
      <c r="I350" s="706"/>
      <c r="J350" s="711"/>
      <c r="K350" s="711"/>
      <c r="L350" s="711"/>
      <c r="M350" s="706"/>
      <c r="N350" s="711"/>
      <c r="O350" s="655"/>
      <c r="P350" s="655"/>
      <c r="Q350" s="711"/>
      <c r="R350" s="655"/>
      <c r="S350" s="674"/>
      <c r="T350" s="674"/>
      <c r="U350" s="674"/>
      <c r="V350" s="674"/>
    </row>
    <row r="351">
      <c r="A351" s="712"/>
      <c r="B351" s="713"/>
      <c r="C351" s="714"/>
      <c r="D351" s="715"/>
      <c r="E351" s="714"/>
      <c r="F351" s="715"/>
      <c r="G351" s="716"/>
      <c r="H351" s="717"/>
      <c r="I351" s="713"/>
      <c r="J351" s="718"/>
      <c r="K351" s="718"/>
      <c r="L351" s="718"/>
      <c r="M351" s="713"/>
      <c r="N351" s="718"/>
      <c r="O351" s="662"/>
      <c r="P351" s="662"/>
      <c r="Q351" s="718"/>
      <c r="R351" s="662"/>
      <c r="S351" s="672"/>
      <c r="T351" s="672"/>
      <c r="U351" s="672"/>
      <c r="V351" s="672"/>
    </row>
    <row r="352">
      <c r="A352" s="705"/>
      <c r="B352" s="706"/>
      <c r="C352" s="707"/>
      <c r="D352" s="708"/>
      <c r="E352" s="707"/>
      <c r="F352" s="708"/>
      <c r="G352" s="709"/>
      <c r="H352" s="710"/>
      <c r="I352" s="706"/>
      <c r="J352" s="711"/>
      <c r="K352" s="711"/>
      <c r="L352" s="711"/>
      <c r="M352" s="706"/>
      <c r="N352" s="711"/>
      <c r="O352" s="655"/>
      <c r="P352" s="655"/>
      <c r="Q352" s="711"/>
      <c r="R352" s="655"/>
      <c r="S352" s="674"/>
      <c r="T352" s="674"/>
      <c r="U352" s="674"/>
      <c r="V352" s="674"/>
    </row>
    <row r="353">
      <c r="A353" s="712"/>
      <c r="B353" s="713"/>
      <c r="C353" s="714"/>
      <c r="D353" s="715"/>
      <c r="E353" s="714"/>
      <c r="F353" s="715"/>
      <c r="G353" s="716"/>
      <c r="H353" s="717"/>
      <c r="I353" s="713"/>
      <c r="J353" s="718"/>
      <c r="K353" s="718"/>
      <c r="L353" s="718"/>
      <c r="M353" s="713"/>
      <c r="N353" s="718"/>
      <c r="O353" s="662"/>
      <c r="P353" s="662"/>
      <c r="Q353" s="718"/>
      <c r="R353" s="662"/>
      <c r="S353" s="672"/>
      <c r="T353" s="672"/>
      <c r="U353" s="672"/>
      <c r="V353" s="672"/>
    </row>
    <row r="354">
      <c r="A354" s="705"/>
      <c r="B354" s="706"/>
      <c r="C354" s="707"/>
      <c r="D354" s="708"/>
      <c r="E354" s="707"/>
      <c r="F354" s="708"/>
      <c r="G354" s="709"/>
      <c r="H354" s="710"/>
      <c r="I354" s="706"/>
      <c r="J354" s="711"/>
      <c r="K354" s="711"/>
      <c r="L354" s="711"/>
      <c r="M354" s="706"/>
      <c r="N354" s="711"/>
      <c r="O354" s="655"/>
      <c r="P354" s="655"/>
      <c r="Q354" s="711"/>
      <c r="R354" s="655"/>
      <c r="S354" s="674"/>
      <c r="T354" s="674"/>
      <c r="U354" s="674"/>
      <c r="V354" s="674"/>
    </row>
    <row r="355">
      <c r="A355" s="712"/>
      <c r="B355" s="713"/>
      <c r="C355" s="714"/>
      <c r="D355" s="715"/>
      <c r="E355" s="714"/>
      <c r="F355" s="715"/>
      <c r="G355" s="716"/>
      <c r="H355" s="717"/>
      <c r="I355" s="713"/>
      <c r="J355" s="718"/>
      <c r="K355" s="718"/>
      <c r="L355" s="718"/>
      <c r="M355" s="713"/>
      <c r="N355" s="718"/>
      <c r="O355" s="662"/>
      <c r="P355" s="662"/>
      <c r="Q355" s="718"/>
      <c r="R355" s="662"/>
      <c r="S355" s="672"/>
      <c r="T355" s="672"/>
      <c r="U355" s="672"/>
      <c r="V355" s="672"/>
    </row>
    <row r="356">
      <c r="A356" s="705"/>
      <c r="B356" s="706"/>
      <c r="C356" s="707"/>
      <c r="D356" s="708"/>
      <c r="E356" s="707"/>
      <c r="F356" s="708"/>
      <c r="G356" s="709"/>
      <c r="H356" s="710"/>
      <c r="I356" s="706"/>
      <c r="J356" s="711"/>
      <c r="K356" s="711"/>
      <c r="L356" s="711"/>
      <c r="M356" s="706"/>
      <c r="N356" s="711"/>
      <c r="O356" s="655"/>
      <c r="P356" s="655"/>
      <c r="Q356" s="711"/>
      <c r="R356" s="655"/>
      <c r="S356" s="674"/>
      <c r="T356" s="674"/>
      <c r="U356" s="674"/>
      <c r="V356" s="674"/>
    </row>
    <row r="357">
      <c r="A357" s="712"/>
      <c r="B357" s="713"/>
      <c r="C357" s="714"/>
      <c r="D357" s="715"/>
      <c r="E357" s="714"/>
      <c r="F357" s="715"/>
      <c r="G357" s="716"/>
      <c r="H357" s="717"/>
      <c r="I357" s="713"/>
      <c r="J357" s="718"/>
      <c r="K357" s="718"/>
      <c r="L357" s="718"/>
      <c r="M357" s="713"/>
      <c r="N357" s="718"/>
      <c r="O357" s="662"/>
      <c r="P357" s="662"/>
      <c r="Q357" s="718"/>
      <c r="R357" s="662"/>
      <c r="S357" s="672"/>
      <c r="T357" s="672"/>
      <c r="U357" s="672"/>
      <c r="V357" s="672"/>
    </row>
    <row r="358">
      <c r="A358" s="705"/>
      <c r="B358" s="706"/>
      <c r="C358" s="707"/>
      <c r="D358" s="708"/>
      <c r="E358" s="707"/>
      <c r="F358" s="708"/>
      <c r="G358" s="709"/>
      <c r="H358" s="710"/>
      <c r="I358" s="706"/>
      <c r="J358" s="711"/>
      <c r="K358" s="711"/>
      <c r="L358" s="711"/>
      <c r="M358" s="706"/>
      <c r="N358" s="711"/>
      <c r="O358" s="655"/>
      <c r="P358" s="655"/>
      <c r="Q358" s="711"/>
      <c r="R358" s="655"/>
      <c r="S358" s="674"/>
      <c r="T358" s="674"/>
      <c r="U358" s="674"/>
      <c r="V358" s="674"/>
    </row>
    <row r="359">
      <c r="A359" s="712"/>
      <c r="B359" s="713"/>
      <c r="C359" s="714"/>
      <c r="D359" s="715"/>
      <c r="E359" s="714"/>
      <c r="F359" s="715"/>
      <c r="G359" s="716"/>
      <c r="H359" s="717"/>
      <c r="I359" s="713"/>
      <c r="J359" s="718"/>
      <c r="K359" s="718"/>
      <c r="L359" s="718"/>
      <c r="M359" s="713"/>
      <c r="N359" s="718"/>
      <c r="O359" s="662"/>
      <c r="P359" s="662"/>
      <c r="Q359" s="718"/>
      <c r="R359" s="662"/>
      <c r="S359" s="672"/>
      <c r="T359" s="672"/>
      <c r="U359" s="672"/>
      <c r="V359" s="672"/>
    </row>
    <row r="360">
      <c r="A360" s="705"/>
      <c r="B360" s="706"/>
      <c r="C360" s="707"/>
      <c r="D360" s="708"/>
      <c r="E360" s="707"/>
      <c r="F360" s="708"/>
      <c r="G360" s="709"/>
      <c r="H360" s="710"/>
      <c r="I360" s="706"/>
      <c r="J360" s="711"/>
      <c r="K360" s="711"/>
      <c r="L360" s="711"/>
      <c r="M360" s="706"/>
      <c r="N360" s="711"/>
      <c r="O360" s="655"/>
      <c r="P360" s="655"/>
      <c r="Q360" s="711"/>
      <c r="R360" s="655"/>
      <c r="S360" s="674"/>
      <c r="T360" s="674"/>
      <c r="U360" s="674"/>
      <c r="V360" s="674"/>
    </row>
    <row r="361">
      <c r="A361" s="712"/>
      <c r="B361" s="713"/>
      <c r="C361" s="714"/>
      <c r="D361" s="715"/>
      <c r="E361" s="714"/>
      <c r="F361" s="715"/>
      <c r="G361" s="716"/>
      <c r="H361" s="717"/>
      <c r="I361" s="713"/>
      <c r="J361" s="718"/>
      <c r="K361" s="718"/>
      <c r="L361" s="718"/>
      <c r="M361" s="713"/>
      <c r="N361" s="718"/>
      <c r="O361" s="662"/>
      <c r="P361" s="662"/>
      <c r="Q361" s="718"/>
      <c r="R361" s="662"/>
      <c r="S361" s="672"/>
      <c r="T361" s="672"/>
      <c r="U361" s="672"/>
      <c r="V361" s="672"/>
    </row>
    <row r="362">
      <c r="A362" s="705"/>
      <c r="B362" s="706"/>
      <c r="C362" s="707"/>
      <c r="D362" s="708"/>
      <c r="E362" s="707"/>
      <c r="F362" s="708"/>
      <c r="G362" s="709"/>
      <c r="H362" s="710"/>
      <c r="I362" s="706"/>
      <c r="J362" s="711"/>
      <c r="K362" s="711"/>
      <c r="L362" s="711"/>
      <c r="M362" s="706"/>
      <c r="N362" s="711"/>
      <c r="O362" s="655"/>
      <c r="P362" s="655"/>
      <c r="Q362" s="711"/>
      <c r="R362" s="655"/>
      <c r="S362" s="674"/>
      <c r="T362" s="674"/>
      <c r="U362" s="674"/>
      <c r="V362" s="674"/>
    </row>
    <row r="363">
      <c r="A363" s="712"/>
      <c r="B363" s="713"/>
      <c r="C363" s="714"/>
      <c r="D363" s="715"/>
      <c r="E363" s="714"/>
      <c r="F363" s="715"/>
      <c r="G363" s="716"/>
      <c r="H363" s="717"/>
      <c r="I363" s="713"/>
      <c r="J363" s="718"/>
      <c r="K363" s="718"/>
      <c r="L363" s="718"/>
      <c r="M363" s="713"/>
      <c r="N363" s="718"/>
      <c r="O363" s="662"/>
      <c r="P363" s="662"/>
      <c r="Q363" s="718"/>
      <c r="R363" s="662"/>
      <c r="S363" s="672"/>
      <c r="T363" s="672"/>
      <c r="U363" s="672"/>
      <c r="V363" s="672"/>
    </row>
    <row r="364">
      <c r="A364" s="705"/>
      <c r="B364" s="706"/>
      <c r="C364" s="707"/>
      <c r="D364" s="708"/>
      <c r="E364" s="707"/>
      <c r="F364" s="708"/>
      <c r="G364" s="709"/>
      <c r="H364" s="710"/>
      <c r="I364" s="706"/>
      <c r="J364" s="711"/>
      <c r="K364" s="711"/>
      <c r="L364" s="711"/>
      <c r="M364" s="706"/>
      <c r="N364" s="711"/>
      <c r="O364" s="655"/>
      <c r="P364" s="655"/>
      <c r="Q364" s="711"/>
      <c r="R364" s="655"/>
      <c r="S364" s="674"/>
      <c r="T364" s="674"/>
      <c r="U364" s="674"/>
      <c r="V364" s="674"/>
    </row>
    <row r="365">
      <c r="A365" s="712"/>
      <c r="B365" s="713"/>
      <c r="C365" s="714"/>
      <c r="D365" s="715"/>
      <c r="E365" s="714"/>
      <c r="F365" s="715"/>
      <c r="G365" s="716"/>
      <c r="H365" s="717"/>
      <c r="I365" s="713"/>
      <c r="J365" s="718"/>
      <c r="K365" s="718"/>
      <c r="L365" s="718"/>
      <c r="M365" s="713"/>
      <c r="N365" s="718"/>
      <c r="O365" s="662"/>
      <c r="P365" s="662"/>
      <c r="Q365" s="718"/>
      <c r="R365" s="662"/>
      <c r="S365" s="672"/>
      <c r="T365" s="672"/>
      <c r="U365" s="672"/>
      <c r="V365" s="672"/>
    </row>
    <row r="366">
      <c r="A366" s="705"/>
      <c r="B366" s="706"/>
      <c r="C366" s="707"/>
      <c r="D366" s="708"/>
      <c r="E366" s="707"/>
      <c r="F366" s="708"/>
      <c r="G366" s="709"/>
      <c r="H366" s="710"/>
      <c r="I366" s="706"/>
      <c r="J366" s="711"/>
      <c r="K366" s="711"/>
      <c r="L366" s="711"/>
      <c r="M366" s="706"/>
      <c r="N366" s="711"/>
      <c r="O366" s="655"/>
      <c r="P366" s="655"/>
      <c r="Q366" s="711"/>
      <c r="R366" s="655"/>
      <c r="S366" s="674"/>
      <c r="T366" s="674"/>
      <c r="U366" s="674"/>
      <c r="V366" s="674"/>
    </row>
    <row r="367">
      <c r="A367" s="712"/>
      <c r="B367" s="713"/>
      <c r="C367" s="714"/>
      <c r="D367" s="715"/>
      <c r="E367" s="714"/>
      <c r="F367" s="715"/>
      <c r="G367" s="716"/>
      <c r="H367" s="717"/>
      <c r="I367" s="713"/>
      <c r="J367" s="718"/>
      <c r="K367" s="718"/>
      <c r="L367" s="718"/>
      <c r="M367" s="713"/>
      <c r="N367" s="718"/>
      <c r="O367" s="662"/>
      <c r="P367" s="662"/>
      <c r="Q367" s="718"/>
      <c r="R367" s="662"/>
      <c r="S367" s="672"/>
      <c r="T367" s="672"/>
      <c r="U367" s="672"/>
      <c r="V367" s="672"/>
    </row>
    <row r="368">
      <c r="A368" s="705"/>
      <c r="B368" s="706"/>
      <c r="C368" s="707"/>
      <c r="D368" s="708"/>
      <c r="E368" s="707"/>
      <c r="F368" s="708"/>
      <c r="G368" s="709"/>
      <c r="H368" s="710"/>
      <c r="I368" s="706"/>
      <c r="J368" s="711"/>
      <c r="K368" s="711"/>
      <c r="L368" s="711"/>
      <c r="M368" s="706"/>
      <c r="N368" s="711"/>
      <c r="O368" s="655"/>
      <c r="P368" s="655"/>
      <c r="Q368" s="711"/>
      <c r="R368" s="655"/>
      <c r="S368" s="674"/>
      <c r="T368" s="674"/>
      <c r="U368" s="674"/>
      <c r="V368" s="674"/>
    </row>
    <row r="369">
      <c r="A369" s="712"/>
      <c r="B369" s="713"/>
      <c r="C369" s="714"/>
      <c r="D369" s="715"/>
      <c r="E369" s="714"/>
      <c r="F369" s="715"/>
      <c r="G369" s="716"/>
      <c r="H369" s="717"/>
      <c r="I369" s="713"/>
      <c r="J369" s="718"/>
      <c r="K369" s="718"/>
      <c r="L369" s="718"/>
      <c r="M369" s="713"/>
      <c r="N369" s="718"/>
      <c r="O369" s="662"/>
      <c r="P369" s="662"/>
      <c r="Q369" s="718"/>
      <c r="R369" s="662"/>
      <c r="S369" s="672"/>
      <c r="T369" s="672"/>
      <c r="U369" s="672"/>
      <c r="V369" s="672"/>
    </row>
    <row r="370">
      <c r="A370" s="705"/>
      <c r="B370" s="706"/>
      <c r="C370" s="707"/>
      <c r="D370" s="708"/>
      <c r="E370" s="707"/>
      <c r="F370" s="708"/>
      <c r="G370" s="709"/>
      <c r="H370" s="710"/>
      <c r="I370" s="706"/>
      <c r="J370" s="711"/>
      <c r="K370" s="711"/>
      <c r="L370" s="711"/>
      <c r="M370" s="706"/>
      <c r="N370" s="711"/>
      <c r="O370" s="655"/>
      <c r="P370" s="655"/>
      <c r="Q370" s="711"/>
      <c r="R370" s="655"/>
      <c r="S370" s="674"/>
      <c r="T370" s="674"/>
      <c r="U370" s="674"/>
      <c r="V370" s="674"/>
    </row>
    <row r="371">
      <c r="A371" s="712"/>
      <c r="B371" s="713"/>
      <c r="C371" s="714"/>
      <c r="D371" s="715"/>
      <c r="E371" s="714"/>
      <c r="F371" s="715"/>
      <c r="G371" s="716"/>
      <c r="H371" s="717"/>
      <c r="I371" s="713"/>
      <c r="J371" s="718"/>
      <c r="K371" s="718"/>
      <c r="L371" s="718"/>
      <c r="M371" s="713"/>
      <c r="N371" s="718"/>
      <c r="O371" s="662"/>
      <c r="P371" s="662"/>
      <c r="Q371" s="718"/>
      <c r="R371" s="662"/>
      <c r="S371" s="672"/>
      <c r="T371" s="672"/>
      <c r="U371" s="672"/>
      <c r="V371" s="672"/>
    </row>
    <row r="372">
      <c r="A372" s="705"/>
      <c r="B372" s="706"/>
      <c r="C372" s="707"/>
      <c r="D372" s="708"/>
      <c r="E372" s="707"/>
      <c r="F372" s="708"/>
      <c r="G372" s="709"/>
      <c r="H372" s="710"/>
      <c r="I372" s="706"/>
      <c r="J372" s="711"/>
      <c r="K372" s="711"/>
      <c r="L372" s="711"/>
      <c r="M372" s="706"/>
      <c r="N372" s="711"/>
      <c r="O372" s="655"/>
      <c r="P372" s="655"/>
      <c r="Q372" s="711"/>
      <c r="R372" s="655"/>
      <c r="S372" s="674"/>
      <c r="T372" s="674"/>
      <c r="U372" s="674"/>
      <c r="V372" s="674"/>
    </row>
    <row r="373">
      <c r="A373" s="712"/>
      <c r="B373" s="713"/>
      <c r="C373" s="714"/>
      <c r="D373" s="715"/>
      <c r="E373" s="714"/>
      <c r="F373" s="715"/>
      <c r="G373" s="716"/>
      <c r="H373" s="717"/>
      <c r="I373" s="713"/>
      <c r="J373" s="718"/>
      <c r="K373" s="718"/>
      <c r="L373" s="718"/>
      <c r="M373" s="713"/>
      <c r="N373" s="718"/>
      <c r="O373" s="662"/>
      <c r="P373" s="662"/>
      <c r="Q373" s="718"/>
      <c r="R373" s="662"/>
      <c r="S373" s="672"/>
      <c r="T373" s="672"/>
      <c r="U373" s="672"/>
      <c r="V373" s="672"/>
    </row>
    <row r="374">
      <c r="A374" s="705"/>
      <c r="B374" s="706"/>
      <c r="C374" s="707"/>
      <c r="D374" s="708"/>
      <c r="E374" s="707"/>
      <c r="F374" s="708"/>
      <c r="G374" s="709"/>
      <c r="H374" s="710"/>
      <c r="I374" s="706"/>
      <c r="J374" s="711"/>
      <c r="K374" s="711"/>
      <c r="L374" s="711"/>
      <c r="M374" s="706"/>
      <c r="N374" s="711"/>
      <c r="O374" s="655"/>
      <c r="P374" s="655"/>
      <c r="Q374" s="711"/>
      <c r="R374" s="655"/>
      <c r="S374" s="674"/>
      <c r="T374" s="674"/>
      <c r="U374" s="674"/>
      <c r="V374" s="674"/>
    </row>
    <row r="375">
      <c r="A375" s="712"/>
      <c r="B375" s="713"/>
      <c r="C375" s="714"/>
      <c r="D375" s="715"/>
      <c r="E375" s="714"/>
      <c r="F375" s="715"/>
      <c r="G375" s="716"/>
      <c r="H375" s="717"/>
      <c r="I375" s="713"/>
      <c r="J375" s="718"/>
      <c r="K375" s="718"/>
      <c r="L375" s="718"/>
      <c r="M375" s="713"/>
      <c r="N375" s="718"/>
      <c r="O375" s="662"/>
      <c r="P375" s="662"/>
      <c r="Q375" s="718"/>
      <c r="R375" s="662"/>
      <c r="S375" s="672"/>
      <c r="T375" s="672"/>
      <c r="U375" s="672"/>
      <c r="V375" s="672"/>
    </row>
    <row r="376">
      <c r="A376" s="705"/>
      <c r="B376" s="706"/>
      <c r="C376" s="707"/>
      <c r="D376" s="708"/>
      <c r="E376" s="707"/>
      <c r="F376" s="708"/>
      <c r="G376" s="709"/>
      <c r="H376" s="710"/>
      <c r="I376" s="706"/>
      <c r="J376" s="711"/>
      <c r="K376" s="711"/>
      <c r="L376" s="711"/>
      <c r="M376" s="706"/>
      <c r="N376" s="711"/>
      <c r="O376" s="655"/>
      <c r="P376" s="655"/>
      <c r="Q376" s="711"/>
      <c r="R376" s="655"/>
      <c r="S376" s="674"/>
      <c r="T376" s="674"/>
      <c r="U376" s="674"/>
      <c r="V376" s="674"/>
    </row>
    <row r="377">
      <c r="A377" s="712"/>
      <c r="B377" s="713"/>
      <c r="C377" s="714"/>
      <c r="D377" s="715"/>
      <c r="E377" s="714"/>
      <c r="F377" s="715"/>
      <c r="G377" s="716"/>
      <c r="H377" s="717"/>
      <c r="I377" s="713"/>
      <c r="J377" s="718"/>
      <c r="K377" s="718"/>
      <c r="L377" s="718"/>
      <c r="M377" s="713"/>
      <c r="N377" s="718"/>
      <c r="O377" s="662"/>
      <c r="P377" s="662"/>
      <c r="Q377" s="718"/>
      <c r="R377" s="662"/>
      <c r="S377" s="672"/>
      <c r="T377" s="672"/>
      <c r="U377" s="672"/>
      <c r="V377" s="672"/>
    </row>
    <row r="378">
      <c r="A378" s="705"/>
      <c r="B378" s="706"/>
      <c r="C378" s="707"/>
      <c r="D378" s="708"/>
      <c r="E378" s="707"/>
      <c r="F378" s="708"/>
      <c r="G378" s="709"/>
      <c r="H378" s="710"/>
      <c r="I378" s="706"/>
      <c r="J378" s="711"/>
      <c r="K378" s="711"/>
      <c r="L378" s="711"/>
      <c r="M378" s="706"/>
      <c r="N378" s="711"/>
      <c r="O378" s="655"/>
      <c r="P378" s="655"/>
      <c r="Q378" s="711"/>
      <c r="R378" s="655"/>
      <c r="S378" s="674"/>
      <c r="T378" s="674"/>
      <c r="U378" s="674"/>
      <c r="V378" s="674"/>
    </row>
    <row r="379">
      <c r="A379" s="712"/>
      <c r="B379" s="713"/>
      <c r="C379" s="714"/>
      <c r="D379" s="715"/>
      <c r="E379" s="714"/>
      <c r="F379" s="715"/>
      <c r="G379" s="716"/>
      <c r="H379" s="717"/>
      <c r="I379" s="713"/>
      <c r="J379" s="718"/>
      <c r="K379" s="718"/>
      <c r="L379" s="718"/>
      <c r="M379" s="713"/>
      <c r="N379" s="718"/>
      <c r="O379" s="662"/>
      <c r="P379" s="662"/>
      <c r="Q379" s="718"/>
      <c r="R379" s="662"/>
      <c r="S379" s="672"/>
      <c r="T379" s="672"/>
      <c r="U379" s="672"/>
      <c r="V379" s="672"/>
    </row>
    <row r="380">
      <c r="A380" s="705"/>
      <c r="B380" s="706"/>
      <c r="C380" s="707"/>
      <c r="D380" s="708"/>
      <c r="E380" s="707"/>
      <c r="F380" s="708"/>
      <c r="G380" s="709"/>
      <c r="H380" s="710"/>
      <c r="I380" s="706"/>
      <c r="J380" s="711"/>
      <c r="K380" s="711"/>
      <c r="L380" s="711"/>
      <c r="M380" s="706"/>
      <c r="N380" s="711"/>
      <c r="O380" s="655"/>
      <c r="P380" s="655"/>
      <c r="Q380" s="711"/>
      <c r="R380" s="655"/>
      <c r="S380" s="674"/>
      <c r="T380" s="674"/>
      <c r="U380" s="674"/>
      <c r="V380" s="674"/>
    </row>
    <row r="381">
      <c r="A381" s="712"/>
      <c r="B381" s="713"/>
      <c r="C381" s="714"/>
      <c r="D381" s="715"/>
      <c r="E381" s="714"/>
      <c r="F381" s="715"/>
      <c r="G381" s="716"/>
      <c r="H381" s="717"/>
      <c r="I381" s="713"/>
      <c r="J381" s="718"/>
      <c r="K381" s="718"/>
      <c r="L381" s="718"/>
      <c r="M381" s="713"/>
      <c r="N381" s="718"/>
      <c r="O381" s="662"/>
      <c r="P381" s="662"/>
      <c r="Q381" s="718"/>
      <c r="R381" s="662"/>
      <c r="S381" s="672"/>
      <c r="T381" s="672"/>
      <c r="U381" s="672"/>
      <c r="V381" s="672"/>
    </row>
    <row r="382">
      <c r="A382" s="705"/>
      <c r="B382" s="706"/>
      <c r="C382" s="707"/>
      <c r="D382" s="708"/>
      <c r="E382" s="707"/>
      <c r="F382" s="708"/>
      <c r="G382" s="709"/>
      <c r="H382" s="710"/>
      <c r="I382" s="706"/>
      <c r="J382" s="711"/>
      <c r="K382" s="711"/>
      <c r="L382" s="711"/>
      <c r="M382" s="706"/>
      <c r="N382" s="711"/>
      <c r="O382" s="655"/>
      <c r="P382" s="655"/>
      <c r="Q382" s="711"/>
      <c r="R382" s="655"/>
      <c r="S382" s="674"/>
      <c r="T382" s="674"/>
      <c r="U382" s="674"/>
      <c r="V382" s="674"/>
    </row>
    <row r="383">
      <c r="A383" s="712"/>
      <c r="B383" s="713"/>
      <c r="C383" s="714"/>
      <c r="D383" s="715"/>
      <c r="E383" s="714"/>
      <c r="F383" s="715"/>
      <c r="G383" s="716"/>
      <c r="H383" s="717"/>
      <c r="I383" s="713"/>
      <c r="J383" s="718"/>
      <c r="K383" s="718"/>
      <c r="L383" s="718"/>
      <c r="M383" s="713"/>
      <c r="N383" s="718"/>
      <c r="O383" s="662"/>
      <c r="P383" s="662"/>
      <c r="Q383" s="718"/>
      <c r="R383" s="662"/>
      <c r="S383" s="672"/>
      <c r="T383" s="672"/>
      <c r="U383" s="672"/>
      <c r="V383" s="672"/>
    </row>
    <row r="384">
      <c r="A384" s="705"/>
      <c r="B384" s="706"/>
      <c r="C384" s="707"/>
      <c r="D384" s="708"/>
      <c r="E384" s="707"/>
      <c r="F384" s="708"/>
      <c r="G384" s="709"/>
      <c r="H384" s="710"/>
      <c r="I384" s="706"/>
      <c r="J384" s="711"/>
      <c r="K384" s="711"/>
      <c r="L384" s="711"/>
      <c r="M384" s="706"/>
      <c r="N384" s="711"/>
      <c r="O384" s="655"/>
      <c r="P384" s="655"/>
      <c r="Q384" s="711"/>
      <c r="R384" s="655"/>
      <c r="S384" s="674"/>
      <c r="T384" s="674"/>
      <c r="U384" s="674"/>
      <c r="V384" s="674"/>
    </row>
    <row r="385">
      <c r="A385" s="712"/>
      <c r="B385" s="713"/>
      <c r="C385" s="714"/>
      <c r="D385" s="715"/>
      <c r="E385" s="714"/>
      <c r="F385" s="715"/>
      <c r="G385" s="716"/>
      <c r="H385" s="717"/>
      <c r="I385" s="713"/>
      <c r="J385" s="718"/>
      <c r="K385" s="718"/>
      <c r="L385" s="718"/>
      <c r="M385" s="713"/>
      <c r="N385" s="718"/>
      <c r="O385" s="662"/>
      <c r="P385" s="662"/>
      <c r="Q385" s="718"/>
      <c r="R385" s="662"/>
      <c r="S385" s="672"/>
      <c r="T385" s="672"/>
      <c r="U385" s="672"/>
      <c r="V385" s="672"/>
    </row>
    <row r="386">
      <c r="A386" s="705"/>
      <c r="B386" s="706"/>
      <c r="C386" s="707"/>
      <c r="D386" s="708"/>
      <c r="E386" s="707"/>
      <c r="F386" s="708"/>
      <c r="G386" s="709"/>
      <c r="H386" s="710"/>
      <c r="I386" s="706"/>
      <c r="J386" s="711"/>
      <c r="K386" s="711"/>
      <c r="L386" s="711"/>
      <c r="M386" s="706"/>
      <c r="N386" s="711"/>
      <c r="O386" s="655"/>
      <c r="P386" s="655"/>
      <c r="Q386" s="711"/>
      <c r="R386" s="655"/>
      <c r="S386" s="674"/>
      <c r="T386" s="674"/>
      <c r="U386" s="674"/>
      <c r="V386" s="674"/>
    </row>
    <row r="387">
      <c r="A387" s="712"/>
      <c r="B387" s="713"/>
      <c r="C387" s="714"/>
      <c r="D387" s="715"/>
      <c r="E387" s="714"/>
      <c r="F387" s="715"/>
      <c r="G387" s="716"/>
      <c r="H387" s="717"/>
      <c r="I387" s="713"/>
      <c r="J387" s="718"/>
      <c r="K387" s="718"/>
      <c r="L387" s="718"/>
      <c r="M387" s="713"/>
      <c r="N387" s="718"/>
      <c r="O387" s="662"/>
      <c r="P387" s="662"/>
      <c r="Q387" s="718"/>
      <c r="R387" s="662"/>
      <c r="S387" s="672"/>
      <c r="T387" s="672"/>
      <c r="U387" s="672"/>
      <c r="V387" s="672"/>
    </row>
    <row r="388">
      <c r="A388" s="705"/>
      <c r="B388" s="706"/>
      <c r="C388" s="707"/>
      <c r="D388" s="708"/>
      <c r="E388" s="707"/>
      <c r="F388" s="708"/>
      <c r="G388" s="709"/>
      <c r="H388" s="710"/>
      <c r="I388" s="706"/>
      <c r="J388" s="711"/>
      <c r="K388" s="711"/>
      <c r="L388" s="711"/>
      <c r="M388" s="706"/>
      <c r="N388" s="711"/>
      <c r="O388" s="655"/>
      <c r="P388" s="655"/>
      <c r="Q388" s="711"/>
      <c r="R388" s="655"/>
      <c r="S388" s="674"/>
      <c r="T388" s="674"/>
      <c r="U388" s="674"/>
      <c r="V388" s="674"/>
    </row>
    <row r="389">
      <c r="A389" s="712"/>
      <c r="B389" s="713"/>
      <c r="C389" s="714"/>
      <c r="D389" s="715"/>
      <c r="E389" s="714"/>
      <c r="F389" s="715"/>
      <c r="G389" s="716"/>
      <c r="H389" s="717"/>
      <c r="I389" s="713"/>
      <c r="J389" s="718"/>
      <c r="K389" s="718"/>
      <c r="L389" s="718"/>
      <c r="M389" s="713"/>
      <c r="N389" s="718"/>
      <c r="O389" s="662"/>
      <c r="P389" s="662"/>
      <c r="Q389" s="718"/>
      <c r="R389" s="662"/>
      <c r="S389" s="672"/>
      <c r="T389" s="672"/>
      <c r="U389" s="672"/>
      <c r="V389" s="672"/>
    </row>
    <row r="390">
      <c r="A390" s="705"/>
      <c r="B390" s="706"/>
      <c r="C390" s="707"/>
      <c r="D390" s="708"/>
      <c r="E390" s="707"/>
      <c r="F390" s="708"/>
      <c r="G390" s="709"/>
      <c r="H390" s="710"/>
      <c r="I390" s="706"/>
      <c r="J390" s="711"/>
      <c r="K390" s="711"/>
      <c r="L390" s="711"/>
      <c r="M390" s="706"/>
      <c r="N390" s="711"/>
      <c r="O390" s="655"/>
      <c r="P390" s="655"/>
      <c r="Q390" s="711"/>
      <c r="R390" s="655"/>
      <c r="S390" s="674"/>
      <c r="T390" s="674"/>
      <c r="U390" s="674"/>
      <c r="V390" s="674"/>
    </row>
    <row r="391">
      <c r="A391" s="712"/>
      <c r="B391" s="713"/>
      <c r="C391" s="714"/>
      <c r="D391" s="715"/>
      <c r="E391" s="714"/>
      <c r="F391" s="715"/>
      <c r="G391" s="716"/>
      <c r="H391" s="717"/>
      <c r="I391" s="713"/>
      <c r="J391" s="718"/>
      <c r="K391" s="718"/>
      <c r="L391" s="718"/>
      <c r="M391" s="713"/>
      <c r="N391" s="718"/>
      <c r="O391" s="662"/>
      <c r="P391" s="662"/>
      <c r="Q391" s="718"/>
      <c r="R391" s="662"/>
      <c r="S391" s="672"/>
      <c r="T391" s="672"/>
      <c r="U391" s="672"/>
      <c r="V391" s="672"/>
    </row>
    <row r="392">
      <c r="A392" s="705"/>
      <c r="B392" s="706"/>
      <c r="C392" s="707"/>
      <c r="D392" s="708"/>
      <c r="E392" s="707"/>
      <c r="F392" s="708"/>
      <c r="G392" s="709"/>
      <c r="H392" s="710"/>
      <c r="I392" s="706"/>
      <c r="J392" s="711"/>
      <c r="K392" s="711"/>
      <c r="L392" s="711"/>
      <c r="M392" s="706"/>
      <c r="N392" s="711"/>
      <c r="O392" s="655"/>
      <c r="P392" s="655"/>
      <c r="Q392" s="711"/>
      <c r="R392" s="655"/>
      <c r="S392" s="674"/>
      <c r="T392" s="674"/>
      <c r="U392" s="674"/>
      <c r="V392" s="674"/>
    </row>
    <row r="393">
      <c r="A393" s="712"/>
      <c r="B393" s="713"/>
      <c r="C393" s="714"/>
      <c r="D393" s="715"/>
      <c r="E393" s="714"/>
      <c r="F393" s="715"/>
      <c r="G393" s="716"/>
      <c r="H393" s="717"/>
      <c r="I393" s="713"/>
      <c r="J393" s="718"/>
      <c r="K393" s="718"/>
      <c r="L393" s="718"/>
      <c r="M393" s="713"/>
      <c r="N393" s="718"/>
      <c r="O393" s="662"/>
      <c r="P393" s="662"/>
      <c r="Q393" s="718"/>
      <c r="R393" s="662"/>
      <c r="S393" s="672"/>
      <c r="T393" s="672"/>
      <c r="U393" s="672"/>
      <c r="V393" s="672"/>
    </row>
    <row r="394">
      <c r="A394" s="705"/>
      <c r="B394" s="706"/>
      <c r="C394" s="707"/>
      <c r="D394" s="708"/>
      <c r="E394" s="707"/>
      <c r="F394" s="708"/>
      <c r="G394" s="709"/>
      <c r="H394" s="710"/>
      <c r="I394" s="706"/>
      <c r="J394" s="711"/>
      <c r="K394" s="711"/>
      <c r="L394" s="711"/>
      <c r="M394" s="706"/>
      <c r="N394" s="711"/>
      <c r="O394" s="655"/>
      <c r="P394" s="655"/>
      <c r="Q394" s="711"/>
      <c r="R394" s="655"/>
      <c r="S394" s="674"/>
      <c r="T394" s="674"/>
      <c r="U394" s="674"/>
      <c r="V394" s="674"/>
    </row>
    <row r="395">
      <c r="A395" s="712"/>
      <c r="B395" s="713"/>
      <c r="C395" s="714"/>
      <c r="D395" s="715"/>
      <c r="E395" s="714"/>
      <c r="F395" s="715"/>
      <c r="G395" s="716"/>
      <c r="H395" s="717"/>
      <c r="I395" s="713"/>
      <c r="J395" s="718"/>
      <c r="K395" s="718"/>
      <c r="L395" s="718"/>
      <c r="M395" s="713"/>
      <c r="N395" s="718"/>
      <c r="O395" s="662"/>
      <c r="P395" s="662"/>
      <c r="Q395" s="718"/>
      <c r="R395" s="662"/>
      <c r="S395" s="672"/>
      <c r="T395" s="672"/>
      <c r="U395" s="672"/>
      <c r="V395" s="672"/>
    </row>
    <row r="396">
      <c r="A396" s="705"/>
      <c r="B396" s="706"/>
      <c r="C396" s="707"/>
      <c r="D396" s="708"/>
      <c r="E396" s="707"/>
      <c r="F396" s="708"/>
      <c r="G396" s="709"/>
      <c r="H396" s="710"/>
      <c r="I396" s="706"/>
      <c r="J396" s="711"/>
      <c r="K396" s="711"/>
      <c r="L396" s="711"/>
      <c r="M396" s="706"/>
      <c r="N396" s="711"/>
      <c r="O396" s="655"/>
      <c r="P396" s="655"/>
      <c r="Q396" s="711"/>
      <c r="R396" s="655"/>
      <c r="S396" s="674"/>
      <c r="T396" s="674"/>
      <c r="U396" s="674"/>
      <c r="V396" s="674"/>
    </row>
    <row r="397">
      <c r="A397" s="712"/>
      <c r="B397" s="713"/>
      <c r="C397" s="714"/>
      <c r="D397" s="715"/>
      <c r="E397" s="714"/>
      <c r="F397" s="715"/>
      <c r="G397" s="716"/>
      <c r="H397" s="717"/>
      <c r="I397" s="713"/>
      <c r="J397" s="718"/>
      <c r="K397" s="718"/>
      <c r="L397" s="718"/>
      <c r="M397" s="713"/>
      <c r="N397" s="718"/>
      <c r="O397" s="662"/>
      <c r="P397" s="662"/>
      <c r="Q397" s="718"/>
      <c r="R397" s="662"/>
      <c r="S397" s="672"/>
      <c r="T397" s="672"/>
      <c r="U397" s="672"/>
      <c r="V397" s="672"/>
    </row>
    <row r="398">
      <c r="A398" s="705"/>
      <c r="B398" s="706"/>
      <c r="C398" s="707"/>
      <c r="D398" s="708"/>
      <c r="E398" s="707"/>
      <c r="F398" s="708"/>
      <c r="G398" s="709"/>
      <c r="H398" s="710"/>
      <c r="I398" s="706"/>
      <c r="J398" s="711"/>
      <c r="K398" s="711"/>
      <c r="L398" s="711"/>
      <c r="M398" s="706"/>
      <c r="N398" s="711"/>
      <c r="O398" s="655"/>
      <c r="P398" s="655"/>
      <c r="Q398" s="711"/>
      <c r="R398" s="655"/>
      <c r="S398" s="674"/>
      <c r="T398" s="674"/>
      <c r="U398" s="674"/>
      <c r="V398" s="674"/>
    </row>
    <row r="399">
      <c r="A399" s="712"/>
      <c r="B399" s="713"/>
      <c r="C399" s="714"/>
      <c r="D399" s="715"/>
      <c r="E399" s="714"/>
      <c r="F399" s="715"/>
      <c r="G399" s="716"/>
      <c r="H399" s="717"/>
      <c r="I399" s="713"/>
      <c r="J399" s="718"/>
      <c r="K399" s="718"/>
      <c r="L399" s="718"/>
      <c r="M399" s="713"/>
      <c r="N399" s="718"/>
      <c r="O399" s="662"/>
      <c r="P399" s="662"/>
      <c r="Q399" s="718"/>
      <c r="R399" s="662"/>
      <c r="S399" s="672"/>
      <c r="T399" s="672"/>
      <c r="U399" s="672"/>
      <c r="V399" s="672"/>
    </row>
    <row r="400">
      <c r="A400" s="705"/>
      <c r="B400" s="706"/>
      <c r="C400" s="707"/>
      <c r="D400" s="708"/>
      <c r="E400" s="707"/>
      <c r="F400" s="708"/>
      <c r="G400" s="709"/>
      <c r="H400" s="710"/>
      <c r="I400" s="706"/>
      <c r="J400" s="711"/>
      <c r="K400" s="711"/>
      <c r="L400" s="711"/>
      <c r="M400" s="706"/>
      <c r="N400" s="711"/>
      <c r="O400" s="655"/>
      <c r="P400" s="655"/>
      <c r="Q400" s="711"/>
      <c r="R400" s="655"/>
      <c r="S400" s="674"/>
      <c r="T400" s="674"/>
      <c r="U400" s="674"/>
      <c r="V400" s="674"/>
    </row>
    <row r="401">
      <c r="A401" s="712"/>
      <c r="B401" s="713"/>
      <c r="C401" s="714"/>
      <c r="D401" s="715"/>
      <c r="E401" s="714"/>
      <c r="F401" s="715"/>
      <c r="G401" s="716"/>
      <c r="H401" s="717"/>
      <c r="I401" s="713"/>
      <c r="J401" s="718"/>
      <c r="K401" s="718"/>
      <c r="L401" s="718"/>
      <c r="M401" s="713"/>
      <c r="N401" s="718"/>
      <c r="O401" s="662"/>
      <c r="P401" s="662"/>
      <c r="Q401" s="718"/>
      <c r="R401" s="662"/>
      <c r="S401" s="672"/>
      <c r="T401" s="672"/>
      <c r="U401" s="672"/>
      <c r="V401" s="672"/>
    </row>
    <row r="402">
      <c r="A402" s="705"/>
      <c r="B402" s="706"/>
      <c r="C402" s="707"/>
      <c r="D402" s="708"/>
      <c r="E402" s="707"/>
      <c r="F402" s="708"/>
      <c r="G402" s="709"/>
      <c r="H402" s="710"/>
      <c r="I402" s="706"/>
      <c r="J402" s="711"/>
      <c r="K402" s="711"/>
      <c r="L402" s="711"/>
      <c r="M402" s="706"/>
      <c r="N402" s="711"/>
      <c r="O402" s="655"/>
      <c r="P402" s="655"/>
      <c r="Q402" s="711"/>
      <c r="R402" s="655"/>
      <c r="S402" s="674"/>
      <c r="T402" s="674"/>
      <c r="U402" s="674"/>
      <c r="V402" s="674"/>
    </row>
    <row r="403">
      <c r="A403" s="712"/>
      <c r="B403" s="713"/>
      <c r="C403" s="714"/>
      <c r="D403" s="715"/>
      <c r="E403" s="714"/>
      <c r="F403" s="715"/>
      <c r="G403" s="716"/>
      <c r="H403" s="717"/>
      <c r="I403" s="713"/>
      <c r="J403" s="718"/>
      <c r="K403" s="718"/>
      <c r="L403" s="718"/>
      <c r="M403" s="713"/>
      <c r="N403" s="718"/>
      <c r="O403" s="662"/>
      <c r="P403" s="662"/>
      <c r="Q403" s="718"/>
      <c r="R403" s="662"/>
      <c r="S403" s="672"/>
      <c r="T403" s="672"/>
      <c r="U403" s="672"/>
      <c r="V403" s="672"/>
    </row>
    <row r="404">
      <c r="A404" s="705"/>
      <c r="B404" s="706"/>
      <c r="C404" s="707"/>
      <c r="D404" s="708"/>
      <c r="E404" s="707"/>
      <c r="F404" s="708"/>
      <c r="G404" s="709"/>
      <c r="H404" s="710"/>
      <c r="I404" s="706"/>
      <c r="J404" s="711"/>
      <c r="K404" s="711"/>
      <c r="L404" s="711"/>
      <c r="M404" s="706"/>
      <c r="N404" s="711"/>
      <c r="O404" s="655"/>
      <c r="P404" s="655"/>
      <c r="Q404" s="711"/>
      <c r="R404" s="655"/>
      <c r="S404" s="674"/>
      <c r="T404" s="674"/>
      <c r="U404" s="674"/>
      <c r="V404" s="674"/>
    </row>
    <row r="405">
      <c r="A405" s="712"/>
      <c r="B405" s="713"/>
      <c r="C405" s="714"/>
      <c r="D405" s="715"/>
      <c r="E405" s="714"/>
      <c r="F405" s="715"/>
      <c r="G405" s="716"/>
      <c r="H405" s="717"/>
      <c r="I405" s="713"/>
      <c r="J405" s="718"/>
      <c r="K405" s="718"/>
      <c r="L405" s="718"/>
      <c r="M405" s="713"/>
      <c r="N405" s="718"/>
      <c r="O405" s="662"/>
      <c r="P405" s="662"/>
      <c r="Q405" s="718"/>
      <c r="R405" s="662"/>
      <c r="S405" s="672"/>
      <c r="T405" s="672"/>
      <c r="U405" s="672"/>
      <c r="V405" s="672"/>
    </row>
    <row r="406">
      <c r="A406" s="705"/>
      <c r="B406" s="706"/>
      <c r="C406" s="707"/>
      <c r="D406" s="708"/>
      <c r="E406" s="707"/>
      <c r="F406" s="708"/>
      <c r="G406" s="709"/>
      <c r="H406" s="710"/>
      <c r="I406" s="706"/>
      <c r="J406" s="711"/>
      <c r="K406" s="711"/>
      <c r="L406" s="711"/>
      <c r="M406" s="706"/>
      <c r="N406" s="711"/>
      <c r="O406" s="655"/>
      <c r="P406" s="655"/>
      <c r="Q406" s="711"/>
      <c r="R406" s="655"/>
      <c r="S406" s="674"/>
      <c r="T406" s="674"/>
      <c r="U406" s="674"/>
      <c r="V406" s="674"/>
    </row>
    <row r="407">
      <c r="A407" s="712"/>
      <c r="B407" s="713"/>
      <c r="C407" s="714"/>
      <c r="D407" s="715"/>
      <c r="E407" s="714"/>
      <c r="F407" s="715"/>
      <c r="G407" s="716"/>
      <c r="H407" s="717"/>
      <c r="I407" s="713"/>
      <c r="J407" s="718"/>
      <c r="K407" s="718"/>
      <c r="L407" s="718"/>
      <c r="M407" s="713"/>
      <c r="N407" s="718"/>
      <c r="O407" s="662"/>
      <c r="P407" s="662"/>
      <c r="Q407" s="718"/>
      <c r="R407" s="662"/>
      <c r="S407" s="672"/>
      <c r="T407" s="672"/>
      <c r="U407" s="672"/>
      <c r="V407" s="672"/>
    </row>
    <row r="408">
      <c r="A408" s="705"/>
      <c r="B408" s="706"/>
      <c r="C408" s="707"/>
      <c r="D408" s="708"/>
      <c r="E408" s="707"/>
      <c r="F408" s="708"/>
      <c r="G408" s="709"/>
      <c r="H408" s="710"/>
      <c r="I408" s="706"/>
      <c r="J408" s="711"/>
      <c r="K408" s="711"/>
      <c r="L408" s="711"/>
      <c r="M408" s="706"/>
      <c r="N408" s="711"/>
      <c r="O408" s="655"/>
      <c r="P408" s="655"/>
      <c r="Q408" s="711"/>
      <c r="R408" s="655"/>
      <c r="S408" s="674"/>
      <c r="T408" s="674"/>
      <c r="U408" s="674"/>
      <c r="V408" s="674"/>
    </row>
    <row r="409">
      <c r="A409" s="712"/>
      <c r="B409" s="713"/>
      <c r="C409" s="714"/>
      <c r="D409" s="715"/>
      <c r="E409" s="714"/>
      <c r="F409" s="715"/>
      <c r="G409" s="716"/>
      <c r="H409" s="717"/>
      <c r="I409" s="713"/>
      <c r="J409" s="718"/>
      <c r="K409" s="718"/>
      <c r="L409" s="718"/>
      <c r="M409" s="713"/>
      <c r="N409" s="718"/>
      <c r="O409" s="662"/>
      <c r="P409" s="662"/>
      <c r="Q409" s="718"/>
      <c r="R409" s="662"/>
      <c r="S409" s="672"/>
      <c r="T409" s="672"/>
      <c r="U409" s="672"/>
      <c r="V409" s="672"/>
    </row>
    <row r="410">
      <c r="A410" s="705"/>
      <c r="B410" s="706"/>
      <c r="C410" s="707"/>
      <c r="D410" s="708"/>
      <c r="E410" s="707"/>
      <c r="F410" s="708"/>
      <c r="G410" s="709"/>
      <c r="H410" s="710"/>
      <c r="I410" s="706"/>
      <c r="J410" s="711"/>
      <c r="K410" s="711"/>
      <c r="L410" s="711"/>
      <c r="M410" s="706"/>
      <c r="N410" s="711"/>
      <c r="O410" s="655"/>
      <c r="P410" s="655"/>
      <c r="Q410" s="711"/>
      <c r="R410" s="655"/>
      <c r="S410" s="674"/>
      <c r="T410" s="674"/>
      <c r="U410" s="674"/>
      <c r="V410" s="674"/>
    </row>
    <row r="411">
      <c r="A411" s="712"/>
      <c r="B411" s="713"/>
      <c r="C411" s="714"/>
      <c r="D411" s="715"/>
      <c r="E411" s="714"/>
      <c r="F411" s="715"/>
      <c r="G411" s="716"/>
      <c r="H411" s="717"/>
      <c r="I411" s="713"/>
      <c r="J411" s="718"/>
      <c r="K411" s="718"/>
      <c r="L411" s="718"/>
      <c r="M411" s="713"/>
      <c r="N411" s="718"/>
      <c r="O411" s="662"/>
      <c r="P411" s="662"/>
      <c r="Q411" s="718"/>
      <c r="R411" s="662"/>
      <c r="S411" s="672"/>
      <c r="T411" s="672"/>
      <c r="U411" s="672"/>
      <c r="V411" s="672"/>
    </row>
    <row r="412">
      <c r="A412" s="705"/>
      <c r="B412" s="706"/>
      <c r="C412" s="707"/>
      <c r="D412" s="708"/>
      <c r="E412" s="707"/>
      <c r="F412" s="708"/>
      <c r="G412" s="709"/>
      <c r="H412" s="710"/>
      <c r="I412" s="706"/>
      <c r="J412" s="711"/>
      <c r="K412" s="711"/>
      <c r="L412" s="711"/>
      <c r="M412" s="706"/>
      <c r="N412" s="711"/>
      <c r="O412" s="655"/>
      <c r="P412" s="655"/>
      <c r="Q412" s="711"/>
      <c r="R412" s="655"/>
      <c r="S412" s="674"/>
      <c r="T412" s="674"/>
      <c r="U412" s="674"/>
      <c r="V412" s="674"/>
    </row>
    <row r="413">
      <c r="A413" s="712"/>
      <c r="B413" s="713"/>
      <c r="C413" s="714"/>
      <c r="D413" s="715"/>
      <c r="E413" s="714"/>
      <c r="F413" s="715"/>
      <c r="G413" s="716"/>
      <c r="H413" s="717"/>
      <c r="I413" s="713"/>
      <c r="J413" s="718"/>
      <c r="K413" s="718"/>
      <c r="L413" s="718"/>
      <c r="M413" s="713"/>
      <c r="N413" s="718"/>
      <c r="O413" s="662"/>
      <c r="P413" s="662"/>
      <c r="Q413" s="718"/>
      <c r="R413" s="662"/>
      <c r="S413" s="672"/>
      <c r="T413" s="672"/>
      <c r="U413" s="672"/>
      <c r="V413" s="672"/>
    </row>
    <row r="414">
      <c r="A414" s="705"/>
      <c r="B414" s="706"/>
      <c r="C414" s="707"/>
      <c r="D414" s="708"/>
      <c r="E414" s="707"/>
      <c r="F414" s="708"/>
      <c r="G414" s="709"/>
      <c r="H414" s="710"/>
      <c r="I414" s="706"/>
      <c r="J414" s="711"/>
      <c r="K414" s="711"/>
      <c r="L414" s="711"/>
      <c r="M414" s="706"/>
      <c r="N414" s="711"/>
      <c r="O414" s="655"/>
      <c r="P414" s="655"/>
      <c r="Q414" s="711"/>
      <c r="R414" s="655"/>
      <c r="S414" s="674"/>
      <c r="T414" s="674"/>
      <c r="U414" s="674"/>
      <c r="V414" s="674"/>
    </row>
    <row r="415">
      <c r="A415" s="712"/>
      <c r="B415" s="713"/>
      <c r="C415" s="714"/>
      <c r="D415" s="715"/>
      <c r="E415" s="714"/>
      <c r="F415" s="715"/>
      <c r="G415" s="716"/>
      <c r="H415" s="717"/>
      <c r="I415" s="713"/>
      <c r="J415" s="718"/>
      <c r="K415" s="718"/>
      <c r="L415" s="718"/>
      <c r="M415" s="713"/>
      <c r="N415" s="718"/>
      <c r="O415" s="662"/>
      <c r="P415" s="662"/>
      <c r="Q415" s="718"/>
      <c r="R415" s="662"/>
      <c r="S415" s="672"/>
      <c r="T415" s="672"/>
      <c r="U415" s="672"/>
      <c r="V415" s="672"/>
    </row>
    <row r="416">
      <c r="A416" s="705"/>
      <c r="B416" s="706"/>
      <c r="C416" s="707"/>
      <c r="D416" s="708"/>
      <c r="E416" s="707"/>
      <c r="F416" s="708"/>
      <c r="G416" s="709"/>
      <c r="H416" s="710"/>
      <c r="I416" s="706"/>
      <c r="J416" s="711"/>
      <c r="K416" s="711"/>
      <c r="L416" s="711"/>
      <c r="M416" s="706"/>
      <c r="N416" s="711"/>
      <c r="O416" s="655"/>
      <c r="P416" s="655"/>
      <c r="Q416" s="711"/>
      <c r="R416" s="655"/>
      <c r="S416" s="674"/>
      <c r="T416" s="674"/>
      <c r="U416" s="674"/>
      <c r="V416" s="674"/>
    </row>
    <row r="417">
      <c r="A417" s="712"/>
      <c r="B417" s="713"/>
      <c r="C417" s="714"/>
      <c r="D417" s="715"/>
      <c r="E417" s="714"/>
      <c r="F417" s="715"/>
      <c r="G417" s="716"/>
      <c r="H417" s="717"/>
      <c r="I417" s="713"/>
      <c r="J417" s="718"/>
      <c r="K417" s="718"/>
      <c r="L417" s="718"/>
      <c r="M417" s="713"/>
      <c r="N417" s="718"/>
      <c r="O417" s="662"/>
      <c r="P417" s="662"/>
      <c r="Q417" s="718"/>
      <c r="R417" s="662"/>
      <c r="S417" s="672"/>
      <c r="T417" s="672"/>
      <c r="U417" s="672"/>
      <c r="V417" s="672"/>
    </row>
    <row r="418">
      <c r="A418" s="705"/>
      <c r="B418" s="706"/>
      <c r="C418" s="707"/>
      <c r="D418" s="708"/>
      <c r="E418" s="707"/>
      <c r="F418" s="708"/>
      <c r="G418" s="709"/>
      <c r="H418" s="710"/>
      <c r="I418" s="706"/>
      <c r="J418" s="711"/>
      <c r="K418" s="711"/>
      <c r="L418" s="711"/>
      <c r="M418" s="706"/>
      <c r="N418" s="711"/>
      <c r="O418" s="655"/>
      <c r="P418" s="655"/>
      <c r="Q418" s="711"/>
      <c r="R418" s="655"/>
      <c r="S418" s="674"/>
      <c r="T418" s="674"/>
      <c r="U418" s="674"/>
      <c r="V418" s="674"/>
    </row>
    <row r="419">
      <c r="A419" s="712"/>
      <c r="B419" s="713"/>
      <c r="C419" s="714"/>
      <c r="D419" s="715"/>
      <c r="E419" s="714"/>
      <c r="F419" s="715"/>
      <c r="G419" s="716"/>
      <c r="H419" s="717"/>
      <c r="I419" s="713"/>
      <c r="J419" s="718"/>
      <c r="K419" s="718"/>
      <c r="L419" s="718"/>
      <c r="M419" s="713"/>
      <c r="N419" s="718"/>
      <c r="O419" s="662"/>
      <c r="P419" s="662"/>
      <c r="Q419" s="718"/>
      <c r="R419" s="662"/>
      <c r="S419" s="672"/>
      <c r="T419" s="672"/>
      <c r="U419" s="672"/>
      <c r="V419" s="672"/>
    </row>
    <row r="420">
      <c r="A420" s="705"/>
      <c r="B420" s="706"/>
      <c r="C420" s="707"/>
      <c r="D420" s="708"/>
      <c r="E420" s="707"/>
      <c r="F420" s="708"/>
      <c r="G420" s="709"/>
      <c r="H420" s="710"/>
      <c r="I420" s="706"/>
      <c r="J420" s="711"/>
      <c r="K420" s="711"/>
      <c r="L420" s="711"/>
      <c r="M420" s="706"/>
      <c r="N420" s="711"/>
      <c r="O420" s="655"/>
      <c r="P420" s="655"/>
      <c r="Q420" s="711"/>
      <c r="R420" s="655"/>
      <c r="S420" s="674"/>
      <c r="T420" s="674"/>
      <c r="U420" s="674"/>
      <c r="V420" s="674"/>
    </row>
    <row r="421">
      <c r="A421" s="712"/>
      <c r="B421" s="713"/>
      <c r="C421" s="714"/>
      <c r="D421" s="715"/>
      <c r="E421" s="714"/>
      <c r="F421" s="715"/>
      <c r="G421" s="716"/>
      <c r="H421" s="717"/>
      <c r="I421" s="713"/>
      <c r="J421" s="718"/>
      <c r="K421" s="718"/>
      <c r="L421" s="718"/>
      <c r="M421" s="713"/>
      <c r="N421" s="718"/>
      <c r="O421" s="662"/>
      <c r="P421" s="662"/>
      <c r="Q421" s="718"/>
      <c r="R421" s="662"/>
      <c r="S421" s="672"/>
      <c r="T421" s="672"/>
      <c r="U421" s="672"/>
      <c r="V421" s="672"/>
    </row>
    <row r="422">
      <c r="A422" s="705"/>
      <c r="B422" s="706"/>
      <c r="C422" s="707"/>
      <c r="D422" s="708"/>
      <c r="E422" s="707"/>
      <c r="F422" s="708"/>
      <c r="G422" s="709"/>
      <c r="H422" s="710"/>
      <c r="I422" s="706"/>
      <c r="J422" s="711"/>
      <c r="K422" s="711"/>
      <c r="L422" s="711"/>
      <c r="M422" s="706"/>
      <c r="N422" s="711"/>
      <c r="O422" s="655"/>
      <c r="P422" s="655"/>
      <c r="Q422" s="711"/>
      <c r="R422" s="655"/>
      <c r="S422" s="674"/>
      <c r="T422" s="674"/>
      <c r="U422" s="674"/>
      <c r="V422" s="674"/>
    </row>
    <row r="423">
      <c r="A423" s="712"/>
      <c r="B423" s="713"/>
      <c r="C423" s="714"/>
      <c r="D423" s="715"/>
      <c r="E423" s="714"/>
      <c r="F423" s="715"/>
      <c r="G423" s="716"/>
      <c r="H423" s="717"/>
      <c r="I423" s="713"/>
      <c r="J423" s="718"/>
      <c r="K423" s="718"/>
      <c r="L423" s="718"/>
      <c r="M423" s="713"/>
      <c r="N423" s="718"/>
      <c r="O423" s="662"/>
      <c r="P423" s="662"/>
      <c r="Q423" s="718"/>
      <c r="R423" s="662"/>
      <c r="S423" s="672"/>
      <c r="T423" s="672"/>
      <c r="U423" s="672"/>
      <c r="V423" s="672"/>
    </row>
    <row r="424">
      <c r="A424" s="705"/>
      <c r="B424" s="706"/>
      <c r="C424" s="707"/>
      <c r="D424" s="708"/>
      <c r="E424" s="707"/>
      <c r="F424" s="708"/>
      <c r="G424" s="709"/>
      <c r="H424" s="710"/>
      <c r="I424" s="706"/>
      <c r="J424" s="711"/>
      <c r="K424" s="711"/>
      <c r="L424" s="711"/>
      <c r="M424" s="706"/>
      <c r="N424" s="711"/>
      <c r="O424" s="655"/>
      <c r="P424" s="655"/>
      <c r="Q424" s="711"/>
      <c r="R424" s="655"/>
      <c r="S424" s="674"/>
      <c r="T424" s="674"/>
      <c r="U424" s="674"/>
      <c r="V424" s="674"/>
    </row>
    <row r="425">
      <c r="A425" s="712"/>
      <c r="B425" s="713"/>
      <c r="C425" s="714"/>
      <c r="D425" s="715"/>
      <c r="E425" s="714"/>
      <c r="F425" s="715"/>
      <c r="G425" s="716"/>
      <c r="H425" s="717"/>
      <c r="I425" s="713"/>
      <c r="J425" s="718"/>
      <c r="K425" s="718"/>
      <c r="L425" s="718"/>
      <c r="M425" s="713"/>
      <c r="N425" s="718"/>
      <c r="O425" s="662"/>
      <c r="P425" s="662"/>
      <c r="Q425" s="718"/>
      <c r="R425" s="662"/>
      <c r="S425" s="672"/>
      <c r="T425" s="672"/>
      <c r="U425" s="672"/>
      <c r="V425" s="672"/>
    </row>
    <row r="426">
      <c r="A426" s="705"/>
      <c r="B426" s="706"/>
      <c r="C426" s="707"/>
      <c r="D426" s="708"/>
      <c r="E426" s="707"/>
      <c r="F426" s="708"/>
      <c r="G426" s="709"/>
      <c r="H426" s="710"/>
      <c r="I426" s="706"/>
      <c r="J426" s="711"/>
      <c r="K426" s="711"/>
      <c r="L426" s="711"/>
      <c r="M426" s="706"/>
      <c r="N426" s="711"/>
      <c r="O426" s="655"/>
      <c r="P426" s="655"/>
      <c r="Q426" s="711"/>
      <c r="R426" s="655"/>
      <c r="S426" s="674"/>
      <c r="T426" s="674"/>
      <c r="U426" s="674"/>
      <c r="V426" s="674"/>
    </row>
    <row r="427">
      <c r="A427" s="712"/>
      <c r="B427" s="713"/>
      <c r="C427" s="714"/>
      <c r="D427" s="715"/>
      <c r="E427" s="714"/>
      <c r="F427" s="715"/>
      <c r="G427" s="716"/>
      <c r="H427" s="717"/>
      <c r="I427" s="713"/>
      <c r="J427" s="718"/>
      <c r="K427" s="718"/>
      <c r="L427" s="718"/>
      <c r="M427" s="713"/>
      <c r="N427" s="718"/>
      <c r="O427" s="662"/>
      <c r="P427" s="662"/>
      <c r="Q427" s="718"/>
      <c r="R427" s="662"/>
      <c r="S427" s="672"/>
      <c r="T427" s="672"/>
      <c r="U427" s="672"/>
      <c r="V427" s="672"/>
    </row>
    <row r="428">
      <c r="A428" s="705"/>
      <c r="B428" s="706"/>
      <c r="C428" s="707"/>
      <c r="D428" s="708"/>
      <c r="E428" s="707"/>
      <c r="F428" s="708"/>
      <c r="G428" s="709"/>
      <c r="H428" s="710"/>
      <c r="I428" s="706"/>
      <c r="J428" s="711"/>
      <c r="K428" s="711"/>
      <c r="L428" s="711"/>
      <c r="M428" s="706"/>
      <c r="N428" s="711"/>
      <c r="O428" s="655"/>
      <c r="P428" s="655"/>
      <c r="Q428" s="711"/>
      <c r="R428" s="655"/>
      <c r="S428" s="674"/>
      <c r="T428" s="674"/>
      <c r="U428" s="674"/>
      <c r="V428" s="674"/>
    </row>
    <row r="429">
      <c r="A429" s="712"/>
      <c r="B429" s="713"/>
      <c r="C429" s="714"/>
      <c r="D429" s="715"/>
      <c r="E429" s="714"/>
      <c r="F429" s="715"/>
      <c r="G429" s="716"/>
      <c r="H429" s="717"/>
      <c r="I429" s="713"/>
      <c r="J429" s="718"/>
      <c r="K429" s="718"/>
      <c r="L429" s="718"/>
      <c r="M429" s="713"/>
      <c r="N429" s="718"/>
      <c r="O429" s="662"/>
      <c r="P429" s="662"/>
      <c r="Q429" s="718"/>
      <c r="R429" s="662"/>
      <c r="S429" s="672"/>
      <c r="T429" s="672"/>
      <c r="U429" s="672"/>
      <c r="V429" s="672"/>
    </row>
    <row r="430">
      <c r="A430" s="705"/>
      <c r="B430" s="706"/>
      <c r="C430" s="707"/>
      <c r="D430" s="708"/>
      <c r="E430" s="707"/>
      <c r="F430" s="708"/>
      <c r="G430" s="709"/>
      <c r="H430" s="710"/>
      <c r="I430" s="706"/>
      <c r="J430" s="711"/>
      <c r="K430" s="711"/>
      <c r="L430" s="711"/>
      <c r="M430" s="706"/>
      <c r="N430" s="711"/>
      <c r="O430" s="655"/>
      <c r="P430" s="655"/>
      <c r="Q430" s="711"/>
      <c r="R430" s="655"/>
      <c r="S430" s="674"/>
      <c r="T430" s="674"/>
      <c r="U430" s="674"/>
      <c r="V430" s="674"/>
    </row>
    <row r="431">
      <c r="A431" s="712"/>
      <c r="B431" s="713"/>
      <c r="C431" s="714"/>
      <c r="D431" s="715"/>
      <c r="E431" s="714"/>
      <c r="F431" s="715"/>
      <c r="G431" s="716"/>
      <c r="H431" s="717"/>
      <c r="I431" s="713"/>
      <c r="J431" s="718"/>
      <c r="K431" s="718"/>
      <c r="L431" s="718"/>
      <c r="M431" s="713"/>
      <c r="N431" s="718"/>
      <c r="O431" s="662"/>
      <c r="P431" s="662"/>
      <c r="Q431" s="718"/>
      <c r="R431" s="662"/>
      <c r="S431" s="672"/>
      <c r="T431" s="672"/>
      <c r="U431" s="672"/>
      <c r="V431" s="672"/>
    </row>
    <row r="432">
      <c r="A432" s="705"/>
      <c r="B432" s="706"/>
      <c r="C432" s="707"/>
      <c r="D432" s="708"/>
      <c r="E432" s="707"/>
      <c r="F432" s="708"/>
      <c r="G432" s="709"/>
      <c r="H432" s="710"/>
      <c r="I432" s="706"/>
      <c r="J432" s="711"/>
      <c r="K432" s="711"/>
      <c r="L432" s="711"/>
      <c r="M432" s="706"/>
      <c r="N432" s="711"/>
      <c r="O432" s="655"/>
      <c r="P432" s="655"/>
      <c r="Q432" s="711"/>
      <c r="R432" s="655"/>
      <c r="S432" s="674"/>
      <c r="T432" s="674"/>
      <c r="U432" s="674"/>
      <c r="V432" s="674"/>
    </row>
    <row r="433">
      <c r="A433" s="712"/>
      <c r="B433" s="713"/>
      <c r="C433" s="714"/>
      <c r="D433" s="715"/>
      <c r="E433" s="714"/>
      <c r="F433" s="715"/>
      <c r="G433" s="716"/>
      <c r="H433" s="717"/>
      <c r="I433" s="713"/>
      <c r="J433" s="718"/>
      <c r="K433" s="718"/>
      <c r="L433" s="718"/>
      <c r="M433" s="713"/>
      <c r="N433" s="718"/>
      <c r="O433" s="662"/>
      <c r="P433" s="662"/>
      <c r="Q433" s="718"/>
      <c r="R433" s="662"/>
      <c r="S433" s="672"/>
      <c r="T433" s="672"/>
      <c r="U433" s="672"/>
      <c r="V433" s="672"/>
    </row>
    <row r="434">
      <c r="A434" s="705"/>
      <c r="B434" s="706"/>
      <c r="C434" s="707"/>
      <c r="D434" s="708"/>
      <c r="E434" s="707"/>
      <c r="F434" s="708"/>
      <c r="G434" s="709"/>
      <c r="H434" s="710"/>
      <c r="I434" s="706"/>
      <c r="J434" s="711"/>
      <c r="K434" s="711"/>
      <c r="L434" s="711"/>
      <c r="M434" s="706"/>
      <c r="N434" s="711"/>
      <c r="O434" s="655"/>
      <c r="P434" s="655"/>
      <c r="Q434" s="711"/>
      <c r="R434" s="655"/>
      <c r="S434" s="674"/>
      <c r="T434" s="674"/>
      <c r="U434" s="674"/>
      <c r="V434" s="674"/>
    </row>
    <row r="435">
      <c r="A435" s="712"/>
      <c r="B435" s="713"/>
      <c r="C435" s="714"/>
      <c r="D435" s="715"/>
      <c r="E435" s="714"/>
      <c r="F435" s="715"/>
      <c r="G435" s="716"/>
      <c r="H435" s="717"/>
      <c r="I435" s="713"/>
      <c r="J435" s="718"/>
      <c r="K435" s="718"/>
      <c r="L435" s="718"/>
      <c r="M435" s="713"/>
      <c r="N435" s="718"/>
      <c r="O435" s="662"/>
      <c r="P435" s="662"/>
      <c r="Q435" s="718"/>
      <c r="R435" s="662"/>
      <c r="S435" s="672"/>
      <c r="T435" s="672"/>
      <c r="U435" s="672"/>
      <c r="V435" s="672"/>
    </row>
    <row r="436">
      <c r="A436" s="705"/>
      <c r="B436" s="706"/>
      <c r="C436" s="707"/>
      <c r="D436" s="708"/>
      <c r="E436" s="707"/>
      <c r="F436" s="708"/>
      <c r="G436" s="709"/>
      <c r="H436" s="710"/>
      <c r="I436" s="706"/>
      <c r="J436" s="711"/>
      <c r="K436" s="711"/>
      <c r="L436" s="711"/>
      <c r="M436" s="706"/>
      <c r="N436" s="711"/>
      <c r="O436" s="655"/>
      <c r="P436" s="655"/>
      <c r="Q436" s="711"/>
      <c r="R436" s="655"/>
      <c r="S436" s="674"/>
      <c r="T436" s="674"/>
      <c r="U436" s="674"/>
      <c r="V436" s="674"/>
    </row>
    <row r="437">
      <c r="A437" s="712"/>
      <c r="B437" s="713"/>
      <c r="C437" s="714"/>
      <c r="D437" s="715"/>
      <c r="E437" s="714"/>
      <c r="F437" s="715"/>
      <c r="G437" s="716"/>
      <c r="H437" s="717"/>
      <c r="I437" s="713"/>
      <c r="J437" s="718"/>
      <c r="K437" s="718"/>
      <c r="L437" s="718"/>
      <c r="M437" s="713"/>
      <c r="N437" s="718"/>
      <c r="O437" s="662"/>
      <c r="P437" s="662"/>
      <c r="Q437" s="718"/>
      <c r="R437" s="662"/>
      <c r="S437" s="672"/>
      <c r="T437" s="672"/>
      <c r="U437" s="672"/>
      <c r="V437" s="672"/>
    </row>
    <row r="438">
      <c r="A438" s="705"/>
      <c r="B438" s="706"/>
      <c r="C438" s="707"/>
      <c r="D438" s="708"/>
      <c r="E438" s="707"/>
      <c r="F438" s="708"/>
      <c r="G438" s="709"/>
      <c r="H438" s="710"/>
      <c r="I438" s="706"/>
      <c r="J438" s="711"/>
      <c r="K438" s="711"/>
      <c r="L438" s="711"/>
      <c r="M438" s="706"/>
      <c r="N438" s="711"/>
      <c r="O438" s="655"/>
      <c r="P438" s="655"/>
      <c r="Q438" s="711"/>
      <c r="R438" s="655"/>
      <c r="S438" s="674"/>
      <c r="T438" s="674"/>
      <c r="U438" s="674"/>
      <c r="V438" s="674"/>
    </row>
    <row r="439">
      <c r="A439" s="712"/>
      <c r="B439" s="713"/>
      <c r="C439" s="714"/>
      <c r="D439" s="715"/>
      <c r="E439" s="714"/>
      <c r="F439" s="715"/>
      <c r="G439" s="716"/>
      <c r="H439" s="717"/>
      <c r="I439" s="713"/>
      <c r="J439" s="718"/>
      <c r="K439" s="718"/>
      <c r="L439" s="718"/>
      <c r="M439" s="713"/>
      <c r="N439" s="718"/>
      <c r="O439" s="662"/>
      <c r="P439" s="662"/>
      <c r="Q439" s="718"/>
      <c r="R439" s="662"/>
      <c r="S439" s="672"/>
      <c r="T439" s="672"/>
      <c r="U439" s="672"/>
      <c r="V439" s="672"/>
    </row>
    <row r="440">
      <c r="A440" s="705"/>
      <c r="B440" s="706"/>
      <c r="C440" s="707"/>
      <c r="D440" s="708"/>
      <c r="E440" s="707"/>
      <c r="F440" s="708"/>
      <c r="G440" s="709"/>
      <c r="H440" s="710"/>
      <c r="I440" s="706"/>
      <c r="J440" s="711"/>
      <c r="K440" s="711"/>
      <c r="L440" s="711"/>
      <c r="M440" s="706"/>
      <c r="N440" s="711"/>
      <c r="O440" s="655"/>
      <c r="P440" s="655"/>
      <c r="Q440" s="711"/>
      <c r="R440" s="655"/>
      <c r="S440" s="674"/>
      <c r="T440" s="674"/>
      <c r="U440" s="674"/>
      <c r="V440" s="674"/>
    </row>
    <row r="441">
      <c r="A441" s="712"/>
      <c r="B441" s="713"/>
      <c r="C441" s="714"/>
      <c r="D441" s="715"/>
      <c r="E441" s="714"/>
      <c r="F441" s="715"/>
      <c r="G441" s="716"/>
      <c r="H441" s="717"/>
      <c r="I441" s="713"/>
      <c r="J441" s="718"/>
      <c r="K441" s="718"/>
      <c r="L441" s="718"/>
      <c r="M441" s="713"/>
      <c r="N441" s="718"/>
      <c r="O441" s="662"/>
      <c r="P441" s="662"/>
      <c r="Q441" s="718"/>
      <c r="R441" s="662"/>
      <c r="S441" s="672"/>
      <c r="T441" s="672"/>
      <c r="U441" s="672"/>
      <c r="V441" s="672"/>
    </row>
    <row r="442">
      <c r="A442" s="705"/>
      <c r="B442" s="706"/>
      <c r="C442" s="707"/>
      <c r="D442" s="708"/>
      <c r="E442" s="707"/>
      <c r="F442" s="708"/>
      <c r="G442" s="709"/>
      <c r="H442" s="710"/>
      <c r="I442" s="706"/>
      <c r="J442" s="711"/>
      <c r="K442" s="711"/>
      <c r="L442" s="711"/>
      <c r="M442" s="706"/>
      <c r="N442" s="711"/>
      <c r="O442" s="655"/>
      <c r="P442" s="655"/>
      <c r="Q442" s="711"/>
      <c r="R442" s="655"/>
      <c r="S442" s="674"/>
      <c r="T442" s="674"/>
      <c r="U442" s="674"/>
      <c r="V442" s="674"/>
    </row>
    <row r="443">
      <c r="A443" s="712"/>
      <c r="B443" s="713"/>
      <c r="C443" s="714"/>
      <c r="D443" s="715"/>
      <c r="E443" s="714"/>
      <c r="F443" s="715"/>
      <c r="G443" s="716"/>
      <c r="H443" s="717"/>
      <c r="I443" s="713"/>
      <c r="J443" s="718"/>
      <c r="K443" s="718"/>
      <c r="L443" s="718"/>
      <c r="M443" s="713"/>
      <c r="N443" s="718"/>
      <c r="O443" s="662"/>
      <c r="P443" s="662"/>
      <c r="Q443" s="718"/>
      <c r="R443" s="662"/>
      <c r="S443" s="672"/>
      <c r="T443" s="672"/>
      <c r="U443" s="672"/>
      <c r="V443" s="672"/>
    </row>
    <row r="444">
      <c r="A444" s="705"/>
      <c r="B444" s="706"/>
      <c r="C444" s="707"/>
      <c r="D444" s="708"/>
      <c r="E444" s="707"/>
      <c r="F444" s="708"/>
      <c r="G444" s="709"/>
      <c r="H444" s="710"/>
      <c r="I444" s="706"/>
      <c r="J444" s="711"/>
      <c r="K444" s="711"/>
      <c r="L444" s="711"/>
      <c r="M444" s="706"/>
      <c r="N444" s="711"/>
      <c r="O444" s="655"/>
      <c r="P444" s="655"/>
      <c r="Q444" s="711"/>
      <c r="R444" s="655"/>
      <c r="S444" s="674"/>
      <c r="T444" s="674"/>
      <c r="U444" s="674"/>
      <c r="V444" s="674"/>
    </row>
    <row r="445">
      <c r="A445" s="712"/>
      <c r="B445" s="713"/>
      <c r="C445" s="714"/>
      <c r="D445" s="715"/>
      <c r="E445" s="714"/>
      <c r="F445" s="715"/>
      <c r="G445" s="716"/>
      <c r="H445" s="717"/>
      <c r="I445" s="713"/>
      <c r="J445" s="718"/>
      <c r="K445" s="718"/>
      <c r="L445" s="718"/>
      <c r="M445" s="713"/>
      <c r="N445" s="718"/>
      <c r="O445" s="662"/>
      <c r="P445" s="662"/>
      <c r="Q445" s="718"/>
      <c r="R445" s="662"/>
      <c r="S445" s="672"/>
      <c r="T445" s="672"/>
      <c r="U445" s="672"/>
      <c r="V445" s="672"/>
    </row>
    <row r="446">
      <c r="A446" s="705"/>
      <c r="B446" s="706"/>
      <c r="C446" s="707"/>
      <c r="D446" s="708"/>
      <c r="E446" s="707"/>
      <c r="F446" s="708"/>
      <c r="G446" s="709"/>
      <c r="H446" s="710"/>
      <c r="I446" s="706"/>
      <c r="J446" s="711"/>
      <c r="K446" s="711"/>
      <c r="L446" s="711"/>
      <c r="M446" s="706"/>
      <c r="N446" s="711"/>
      <c r="O446" s="655"/>
      <c r="P446" s="655"/>
      <c r="Q446" s="711"/>
      <c r="R446" s="655"/>
      <c r="S446" s="674"/>
      <c r="T446" s="674"/>
      <c r="U446" s="674"/>
      <c r="V446" s="674"/>
    </row>
    <row r="447">
      <c r="A447" s="712"/>
      <c r="B447" s="713"/>
      <c r="C447" s="714"/>
      <c r="D447" s="715"/>
      <c r="E447" s="714"/>
      <c r="F447" s="715"/>
      <c r="G447" s="716"/>
      <c r="H447" s="717"/>
      <c r="I447" s="713"/>
      <c r="J447" s="718"/>
      <c r="K447" s="718"/>
      <c r="L447" s="718"/>
      <c r="M447" s="713"/>
      <c r="N447" s="718"/>
      <c r="O447" s="662"/>
      <c r="P447" s="662"/>
      <c r="Q447" s="718"/>
      <c r="R447" s="662"/>
      <c r="S447" s="672"/>
      <c r="T447" s="672"/>
      <c r="U447" s="672"/>
      <c r="V447" s="672"/>
    </row>
    <row r="448">
      <c r="A448" s="705"/>
      <c r="B448" s="706"/>
      <c r="C448" s="707"/>
      <c r="D448" s="708"/>
      <c r="E448" s="707"/>
      <c r="F448" s="708"/>
      <c r="G448" s="709"/>
      <c r="H448" s="710"/>
      <c r="I448" s="706"/>
      <c r="J448" s="711"/>
      <c r="K448" s="711"/>
      <c r="L448" s="711"/>
      <c r="M448" s="706"/>
      <c r="N448" s="711"/>
      <c r="O448" s="655"/>
      <c r="P448" s="655"/>
      <c r="Q448" s="711"/>
      <c r="R448" s="655"/>
      <c r="S448" s="674"/>
      <c r="T448" s="674"/>
      <c r="U448" s="674"/>
      <c r="V448" s="674"/>
    </row>
    <row r="449">
      <c r="A449" s="712"/>
      <c r="B449" s="713"/>
      <c r="C449" s="714"/>
      <c r="D449" s="715"/>
      <c r="E449" s="714"/>
      <c r="F449" s="715"/>
      <c r="G449" s="716"/>
      <c r="H449" s="717"/>
      <c r="I449" s="713"/>
      <c r="J449" s="718"/>
      <c r="K449" s="718"/>
      <c r="L449" s="718"/>
      <c r="M449" s="713"/>
      <c r="N449" s="718"/>
      <c r="O449" s="662"/>
      <c r="P449" s="662"/>
      <c r="Q449" s="718"/>
      <c r="R449" s="662"/>
      <c r="S449" s="672"/>
      <c r="T449" s="672"/>
      <c r="U449" s="672"/>
      <c r="V449" s="672"/>
    </row>
    <row r="450">
      <c r="A450" s="705"/>
      <c r="B450" s="706"/>
      <c r="C450" s="707"/>
      <c r="D450" s="708"/>
      <c r="E450" s="707"/>
      <c r="F450" s="708"/>
      <c r="G450" s="709"/>
      <c r="H450" s="710"/>
      <c r="I450" s="706"/>
      <c r="J450" s="711"/>
      <c r="K450" s="711"/>
      <c r="L450" s="711"/>
      <c r="M450" s="706"/>
      <c r="N450" s="711"/>
      <c r="O450" s="655"/>
      <c r="P450" s="655"/>
      <c r="Q450" s="711"/>
      <c r="R450" s="655"/>
      <c r="S450" s="674"/>
      <c r="T450" s="674"/>
      <c r="U450" s="674"/>
      <c r="V450" s="674"/>
    </row>
    <row r="451">
      <c r="A451" s="712"/>
      <c r="B451" s="713"/>
      <c r="C451" s="714"/>
      <c r="D451" s="715"/>
      <c r="E451" s="714"/>
      <c r="F451" s="715"/>
      <c r="G451" s="716"/>
      <c r="H451" s="717"/>
      <c r="I451" s="713"/>
      <c r="J451" s="718"/>
      <c r="K451" s="718"/>
      <c r="L451" s="718"/>
      <c r="M451" s="713"/>
      <c r="N451" s="718"/>
      <c r="O451" s="662"/>
      <c r="P451" s="662"/>
      <c r="Q451" s="718"/>
      <c r="R451" s="662"/>
      <c r="S451" s="672"/>
      <c r="T451" s="672"/>
      <c r="U451" s="672"/>
      <c r="V451" s="672"/>
    </row>
    <row r="452">
      <c r="A452" s="705"/>
      <c r="B452" s="706"/>
      <c r="C452" s="707"/>
      <c r="D452" s="708"/>
      <c r="E452" s="707"/>
      <c r="F452" s="708"/>
      <c r="G452" s="709"/>
      <c r="H452" s="710"/>
      <c r="I452" s="706"/>
      <c r="J452" s="711"/>
      <c r="K452" s="711"/>
      <c r="L452" s="711"/>
      <c r="M452" s="706"/>
      <c r="N452" s="711"/>
      <c r="O452" s="655"/>
      <c r="P452" s="655"/>
      <c r="Q452" s="711"/>
      <c r="R452" s="655"/>
      <c r="S452" s="674"/>
      <c r="T452" s="674"/>
      <c r="U452" s="674"/>
      <c r="V452" s="674"/>
    </row>
    <row r="453">
      <c r="A453" s="712"/>
      <c r="B453" s="713"/>
      <c r="C453" s="714"/>
      <c r="D453" s="715"/>
      <c r="E453" s="714"/>
      <c r="F453" s="715"/>
      <c r="G453" s="716"/>
      <c r="H453" s="717"/>
      <c r="I453" s="713"/>
      <c r="J453" s="718"/>
      <c r="K453" s="718"/>
      <c r="L453" s="718"/>
      <c r="M453" s="713"/>
      <c r="N453" s="718"/>
      <c r="O453" s="662"/>
      <c r="P453" s="662"/>
      <c r="Q453" s="718"/>
      <c r="R453" s="662"/>
      <c r="S453" s="672"/>
      <c r="T453" s="672"/>
      <c r="U453" s="672"/>
      <c r="V453" s="672"/>
    </row>
    <row r="454">
      <c r="A454" s="705"/>
      <c r="B454" s="706"/>
      <c r="C454" s="707"/>
      <c r="D454" s="708"/>
      <c r="E454" s="707"/>
      <c r="F454" s="708"/>
      <c r="G454" s="709"/>
      <c r="H454" s="710"/>
      <c r="I454" s="706"/>
      <c r="J454" s="711"/>
      <c r="K454" s="711"/>
      <c r="L454" s="711"/>
      <c r="M454" s="706"/>
      <c r="N454" s="711"/>
      <c r="O454" s="655"/>
      <c r="P454" s="655"/>
      <c r="Q454" s="711"/>
      <c r="R454" s="655"/>
      <c r="S454" s="674"/>
      <c r="T454" s="674"/>
      <c r="U454" s="674"/>
      <c r="V454" s="674"/>
    </row>
    <row r="455">
      <c r="A455" s="712"/>
      <c r="B455" s="713"/>
      <c r="C455" s="714"/>
      <c r="D455" s="715"/>
      <c r="E455" s="714"/>
      <c r="F455" s="715"/>
      <c r="G455" s="716"/>
      <c r="H455" s="717"/>
      <c r="I455" s="713"/>
      <c r="J455" s="718"/>
      <c r="K455" s="718"/>
      <c r="L455" s="718"/>
      <c r="M455" s="713"/>
      <c r="N455" s="718"/>
      <c r="O455" s="662"/>
      <c r="P455" s="662"/>
      <c r="Q455" s="718"/>
      <c r="R455" s="662"/>
      <c r="S455" s="672"/>
      <c r="T455" s="672"/>
      <c r="U455" s="672"/>
      <c r="V455" s="672"/>
    </row>
    <row r="456">
      <c r="A456" s="705"/>
      <c r="B456" s="706"/>
      <c r="C456" s="707"/>
      <c r="D456" s="708"/>
      <c r="E456" s="707"/>
      <c r="F456" s="708"/>
      <c r="G456" s="709"/>
      <c r="H456" s="710"/>
      <c r="I456" s="706"/>
      <c r="J456" s="711"/>
      <c r="K456" s="711"/>
      <c r="L456" s="711"/>
      <c r="M456" s="706"/>
      <c r="N456" s="711"/>
      <c r="O456" s="655"/>
      <c r="P456" s="655"/>
      <c r="Q456" s="711"/>
      <c r="R456" s="655"/>
      <c r="S456" s="674"/>
      <c r="T456" s="674"/>
      <c r="U456" s="674"/>
      <c r="V456" s="674"/>
    </row>
    <row r="457">
      <c r="A457" s="712"/>
      <c r="B457" s="713"/>
      <c r="C457" s="714"/>
      <c r="D457" s="715"/>
      <c r="E457" s="714"/>
      <c r="F457" s="715"/>
      <c r="G457" s="716"/>
      <c r="H457" s="717"/>
      <c r="I457" s="713"/>
      <c r="J457" s="718"/>
      <c r="K457" s="718"/>
      <c r="L457" s="718"/>
      <c r="M457" s="713"/>
      <c r="N457" s="718"/>
      <c r="O457" s="662"/>
      <c r="P457" s="662"/>
      <c r="Q457" s="718"/>
      <c r="R457" s="662"/>
      <c r="S457" s="672"/>
      <c r="T457" s="672"/>
      <c r="U457" s="672"/>
      <c r="V457" s="672"/>
    </row>
    <row r="458">
      <c r="A458" s="705"/>
      <c r="B458" s="706"/>
      <c r="C458" s="707"/>
      <c r="D458" s="708"/>
      <c r="E458" s="707"/>
      <c r="F458" s="708"/>
      <c r="G458" s="709"/>
      <c r="H458" s="710"/>
      <c r="I458" s="706"/>
      <c r="J458" s="711"/>
      <c r="K458" s="711"/>
      <c r="L458" s="711"/>
      <c r="M458" s="706"/>
      <c r="N458" s="711"/>
      <c r="O458" s="655"/>
      <c r="P458" s="655"/>
      <c r="Q458" s="711"/>
      <c r="R458" s="655"/>
      <c r="S458" s="674"/>
      <c r="T458" s="674"/>
      <c r="U458" s="674"/>
      <c r="V458" s="674"/>
    </row>
    <row r="459">
      <c r="A459" s="712"/>
      <c r="B459" s="713"/>
      <c r="C459" s="714"/>
      <c r="D459" s="715"/>
      <c r="E459" s="714"/>
      <c r="F459" s="715"/>
      <c r="G459" s="716"/>
      <c r="H459" s="717"/>
      <c r="I459" s="713"/>
      <c r="J459" s="718"/>
      <c r="K459" s="718"/>
      <c r="L459" s="718"/>
      <c r="M459" s="713"/>
      <c r="N459" s="718"/>
      <c r="O459" s="662"/>
      <c r="P459" s="662"/>
      <c r="Q459" s="718"/>
      <c r="R459" s="662"/>
      <c r="S459" s="672"/>
      <c r="T459" s="672"/>
      <c r="U459" s="672"/>
      <c r="V459" s="672"/>
    </row>
    <row r="460">
      <c r="A460" s="705"/>
      <c r="B460" s="706"/>
      <c r="C460" s="707"/>
      <c r="D460" s="708"/>
      <c r="E460" s="707"/>
      <c r="F460" s="708"/>
      <c r="G460" s="709"/>
      <c r="H460" s="710"/>
      <c r="I460" s="706"/>
      <c r="J460" s="711"/>
      <c r="K460" s="711"/>
      <c r="L460" s="711"/>
      <c r="M460" s="706"/>
      <c r="N460" s="711"/>
      <c r="O460" s="655"/>
      <c r="P460" s="655"/>
      <c r="Q460" s="711"/>
      <c r="R460" s="655"/>
      <c r="S460" s="674"/>
      <c r="T460" s="674"/>
      <c r="U460" s="674"/>
      <c r="V460" s="674"/>
    </row>
    <row r="461">
      <c r="A461" s="712"/>
      <c r="B461" s="713"/>
      <c r="C461" s="714"/>
      <c r="D461" s="715"/>
      <c r="E461" s="714"/>
      <c r="F461" s="715"/>
      <c r="G461" s="716"/>
      <c r="H461" s="717"/>
      <c r="I461" s="713"/>
      <c r="J461" s="718"/>
      <c r="K461" s="718"/>
      <c r="L461" s="718"/>
      <c r="M461" s="713"/>
      <c r="N461" s="718"/>
      <c r="O461" s="662"/>
      <c r="P461" s="662"/>
      <c r="Q461" s="718"/>
      <c r="R461" s="662"/>
      <c r="S461" s="672"/>
      <c r="T461" s="672"/>
      <c r="U461" s="672"/>
      <c r="V461" s="672"/>
    </row>
    <row r="462">
      <c r="A462" s="705"/>
      <c r="B462" s="706"/>
      <c r="C462" s="707"/>
      <c r="D462" s="708"/>
      <c r="E462" s="707"/>
      <c r="F462" s="708"/>
      <c r="G462" s="709"/>
      <c r="H462" s="710"/>
      <c r="I462" s="706"/>
      <c r="J462" s="711"/>
      <c r="K462" s="711"/>
      <c r="L462" s="711"/>
      <c r="M462" s="706"/>
      <c r="N462" s="711"/>
      <c r="O462" s="655"/>
      <c r="P462" s="655"/>
      <c r="Q462" s="711"/>
      <c r="R462" s="655"/>
      <c r="S462" s="674"/>
      <c r="T462" s="674"/>
      <c r="U462" s="674"/>
      <c r="V462" s="674"/>
    </row>
    <row r="463">
      <c r="A463" s="712"/>
      <c r="B463" s="713"/>
      <c r="C463" s="714"/>
      <c r="D463" s="715"/>
      <c r="E463" s="714"/>
      <c r="F463" s="715"/>
      <c r="G463" s="716"/>
      <c r="H463" s="717"/>
      <c r="I463" s="713"/>
      <c r="J463" s="718"/>
      <c r="K463" s="718"/>
      <c r="L463" s="718"/>
      <c r="M463" s="713"/>
      <c r="N463" s="718"/>
      <c r="O463" s="662"/>
      <c r="P463" s="662"/>
      <c r="Q463" s="718"/>
      <c r="R463" s="662"/>
      <c r="S463" s="672"/>
      <c r="T463" s="672"/>
      <c r="U463" s="672"/>
      <c r="V463" s="672"/>
    </row>
    <row r="464">
      <c r="A464" s="705"/>
      <c r="B464" s="706"/>
      <c r="C464" s="707"/>
      <c r="D464" s="708"/>
      <c r="E464" s="707"/>
      <c r="F464" s="708"/>
      <c r="G464" s="709"/>
      <c r="H464" s="710"/>
      <c r="I464" s="706"/>
      <c r="J464" s="711"/>
      <c r="K464" s="711"/>
      <c r="L464" s="711"/>
      <c r="M464" s="706"/>
      <c r="N464" s="711"/>
      <c r="O464" s="655"/>
      <c r="P464" s="655"/>
      <c r="Q464" s="711"/>
      <c r="R464" s="655"/>
      <c r="S464" s="674"/>
      <c r="T464" s="674"/>
      <c r="U464" s="674"/>
      <c r="V464" s="674"/>
    </row>
    <row r="465">
      <c r="A465" s="712"/>
      <c r="B465" s="713"/>
      <c r="C465" s="714"/>
      <c r="D465" s="715"/>
      <c r="E465" s="714"/>
      <c r="F465" s="715"/>
      <c r="G465" s="716"/>
      <c r="H465" s="717"/>
      <c r="I465" s="713"/>
      <c r="J465" s="718"/>
      <c r="K465" s="718"/>
      <c r="L465" s="718"/>
      <c r="M465" s="713"/>
      <c r="N465" s="718"/>
      <c r="O465" s="662"/>
      <c r="P465" s="662"/>
      <c r="Q465" s="718"/>
      <c r="R465" s="662"/>
      <c r="S465" s="672"/>
      <c r="T465" s="672"/>
      <c r="U465" s="672"/>
      <c r="V465" s="672"/>
    </row>
    <row r="466">
      <c r="A466" s="705"/>
      <c r="B466" s="706"/>
      <c r="C466" s="707"/>
      <c r="D466" s="708"/>
      <c r="E466" s="707"/>
      <c r="F466" s="708"/>
      <c r="G466" s="709"/>
      <c r="H466" s="710"/>
      <c r="I466" s="706"/>
      <c r="J466" s="711"/>
      <c r="K466" s="711"/>
      <c r="L466" s="711"/>
      <c r="M466" s="706"/>
      <c r="N466" s="711"/>
      <c r="O466" s="655"/>
      <c r="P466" s="655"/>
      <c r="Q466" s="711"/>
      <c r="R466" s="655"/>
      <c r="S466" s="674"/>
      <c r="T466" s="674"/>
      <c r="U466" s="674"/>
      <c r="V466" s="674"/>
    </row>
    <row r="467">
      <c r="A467" s="712"/>
      <c r="B467" s="713"/>
      <c r="C467" s="714"/>
      <c r="D467" s="715"/>
      <c r="E467" s="714"/>
      <c r="F467" s="715"/>
      <c r="G467" s="716"/>
      <c r="H467" s="717"/>
      <c r="I467" s="713"/>
      <c r="J467" s="718"/>
      <c r="K467" s="718"/>
      <c r="L467" s="718"/>
      <c r="M467" s="713"/>
      <c r="N467" s="718"/>
      <c r="O467" s="662"/>
      <c r="P467" s="662"/>
      <c r="Q467" s="718"/>
      <c r="R467" s="662"/>
      <c r="S467" s="672"/>
      <c r="T467" s="672"/>
      <c r="U467" s="672"/>
      <c r="V467" s="672"/>
    </row>
    <row r="468">
      <c r="A468" s="705"/>
      <c r="B468" s="706"/>
      <c r="C468" s="707"/>
      <c r="D468" s="708"/>
      <c r="E468" s="707"/>
      <c r="F468" s="708"/>
      <c r="G468" s="709"/>
      <c r="H468" s="710"/>
      <c r="I468" s="706"/>
      <c r="J468" s="711"/>
      <c r="K468" s="711"/>
      <c r="L468" s="711"/>
      <c r="M468" s="706"/>
      <c r="N468" s="711"/>
      <c r="O468" s="655"/>
      <c r="P468" s="655"/>
      <c r="Q468" s="711"/>
      <c r="R468" s="655"/>
      <c r="S468" s="674"/>
      <c r="T468" s="674"/>
      <c r="U468" s="674"/>
      <c r="V468" s="674"/>
    </row>
    <row r="469">
      <c r="A469" s="712"/>
      <c r="B469" s="713"/>
      <c r="C469" s="714"/>
      <c r="D469" s="715"/>
      <c r="E469" s="714"/>
      <c r="F469" s="715"/>
      <c r="G469" s="716"/>
      <c r="H469" s="717"/>
      <c r="I469" s="713"/>
      <c r="J469" s="718"/>
      <c r="K469" s="718"/>
      <c r="L469" s="718"/>
      <c r="M469" s="713"/>
      <c r="N469" s="718"/>
      <c r="O469" s="662"/>
      <c r="P469" s="662"/>
      <c r="Q469" s="718"/>
      <c r="R469" s="662"/>
      <c r="S469" s="672"/>
      <c r="T469" s="672"/>
      <c r="U469" s="672"/>
      <c r="V469" s="672"/>
    </row>
    <row r="470">
      <c r="A470" s="705"/>
      <c r="B470" s="706"/>
      <c r="C470" s="707"/>
      <c r="D470" s="708"/>
      <c r="E470" s="707"/>
      <c r="F470" s="708"/>
      <c r="G470" s="709"/>
      <c r="H470" s="710"/>
      <c r="I470" s="706"/>
      <c r="J470" s="711"/>
      <c r="K470" s="711"/>
      <c r="L470" s="711"/>
      <c r="M470" s="706"/>
      <c r="N470" s="711"/>
      <c r="O470" s="655"/>
      <c r="P470" s="655"/>
      <c r="Q470" s="711"/>
      <c r="R470" s="655"/>
      <c r="S470" s="674"/>
      <c r="T470" s="674"/>
      <c r="U470" s="674"/>
      <c r="V470" s="674"/>
    </row>
    <row r="471">
      <c r="A471" s="712"/>
      <c r="B471" s="713"/>
      <c r="C471" s="714"/>
      <c r="D471" s="715"/>
      <c r="E471" s="714"/>
      <c r="F471" s="715"/>
      <c r="G471" s="716"/>
      <c r="H471" s="717"/>
      <c r="I471" s="713"/>
      <c r="J471" s="718"/>
      <c r="K471" s="718"/>
      <c r="L471" s="718"/>
      <c r="M471" s="713"/>
      <c r="N471" s="718"/>
      <c r="O471" s="662"/>
      <c r="P471" s="662"/>
      <c r="Q471" s="718"/>
      <c r="R471" s="662"/>
      <c r="S471" s="672"/>
      <c r="T471" s="672"/>
      <c r="U471" s="672"/>
      <c r="V471" s="672"/>
    </row>
    <row r="472">
      <c r="A472" s="705"/>
      <c r="B472" s="706"/>
      <c r="C472" s="707"/>
      <c r="D472" s="708"/>
      <c r="E472" s="707"/>
      <c r="F472" s="708"/>
      <c r="G472" s="709"/>
      <c r="H472" s="710"/>
      <c r="I472" s="706"/>
      <c r="J472" s="711"/>
      <c r="K472" s="711"/>
      <c r="L472" s="711"/>
      <c r="M472" s="706"/>
      <c r="N472" s="711"/>
      <c r="O472" s="655"/>
      <c r="P472" s="655"/>
      <c r="Q472" s="711"/>
      <c r="R472" s="655"/>
      <c r="S472" s="674"/>
      <c r="T472" s="674"/>
      <c r="U472" s="674"/>
      <c r="V472" s="674"/>
    </row>
    <row r="473">
      <c r="A473" s="712"/>
      <c r="B473" s="713"/>
      <c r="C473" s="714"/>
      <c r="D473" s="715"/>
      <c r="E473" s="714"/>
      <c r="F473" s="715"/>
      <c r="G473" s="716"/>
      <c r="H473" s="717"/>
      <c r="I473" s="713"/>
      <c r="J473" s="718"/>
      <c r="K473" s="718"/>
      <c r="L473" s="718"/>
      <c r="M473" s="713"/>
      <c r="N473" s="718"/>
      <c r="O473" s="662"/>
      <c r="P473" s="662"/>
      <c r="Q473" s="718"/>
      <c r="R473" s="662"/>
      <c r="S473" s="672"/>
      <c r="T473" s="672"/>
      <c r="U473" s="672"/>
      <c r="V473" s="672"/>
    </row>
    <row r="474">
      <c r="A474" s="705"/>
      <c r="B474" s="706"/>
      <c r="C474" s="707"/>
      <c r="D474" s="708"/>
      <c r="E474" s="707"/>
      <c r="F474" s="708"/>
      <c r="G474" s="709"/>
      <c r="H474" s="710"/>
      <c r="I474" s="706"/>
      <c r="J474" s="711"/>
      <c r="K474" s="711"/>
      <c r="L474" s="711"/>
      <c r="M474" s="706"/>
      <c r="N474" s="711"/>
      <c r="O474" s="655"/>
      <c r="P474" s="655"/>
      <c r="Q474" s="711"/>
      <c r="R474" s="655"/>
      <c r="S474" s="674"/>
      <c r="T474" s="674"/>
      <c r="U474" s="674"/>
      <c r="V474" s="674"/>
    </row>
    <row r="475">
      <c r="A475" s="712"/>
      <c r="B475" s="713"/>
      <c r="C475" s="714"/>
      <c r="D475" s="715"/>
      <c r="E475" s="714"/>
      <c r="F475" s="715"/>
      <c r="G475" s="716"/>
      <c r="H475" s="717"/>
      <c r="I475" s="713"/>
      <c r="J475" s="718"/>
      <c r="K475" s="718"/>
      <c r="L475" s="718"/>
      <c r="M475" s="713"/>
      <c r="N475" s="718"/>
      <c r="O475" s="662"/>
      <c r="P475" s="662"/>
      <c r="Q475" s="718"/>
      <c r="R475" s="662"/>
      <c r="S475" s="672"/>
      <c r="T475" s="672"/>
      <c r="U475" s="672"/>
      <c r="V475" s="672"/>
    </row>
    <row r="476">
      <c r="A476" s="705"/>
      <c r="B476" s="706"/>
      <c r="C476" s="707"/>
      <c r="D476" s="708"/>
      <c r="E476" s="707"/>
      <c r="F476" s="708"/>
      <c r="G476" s="709"/>
      <c r="H476" s="710"/>
      <c r="I476" s="706"/>
      <c r="J476" s="711"/>
      <c r="K476" s="711"/>
      <c r="L476" s="711"/>
      <c r="M476" s="706"/>
      <c r="N476" s="711"/>
      <c r="O476" s="655"/>
      <c r="P476" s="655"/>
      <c r="Q476" s="711"/>
      <c r="R476" s="655"/>
      <c r="S476" s="674"/>
      <c r="T476" s="674"/>
      <c r="U476" s="674"/>
      <c r="V476" s="674"/>
    </row>
    <row r="477">
      <c r="A477" s="712"/>
      <c r="B477" s="713"/>
      <c r="C477" s="714"/>
      <c r="D477" s="715"/>
      <c r="E477" s="714"/>
      <c r="F477" s="715"/>
      <c r="G477" s="716"/>
      <c r="H477" s="717"/>
      <c r="I477" s="713"/>
      <c r="J477" s="718"/>
      <c r="K477" s="718"/>
      <c r="L477" s="718"/>
      <c r="M477" s="713"/>
      <c r="N477" s="718"/>
      <c r="O477" s="662"/>
      <c r="P477" s="662"/>
      <c r="Q477" s="718"/>
      <c r="R477" s="662"/>
      <c r="S477" s="672"/>
      <c r="T477" s="672"/>
      <c r="U477" s="672"/>
      <c r="V477" s="672"/>
    </row>
    <row r="478">
      <c r="A478" s="705"/>
      <c r="B478" s="706"/>
      <c r="C478" s="707"/>
      <c r="D478" s="708"/>
      <c r="E478" s="707"/>
      <c r="F478" s="708"/>
      <c r="G478" s="709"/>
      <c r="H478" s="710"/>
      <c r="I478" s="706"/>
      <c r="J478" s="711"/>
      <c r="K478" s="711"/>
      <c r="L478" s="711"/>
      <c r="M478" s="706"/>
      <c r="N478" s="711"/>
      <c r="O478" s="655"/>
      <c r="P478" s="655"/>
      <c r="Q478" s="711"/>
      <c r="R478" s="655"/>
      <c r="S478" s="674"/>
      <c r="T478" s="674"/>
      <c r="U478" s="674"/>
      <c r="V478" s="674"/>
    </row>
    <row r="479">
      <c r="A479" s="712"/>
      <c r="B479" s="713"/>
      <c r="C479" s="714"/>
      <c r="D479" s="715"/>
      <c r="E479" s="714"/>
      <c r="F479" s="715"/>
      <c r="G479" s="716"/>
      <c r="H479" s="717"/>
      <c r="I479" s="713"/>
      <c r="J479" s="718"/>
      <c r="K479" s="718"/>
      <c r="L479" s="718"/>
      <c r="M479" s="713"/>
      <c r="N479" s="718"/>
      <c r="O479" s="662"/>
      <c r="P479" s="662"/>
      <c r="Q479" s="718"/>
      <c r="R479" s="662"/>
      <c r="S479" s="672"/>
      <c r="T479" s="672"/>
      <c r="U479" s="672"/>
      <c r="V479" s="672"/>
    </row>
    <row r="480">
      <c r="A480" s="705"/>
      <c r="B480" s="706"/>
      <c r="C480" s="707"/>
      <c r="D480" s="708"/>
      <c r="E480" s="707"/>
      <c r="F480" s="708"/>
      <c r="G480" s="709"/>
      <c r="H480" s="710"/>
      <c r="I480" s="706"/>
      <c r="J480" s="711"/>
      <c r="K480" s="711"/>
      <c r="L480" s="711"/>
      <c r="M480" s="706"/>
      <c r="N480" s="711"/>
      <c r="O480" s="655"/>
      <c r="P480" s="655"/>
      <c r="Q480" s="711"/>
      <c r="R480" s="655"/>
      <c r="S480" s="674"/>
      <c r="T480" s="674"/>
      <c r="U480" s="674"/>
      <c r="V480" s="674"/>
    </row>
    <row r="481">
      <c r="A481" s="712"/>
      <c r="B481" s="713"/>
      <c r="C481" s="714"/>
      <c r="D481" s="715"/>
      <c r="E481" s="714"/>
      <c r="F481" s="715"/>
      <c r="G481" s="716"/>
      <c r="H481" s="717"/>
      <c r="I481" s="713"/>
      <c r="J481" s="718"/>
      <c r="K481" s="718"/>
      <c r="L481" s="718"/>
      <c r="M481" s="713"/>
      <c r="N481" s="718"/>
      <c r="O481" s="662"/>
      <c r="P481" s="662"/>
      <c r="Q481" s="718"/>
      <c r="R481" s="662"/>
      <c r="S481" s="672"/>
      <c r="T481" s="672"/>
      <c r="U481" s="672"/>
      <c r="V481" s="672"/>
    </row>
    <row r="482">
      <c r="A482" s="705"/>
      <c r="B482" s="706"/>
      <c r="C482" s="707"/>
      <c r="D482" s="708"/>
      <c r="E482" s="707"/>
      <c r="F482" s="708"/>
      <c r="G482" s="709"/>
      <c r="H482" s="710"/>
      <c r="I482" s="706"/>
      <c r="J482" s="711"/>
      <c r="K482" s="711"/>
      <c r="L482" s="711"/>
      <c r="M482" s="706"/>
      <c r="N482" s="711"/>
      <c r="O482" s="655"/>
      <c r="P482" s="655"/>
      <c r="Q482" s="711"/>
      <c r="R482" s="655"/>
      <c r="S482" s="674"/>
      <c r="T482" s="674"/>
      <c r="U482" s="674"/>
      <c r="V482" s="674"/>
    </row>
    <row r="483">
      <c r="A483" s="712"/>
      <c r="B483" s="713"/>
      <c r="C483" s="714"/>
      <c r="D483" s="715"/>
      <c r="E483" s="714"/>
      <c r="F483" s="715"/>
      <c r="G483" s="716"/>
      <c r="H483" s="717"/>
      <c r="I483" s="713"/>
      <c r="J483" s="718"/>
      <c r="K483" s="718"/>
      <c r="L483" s="718"/>
      <c r="M483" s="713"/>
      <c r="N483" s="718"/>
      <c r="O483" s="662"/>
      <c r="P483" s="662"/>
      <c r="Q483" s="718"/>
      <c r="R483" s="662"/>
      <c r="S483" s="672"/>
      <c r="T483" s="672"/>
      <c r="U483" s="672"/>
      <c r="V483" s="672"/>
    </row>
    <row r="484">
      <c r="A484" s="705"/>
      <c r="B484" s="706"/>
      <c r="C484" s="707"/>
      <c r="D484" s="708"/>
      <c r="E484" s="707"/>
      <c r="F484" s="708"/>
      <c r="G484" s="709"/>
      <c r="H484" s="710"/>
      <c r="I484" s="706"/>
      <c r="J484" s="711"/>
      <c r="K484" s="711"/>
      <c r="L484" s="711"/>
      <c r="M484" s="706"/>
      <c r="N484" s="711"/>
      <c r="O484" s="655"/>
      <c r="P484" s="655"/>
      <c r="Q484" s="711"/>
      <c r="R484" s="655"/>
      <c r="S484" s="674"/>
      <c r="T484" s="674"/>
      <c r="U484" s="674"/>
      <c r="V484" s="674"/>
    </row>
    <row r="485">
      <c r="A485" s="712"/>
      <c r="B485" s="713"/>
      <c r="C485" s="714"/>
      <c r="D485" s="715"/>
      <c r="E485" s="714"/>
      <c r="F485" s="715"/>
      <c r="G485" s="716"/>
      <c r="H485" s="717"/>
      <c r="I485" s="713"/>
      <c r="J485" s="718"/>
      <c r="K485" s="718"/>
      <c r="L485" s="718"/>
      <c r="M485" s="713"/>
      <c r="N485" s="718"/>
      <c r="O485" s="662"/>
      <c r="P485" s="662"/>
      <c r="Q485" s="718"/>
      <c r="R485" s="662"/>
      <c r="S485" s="672"/>
      <c r="T485" s="672"/>
      <c r="U485" s="672"/>
      <c r="V485" s="672"/>
    </row>
    <row r="486">
      <c r="A486" s="705"/>
      <c r="B486" s="706"/>
      <c r="C486" s="707"/>
      <c r="D486" s="708"/>
      <c r="E486" s="707"/>
      <c r="F486" s="708"/>
      <c r="G486" s="709"/>
      <c r="H486" s="710"/>
      <c r="I486" s="706"/>
      <c r="J486" s="711"/>
      <c r="K486" s="711"/>
      <c r="L486" s="711"/>
      <c r="M486" s="706"/>
      <c r="N486" s="711"/>
      <c r="O486" s="655"/>
      <c r="P486" s="655"/>
      <c r="Q486" s="711"/>
      <c r="R486" s="655"/>
      <c r="S486" s="674"/>
      <c r="T486" s="674"/>
      <c r="U486" s="674"/>
      <c r="V486" s="674"/>
    </row>
    <row r="487">
      <c r="A487" s="712"/>
      <c r="B487" s="713"/>
      <c r="C487" s="714"/>
      <c r="D487" s="715"/>
      <c r="E487" s="714"/>
      <c r="F487" s="715"/>
      <c r="G487" s="716"/>
      <c r="H487" s="717"/>
      <c r="I487" s="713"/>
      <c r="J487" s="718"/>
      <c r="K487" s="718"/>
      <c r="L487" s="718"/>
      <c r="M487" s="713"/>
      <c r="N487" s="718"/>
      <c r="O487" s="662"/>
      <c r="P487" s="662"/>
      <c r="Q487" s="718"/>
      <c r="R487" s="662"/>
      <c r="S487" s="672"/>
      <c r="T487" s="672"/>
      <c r="U487" s="672"/>
      <c r="V487" s="672"/>
    </row>
    <row r="488">
      <c r="A488" s="705"/>
      <c r="B488" s="706"/>
      <c r="C488" s="707"/>
      <c r="D488" s="708"/>
      <c r="E488" s="707"/>
      <c r="F488" s="708"/>
      <c r="G488" s="709"/>
      <c r="H488" s="710"/>
      <c r="I488" s="706"/>
      <c r="J488" s="711"/>
      <c r="K488" s="711"/>
      <c r="L488" s="711"/>
      <c r="M488" s="706"/>
      <c r="N488" s="711"/>
      <c r="O488" s="655"/>
      <c r="P488" s="655"/>
      <c r="Q488" s="711"/>
      <c r="R488" s="655"/>
      <c r="S488" s="674"/>
      <c r="T488" s="674"/>
      <c r="U488" s="674"/>
      <c r="V488" s="674"/>
    </row>
    <row r="489">
      <c r="A489" s="712"/>
      <c r="B489" s="713"/>
      <c r="C489" s="714"/>
      <c r="D489" s="715"/>
      <c r="E489" s="714"/>
      <c r="F489" s="715"/>
      <c r="G489" s="716"/>
      <c r="H489" s="717"/>
      <c r="I489" s="713"/>
      <c r="J489" s="718"/>
      <c r="K489" s="718"/>
      <c r="L489" s="718"/>
      <c r="M489" s="713"/>
      <c r="N489" s="718"/>
      <c r="O489" s="662"/>
      <c r="P489" s="662"/>
      <c r="Q489" s="718"/>
      <c r="R489" s="662"/>
      <c r="S489" s="672"/>
      <c r="T489" s="672"/>
      <c r="U489" s="672"/>
      <c r="V489" s="672"/>
    </row>
    <row r="490">
      <c r="A490" s="705"/>
      <c r="B490" s="706"/>
      <c r="C490" s="707"/>
      <c r="D490" s="708"/>
      <c r="E490" s="707"/>
      <c r="F490" s="708"/>
      <c r="G490" s="709"/>
      <c r="H490" s="710"/>
      <c r="I490" s="706"/>
      <c r="J490" s="711"/>
      <c r="K490" s="711"/>
      <c r="L490" s="711"/>
      <c r="M490" s="706"/>
      <c r="N490" s="711"/>
      <c r="O490" s="655"/>
      <c r="P490" s="655"/>
      <c r="Q490" s="711"/>
      <c r="R490" s="655"/>
      <c r="S490" s="674"/>
      <c r="T490" s="674"/>
      <c r="U490" s="674"/>
      <c r="V490" s="674"/>
    </row>
    <row r="491">
      <c r="A491" s="712"/>
      <c r="B491" s="713"/>
      <c r="C491" s="714"/>
      <c r="D491" s="715"/>
      <c r="E491" s="714"/>
      <c r="F491" s="715"/>
      <c r="G491" s="716"/>
      <c r="H491" s="717"/>
      <c r="I491" s="713"/>
      <c r="J491" s="718"/>
      <c r="K491" s="718"/>
      <c r="L491" s="718"/>
      <c r="M491" s="713"/>
      <c r="N491" s="718"/>
      <c r="O491" s="662"/>
      <c r="P491" s="662"/>
      <c r="Q491" s="718"/>
      <c r="R491" s="662"/>
      <c r="S491" s="672"/>
      <c r="T491" s="672"/>
      <c r="U491" s="672"/>
      <c r="V491" s="672"/>
    </row>
    <row r="492">
      <c r="A492" s="705"/>
      <c r="B492" s="706"/>
      <c r="C492" s="707"/>
      <c r="D492" s="708"/>
      <c r="E492" s="707"/>
      <c r="F492" s="708"/>
      <c r="G492" s="709"/>
      <c r="H492" s="710"/>
      <c r="I492" s="706"/>
      <c r="J492" s="711"/>
      <c r="K492" s="711"/>
      <c r="L492" s="711"/>
      <c r="M492" s="706"/>
      <c r="N492" s="711"/>
      <c r="O492" s="655"/>
      <c r="P492" s="655"/>
      <c r="Q492" s="711"/>
      <c r="R492" s="655"/>
      <c r="S492" s="674"/>
      <c r="T492" s="674"/>
      <c r="U492" s="674"/>
      <c r="V492" s="674"/>
    </row>
    <row r="493">
      <c r="A493" s="712"/>
      <c r="B493" s="713"/>
      <c r="C493" s="714"/>
      <c r="D493" s="715"/>
      <c r="E493" s="714"/>
      <c r="F493" s="715"/>
      <c r="G493" s="716"/>
      <c r="H493" s="717"/>
      <c r="I493" s="713"/>
      <c r="J493" s="718"/>
      <c r="K493" s="718"/>
      <c r="L493" s="718"/>
      <c r="M493" s="713"/>
      <c r="N493" s="718"/>
      <c r="O493" s="662"/>
      <c r="P493" s="662"/>
      <c r="Q493" s="718"/>
      <c r="R493" s="662"/>
      <c r="S493" s="672"/>
      <c r="T493" s="672"/>
      <c r="U493" s="672"/>
      <c r="V493" s="672"/>
    </row>
    <row r="494">
      <c r="A494" s="705"/>
      <c r="B494" s="706"/>
      <c r="C494" s="707"/>
      <c r="D494" s="708"/>
      <c r="E494" s="707"/>
      <c r="F494" s="708"/>
      <c r="G494" s="709"/>
      <c r="H494" s="710"/>
      <c r="I494" s="706"/>
      <c r="J494" s="711"/>
      <c r="K494" s="711"/>
      <c r="L494" s="711"/>
      <c r="M494" s="706"/>
      <c r="N494" s="711"/>
      <c r="O494" s="655"/>
      <c r="P494" s="655"/>
      <c r="Q494" s="711"/>
      <c r="R494" s="655"/>
      <c r="S494" s="674"/>
      <c r="T494" s="674"/>
      <c r="U494" s="674"/>
      <c r="V494" s="674"/>
    </row>
    <row r="495">
      <c r="A495" s="712"/>
      <c r="B495" s="713"/>
      <c r="C495" s="714"/>
      <c r="D495" s="715"/>
      <c r="E495" s="714"/>
      <c r="F495" s="715"/>
      <c r="G495" s="716"/>
      <c r="H495" s="717"/>
      <c r="I495" s="713"/>
      <c r="J495" s="718"/>
      <c r="K495" s="718"/>
      <c r="L495" s="718"/>
      <c r="M495" s="713"/>
      <c r="N495" s="718"/>
      <c r="O495" s="662"/>
      <c r="P495" s="662"/>
      <c r="Q495" s="718"/>
      <c r="R495" s="662"/>
      <c r="S495" s="672"/>
      <c r="T495" s="672"/>
      <c r="U495" s="672"/>
      <c r="V495" s="672"/>
    </row>
    <row r="496">
      <c r="A496" s="705"/>
      <c r="B496" s="706"/>
      <c r="C496" s="707"/>
      <c r="D496" s="708"/>
      <c r="E496" s="707"/>
      <c r="F496" s="708"/>
      <c r="G496" s="709"/>
      <c r="H496" s="710"/>
      <c r="I496" s="706"/>
      <c r="J496" s="711"/>
      <c r="K496" s="711"/>
      <c r="L496" s="711"/>
      <c r="M496" s="706"/>
      <c r="N496" s="711"/>
      <c r="O496" s="655"/>
      <c r="P496" s="655"/>
      <c r="Q496" s="711"/>
      <c r="R496" s="655"/>
      <c r="S496" s="674"/>
      <c r="T496" s="674"/>
      <c r="U496" s="674"/>
      <c r="V496" s="674"/>
    </row>
    <row r="497">
      <c r="A497" s="712"/>
      <c r="B497" s="713"/>
      <c r="C497" s="714"/>
      <c r="D497" s="715"/>
      <c r="E497" s="714"/>
      <c r="F497" s="715"/>
      <c r="G497" s="716"/>
      <c r="H497" s="717"/>
      <c r="I497" s="713"/>
      <c r="J497" s="718"/>
      <c r="K497" s="718"/>
      <c r="L497" s="718"/>
      <c r="M497" s="713"/>
      <c r="N497" s="718"/>
      <c r="O497" s="662"/>
      <c r="P497" s="662"/>
      <c r="Q497" s="718"/>
      <c r="R497" s="662"/>
      <c r="S497" s="672"/>
      <c r="T497" s="672"/>
      <c r="U497" s="672"/>
      <c r="V497" s="672"/>
    </row>
    <row r="498">
      <c r="A498" s="705"/>
      <c r="B498" s="706"/>
      <c r="C498" s="707"/>
      <c r="D498" s="708"/>
      <c r="E498" s="707"/>
      <c r="F498" s="708"/>
      <c r="G498" s="709"/>
      <c r="H498" s="710"/>
      <c r="I498" s="706"/>
      <c r="J498" s="711"/>
      <c r="K498" s="711"/>
      <c r="L498" s="711"/>
      <c r="M498" s="706"/>
      <c r="N498" s="711"/>
      <c r="O498" s="655"/>
      <c r="P498" s="655"/>
      <c r="Q498" s="711"/>
      <c r="R498" s="655"/>
      <c r="S498" s="674"/>
      <c r="T498" s="674"/>
      <c r="U498" s="674"/>
      <c r="V498" s="674"/>
    </row>
    <row r="499">
      <c r="A499" s="712"/>
      <c r="B499" s="713"/>
      <c r="C499" s="714"/>
      <c r="D499" s="715"/>
      <c r="E499" s="714"/>
      <c r="F499" s="715"/>
      <c r="G499" s="716"/>
      <c r="H499" s="717"/>
      <c r="I499" s="713"/>
      <c r="J499" s="718"/>
      <c r="K499" s="718"/>
      <c r="L499" s="718"/>
      <c r="M499" s="713"/>
      <c r="N499" s="718"/>
      <c r="O499" s="662"/>
      <c r="P499" s="662"/>
      <c r="Q499" s="718"/>
      <c r="R499" s="662"/>
      <c r="S499" s="672"/>
      <c r="T499" s="672"/>
      <c r="U499" s="672"/>
      <c r="V499" s="672"/>
    </row>
    <row r="500">
      <c r="A500" s="705"/>
      <c r="B500" s="706"/>
      <c r="C500" s="707"/>
      <c r="D500" s="708"/>
      <c r="E500" s="707"/>
      <c r="F500" s="708"/>
      <c r="G500" s="709"/>
      <c r="H500" s="710"/>
      <c r="I500" s="706"/>
      <c r="J500" s="711"/>
      <c r="K500" s="711"/>
      <c r="L500" s="711"/>
      <c r="M500" s="706"/>
      <c r="N500" s="711"/>
      <c r="O500" s="655"/>
      <c r="P500" s="655"/>
      <c r="Q500" s="711"/>
      <c r="R500" s="655"/>
      <c r="S500" s="674"/>
      <c r="T500" s="674"/>
      <c r="U500" s="674"/>
      <c r="V500" s="674"/>
    </row>
    <row r="501">
      <c r="A501" s="712"/>
      <c r="B501" s="713"/>
      <c r="C501" s="714"/>
      <c r="D501" s="715"/>
      <c r="E501" s="714"/>
      <c r="F501" s="715"/>
      <c r="G501" s="716"/>
      <c r="H501" s="717"/>
      <c r="I501" s="713"/>
      <c r="J501" s="718"/>
      <c r="K501" s="718"/>
      <c r="L501" s="718"/>
      <c r="M501" s="713"/>
      <c r="N501" s="718"/>
      <c r="O501" s="662"/>
      <c r="P501" s="662"/>
      <c r="Q501" s="718"/>
      <c r="R501" s="662"/>
      <c r="S501" s="672"/>
      <c r="T501" s="672"/>
      <c r="U501" s="672"/>
      <c r="V501" s="672"/>
    </row>
    <row r="502">
      <c r="A502" s="705"/>
      <c r="B502" s="706"/>
      <c r="C502" s="707"/>
      <c r="D502" s="708"/>
      <c r="E502" s="707"/>
      <c r="F502" s="708"/>
      <c r="G502" s="709"/>
      <c r="H502" s="710"/>
      <c r="I502" s="706"/>
      <c r="J502" s="711"/>
      <c r="K502" s="711"/>
      <c r="L502" s="711"/>
      <c r="M502" s="706"/>
      <c r="N502" s="711"/>
      <c r="O502" s="655"/>
      <c r="P502" s="655"/>
      <c r="Q502" s="711"/>
      <c r="R502" s="655"/>
      <c r="S502" s="674"/>
      <c r="T502" s="674"/>
      <c r="U502" s="674"/>
      <c r="V502" s="674"/>
    </row>
    <row r="503">
      <c r="A503" s="712"/>
      <c r="B503" s="713"/>
      <c r="C503" s="714"/>
      <c r="D503" s="715"/>
      <c r="E503" s="714"/>
      <c r="F503" s="715"/>
      <c r="G503" s="716"/>
      <c r="H503" s="717"/>
      <c r="I503" s="713"/>
      <c r="J503" s="718"/>
      <c r="K503" s="718"/>
      <c r="L503" s="718"/>
      <c r="M503" s="713"/>
      <c r="N503" s="718"/>
      <c r="O503" s="662"/>
      <c r="P503" s="662"/>
      <c r="Q503" s="718"/>
      <c r="R503" s="662"/>
      <c r="S503" s="672"/>
      <c r="T503" s="672"/>
      <c r="U503" s="672"/>
      <c r="V503" s="672"/>
    </row>
    <row r="504">
      <c r="A504" s="705"/>
      <c r="B504" s="706"/>
      <c r="C504" s="707"/>
      <c r="D504" s="708"/>
      <c r="E504" s="707"/>
      <c r="F504" s="708"/>
      <c r="G504" s="709"/>
      <c r="H504" s="710"/>
      <c r="I504" s="706"/>
      <c r="J504" s="711"/>
      <c r="K504" s="711"/>
      <c r="L504" s="711"/>
      <c r="M504" s="706"/>
      <c r="N504" s="711"/>
      <c r="O504" s="655"/>
      <c r="P504" s="655"/>
      <c r="Q504" s="711"/>
      <c r="R504" s="655"/>
      <c r="S504" s="674"/>
      <c r="T504" s="674"/>
      <c r="U504" s="674"/>
      <c r="V504" s="674"/>
    </row>
    <row r="505">
      <c r="A505" s="712"/>
      <c r="B505" s="713"/>
      <c r="C505" s="714"/>
      <c r="D505" s="715"/>
      <c r="E505" s="714"/>
      <c r="F505" s="715"/>
      <c r="G505" s="716"/>
      <c r="H505" s="717"/>
      <c r="I505" s="713"/>
      <c r="J505" s="718"/>
      <c r="K505" s="718"/>
      <c r="L505" s="718"/>
      <c r="M505" s="713"/>
      <c r="N505" s="718"/>
      <c r="O505" s="662"/>
      <c r="P505" s="662"/>
      <c r="Q505" s="718"/>
      <c r="R505" s="662"/>
      <c r="S505" s="672"/>
      <c r="T505" s="672"/>
      <c r="U505" s="672"/>
      <c r="V505" s="672"/>
    </row>
    <row r="506">
      <c r="A506" s="705"/>
      <c r="B506" s="706"/>
      <c r="C506" s="707"/>
      <c r="D506" s="708"/>
      <c r="E506" s="707"/>
      <c r="F506" s="708"/>
      <c r="G506" s="709"/>
      <c r="H506" s="710"/>
      <c r="I506" s="706"/>
      <c r="J506" s="711"/>
      <c r="K506" s="711"/>
      <c r="L506" s="711"/>
      <c r="M506" s="706"/>
      <c r="N506" s="711"/>
      <c r="O506" s="655"/>
      <c r="P506" s="655"/>
      <c r="Q506" s="711"/>
      <c r="R506" s="655"/>
      <c r="S506" s="674"/>
      <c r="T506" s="674"/>
      <c r="U506" s="674"/>
      <c r="V506" s="674"/>
    </row>
    <row r="507">
      <c r="A507" s="712"/>
      <c r="B507" s="713"/>
      <c r="C507" s="714"/>
      <c r="D507" s="715"/>
      <c r="E507" s="714"/>
      <c r="F507" s="715"/>
      <c r="G507" s="716"/>
      <c r="H507" s="717"/>
      <c r="I507" s="713"/>
      <c r="J507" s="718"/>
      <c r="K507" s="718"/>
      <c r="L507" s="718"/>
      <c r="M507" s="713"/>
      <c r="N507" s="718"/>
      <c r="O507" s="662"/>
      <c r="P507" s="662"/>
      <c r="Q507" s="718"/>
      <c r="R507" s="662"/>
      <c r="S507" s="672"/>
      <c r="T507" s="672"/>
      <c r="U507" s="672"/>
      <c r="V507" s="672"/>
    </row>
    <row r="508">
      <c r="A508" s="705"/>
      <c r="B508" s="706"/>
      <c r="C508" s="707"/>
      <c r="D508" s="708"/>
      <c r="E508" s="707"/>
      <c r="F508" s="708"/>
      <c r="G508" s="709"/>
      <c r="H508" s="710"/>
      <c r="I508" s="706"/>
      <c r="J508" s="711"/>
      <c r="K508" s="711"/>
      <c r="L508" s="711"/>
      <c r="M508" s="706"/>
      <c r="N508" s="711"/>
      <c r="O508" s="655"/>
      <c r="P508" s="655"/>
      <c r="Q508" s="711"/>
      <c r="R508" s="655"/>
      <c r="S508" s="674"/>
      <c r="T508" s="674"/>
      <c r="U508" s="674"/>
      <c r="V508" s="674"/>
    </row>
    <row r="509">
      <c r="A509" s="712"/>
      <c r="B509" s="713"/>
      <c r="C509" s="714"/>
      <c r="D509" s="715"/>
      <c r="E509" s="714"/>
      <c r="F509" s="715"/>
      <c r="G509" s="716"/>
      <c r="H509" s="717"/>
      <c r="I509" s="713"/>
      <c r="J509" s="718"/>
      <c r="K509" s="718"/>
      <c r="L509" s="718"/>
      <c r="M509" s="713"/>
      <c r="N509" s="718"/>
      <c r="O509" s="662"/>
      <c r="P509" s="662"/>
      <c r="Q509" s="718"/>
      <c r="R509" s="662"/>
      <c r="S509" s="672"/>
      <c r="T509" s="672"/>
      <c r="U509" s="672"/>
      <c r="V509" s="672"/>
    </row>
    <row r="510">
      <c r="A510" s="705"/>
      <c r="B510" s="706"/>
      <c r="C510" s="707"/>
      <c r="D510" s="708"/>
      <c r="E510" s="707"/>
      <c r="F510" s="708"/>
      <c r="G510" s="709"/>
      <c r="H510" s="710"/>
      <c r="I510" s="706"/>
      <c r="J510" s="711"/>
      <c r="K510" s="711"/>
      <c r="L510" s="711"/>
      <c r="M510" s="706"/>
      <c r="N510" s="711"/>
      <c r="O510" s="655"/>
      <c r="P510" s="655"/>
      <c r="Q510" s="711"/>
      <c r="R510" s="655"/>
      <c r="S510" s="674"/>
      <c r="T510" s="674"/>
      <c r="U510" s="674"/>
      <c r="V510" s="674"/>
    </row>
    <row r="511">
      <c r="A511" s="712"/>
      <c r="B511" s="713"/>
      <c r="C511" s="714"/>
      <c r="D511" s="715"/>
      <c r="E511" s="714"/>
      <c r="F511" s="715"/>
      <c r="G511" s="716"/>
      <c r="H511" s="717"/>
      <c r="I511" s="713"/>
      <c r="J511" s="718"/>
      <c r="K511" s="718"/>
      <c r="L511" s="718"/>
      <c r="M511" s="713"/>
      <c r="N511" s="718"/>
      <c r="O511" s="662"/>
      <c r="P511" s="662"/>
      <c r="Q511" s="718"/>
      <c r="R511" s="662"/>
      <c r="S511" s="672"/>
      <c r="T511" s="672"/>
      <c r="U511" s="672"/>
      <c r="V511" s="672"/>
    </row>
    <row r="512">
      <c r="A512" s="705"/>
      <c r="B512" s="706"/>
      <c r="C512" s="707"/>
      <c r="D512" s="708"/>
      <c r="E512" s="707"/>
      <c r="F512" s="708"/>
      <c r="G512" s="709"/>
      <c r="H512" s="710"/>
      <c r="I512" s="706"/>
      <c r="J512" s="711"/>
      <c r="K512" s="711"/>
      <c r="L512" s="711"/>
      <c r="M512" s="706"/>
      <c r="N512" s="711"/>
      <c r="O512" s="655"/>
      <c r="P512" s="655"/>
      <c r="Q512" s="711"/>
      <c r="R512" s="655"/>
      <c r="S512" s="674"/>
      <c r="T512" s="674"/>
      <c r="U512" s="674"/>
      <c r="V512" s="674"/>
    </row>
    <row r="513">
      <c r="A513" s="712"/>
      <c r="B513" s="713"/>
      <c r="C513" s="714"/>
      <c r="D513" s="715"/>
      <c r="E513" s="714"/>
      <c r="F513" s="715"/>
      <c r="G513" s="716"/>
      <c r="H513" s="717"/>
      <c r="I513" s="713"/>
      <c r="J513" s="718"/>
      <c r="K513" s="718"/>
      <c r="L513" s="718"/>
      <c r="M513" s="713"/>
      <c r="N513" s="718"/>
      <c r="O513" s="662"/>
      <c r="P513" s="662"/>
      <c r="Q513" s="718"/>
      <c r="R513" s="662"/>
      <c r="S513" s="672"/>
      <c r="T513" s="672"/>
      <c r="U513" s="672"/>
      <c r="V513" s="672"/>
    </row>
    <row r="514">
      <c r="A514" s="705"/>
      <c r="B514" s="706"/>
      <c r="C514" s="707"/>
      <c r="D514" s="708"/>
      <c r="E514" s="707"/>
      <c r="F514" s="708"/>
      <c r="G514" s="709"/>
      <c r="H514" s="710"/>
      <c r="I514" s="706"/>
      <c r="J514" s="711"/>
      <c r="K514" s="711"/>
      <c r="L514" s="711"/>
      <c r="M514" s="706"/>
      <c r="N514" s="711"/>
      <c r="O514" s="655"/>
      <c r="P514" s="655"/>
      <c r="Q514" s="711"/>
      <c r="R514" s="655"/>
      <c r="S514" s="674"/>
      <c r="T514" s="674"/>
      <c r="U514" s="674"/>
      <c r="V514" s="674"/>
    </row>
    <row r="515">
      <c r="A515" s="712"/>
      <c r="B515" s="713"/>
      <c r="C515" s="714"/>
      <c r="D515" s="715"/>
      <c r="E515" s="714"/>
      <c r="F515" s="715"/>
      <c r="G515" s="716"/>
      <c r="H515" s="717"/>
      <c r="I515" s="713"/>
      <c r="J515" s="718"/>
      <c r="K515" s="718"/>
      <c r="L515" s="718"/>
      <c r="M515" s="713"/>
      <c r="N515" s="718"/>
      <c r="O515" s="662"/>
      <c r="P515" s="662"/>
      <c r="Q515" s="718"/>
      <c r="R515" s="662"/>
      <c r="S515" s="672"/>
      <c r="T515" s="672"/>
      <c r="U515" s="672"/>
      <c r="V515" s="672"/>
    </row>
    <row r="516">
      <c r="A516" s="705"/>
      <c r="B516" s="706"/>
      <c r="C516" s="707"/>
      <c r="D516" s="708"/>
      <c r="E516" s="707"/>
      <c r="F516" s="708"/>
      <c r="G516" s="709"/>
      <c r="H516" s="710"/>
      <c r="I516" s="706"/>
      <c r="J516" s="711"/>
      <c r="K516" s="711"/>
      <c r="L516" s="711"/>
      <c r="M516" s="706"/>
      <c r="N516" s="711"/>
      <c r="O516" s="655"/>
      <c r="P516" s="655"/>
      <c r="Q516" s="711"/>
      <c r="R516" s="655"/>
      <c r="S516" s="674"/>
      <c r="T516" s="674"/>
      <c r="U516" s="674"/>
      <c r="V516" s="674"/>
    </row>
    <row r="517">
      <c r="A517" s="712"/>
      <c r="B517" s="713"/>
      <c r="C517" s="714"/>
      <c r="D517" s="715"/>
      <c r="E517" s="714"/>
      <c r="F517" s="715"/>
      <c r="G517" s="716"/>
      <c r="H517" s="717"/>
      <c r="I517" s="713"/>
      <c r="J517" s="718"/>
      <c r="K517" s="718"/>
      <c r="L517" s="718"/>
      <c r="M517" s="713"/>
      <c r="N517" s="718"/>
      <c r="O517" s="662"/>
      <c r="P517" s="662"/>
      <c r="Q517" s="718"/>
      <c r="R517" s="662"/>
      <c r="S517" s="672"/>
      <c r="T517" s="672"/>
      <c r="U517" s="672"/>
      <c r="V517" s="672"/>
    </row>
    <row r="518">
      <c r="A518" s="705"/>
      <c r="B518" s="706"/>
      <c r="C518" s="707"/>
      <c r="D518" s="708"/>
      <c r="E518" s="707"/>
      <c r="F518" s="708"/>
      <c r="G518" s="709"/>
      <c r="H518" s="710"/>
      <c r="I518" s="706"/>
      <c r="J518" s="711"/>
      <c r="K518" s="711"/>
      <c r="L518" s="711"/>
      <c r="M518" s="706"/>
      <c r="N518" s="711"/>
      <c r="O518" s="655"/>
      <c r="P518" s="655"/>
      <c r="Q518" s="711"/>
      <c r="R518" s="655"/>
      <c r="S518" s="674"/>
      <c r="T518" s="674"/>
      <c r="U518" s="674"/>
      <c r="V518" s="674"/>
    </row>
    <row r="519">
      <c r="A519" s="712"/>
      <c r="B519" s="713"/>
      <c r="C519" s="714"/>
      <c r="D519" s="715"/>
      <c r="E519" s="714"/>
      <c r="F519" s="715"/>
      <c r="G519" s="716"/>
      <c r="H519" s="717"/>
      <c r="I519" s="713"/>
      <c r="J519" s="718"/>
      <c r="K519" s="718"/>
      <c r="L519" s="718"/>
      <c r="M519" s="713"/>
      <c r="N519" s="718"/>
      <c r="O519" s="662"/>
      <c r="P519" s="662"/>
      <c r="Q519" s="718"/>
      <c r="R519" s="662"/>
      <c r="S519" s="672"/>
      <c r="T519" s="672"/>
      <c r="U519" s="672"/>
      <c r="V519" s="672"/>
    </row>
    <row r="520">
      <c r="A520" s="705"/>
      <c r="B520" s="706"/>
      <c r="C520" s="707"/>
      <c r="D520" s="708"/>
      <c r="E520" s="707"/>
      <c r="F520" s="708"/>
      <c r="G520" s="709"/>
      <c r="H520" s="710"/>
      <c r="I520" s="706"/>
      <c r="J520" s="711"/>
      <c r="K520" s="711"/>
      <c r="L520" s="711"/>
      <c r="M520" s="706"/>
      <c r="N520" s="711"/>
      <c r="O520" s="655"/>
      <c r="P520" s="655"/>
      <c r="Q520" s="711"/>
      <c r="R520" s="655"/>
      <c r="S520" s="674"/>
      <c r="T520" s="674"/>
      <c r="U520" s="674"/>
      <c r="V520" s="674"/>
    </row>
    <row r="521">
      <c r="A521" s="712"/>
      <c r="B521" s="713"/>
      <c r="C521" s="714"/>
      <c r="D521" s="715"/>
      <c r="E521" s="714"/>
      <c r="F521" s="715"/>
      <c r="G521" s="716"/>
      <c r="H521" s="717"/>
      <c r="I521" s="713"/>
      <c r="J521" s="718"/>
      <c r="K521" s="718"/>
      <c r="L521" s="718"/>
      <c r="M521" s="713"/>
      <c r="N521" s="718"/>
      <c r="O521" s="662"/>
      <c r="P521" s="662"/>
      <c r="Q521" s="718"/>
      <c r="R521" s="662"/>
      <c r="S521" s="672"/>
      <c r="T521" s="672"/>
      <c r="U521" s="672"/>
      <c r="V521" s="672"/>
    </row>
    <row r="522">
      <c r="A522" s="705"/>
      <c r="B522" s="706"/>
      <c r="C522" s="707"/>
      <c r="D522" s="708"/>
      <c r="E522" s="707"/>
      <c r="F522" s="708"/>
      <c r="G522" s="709"/>
      <c r="H522" s="710"/>
      <c r="I522" s="706"/>
      <c r="J522" s="711"/>
      <c r="K522" s="711"/>
      <c r="L522" s="711"/>
      <c r="M522" s="706"/>
      <c r="N522" s="711"/>
      <c r="O522" s="655"/>
      <c r="P522" s="655"/>
      <c r="Q522" s="711"/>
      <c r="R522" s="655"/>
      <c r="S522" s="674"/>
      <c r="T522" s="674"/>
      <c r="U522" s="674"/>
      <c r="V522" s="674"/>
    </row>
    <row r="523">
      <c r="A523" s="712"/>
      <c r="B523" s="713"/>
      <c r="C523" s="714"/>
      <c r="D523" s="715"/>
      <c r="E523" s="714"/>
      <c r="F523" s="715"/>
      <c r="G523" s="716"/>
      <c r="H523" s="717"/>
      <c r="I523" s="713"/>
      <c r="J523" s="718"/>
      <c r="K523" s="718"/>
      <c r="L523" s="718"/>
      <c r="M523" s="713"/>
      <c r="N523" s="718"/>
      <c r="O523" s="662"/>
      <c r="P523" s="662"/>
      <c r="Q523" s="718"/>
      <c r="R523" s="662"/>
      <c r="S523" s="672"/>
      <c r="T523" s="672"/>
      <c r="U523" s="672"/>
      <c r="V523" s="672"/>
    </row>
    <row r="524">
      <c r="A524" s="705"/>
      <c r="B524" s="706"/>
      <c r="C524" s="707"/>
      <c r="D524" s="708"/>
      <c r="E524" s="707"/>
      <c r="F524" s="708"/>
      <c r="G524" s="709"/>
      <c r="H524" s="710"/>
      <c r="I524" s="706"/>
      <c r="J524" s="711"/>
      <c r="K524" s="711"/>
      <c r="L524" s="711"/>
      <c r="M524" s="706"/>
      <c r="N524" s="711"/>
      <c r="O524" s="655"/>
      <c r="P524" s="655"/>
      <c r="Q524" s="711"/>
      <c r="R524" s="655"/>
      <c r="S524" s="674"/>
      <c r="T524" s="674"/>
      <c r="U524" s="674"/>
      <c r="V524" s="674"/>
    </row>
    <row r="525">
      <c r="A525" s="712"/>
      <c r="B525" s="713"/>
      <c r="C525" s="714"/>
      <c r="D525" s="715"/>
      <c r="E525" s="714"/>
      <c r="F525" s="715"/>
      <c r="G525" s="716"/>
      <c r="H525" s="717"/>
      <c r="I525" s="713"/>
      <c r="J525" s="718"/>
      <c r="K525" s="718"/>
      <c r="L525" s="718"/>
      <c r="M525" s="713"/>
      <c r="N525" s="718"/>
      <c r="O525" s="662"/>
      <c r="P525" s="662"/>
      <c r="Q525" s="718"/>
      <c r="R525" s="662"/>
      <c r="S525" s="672"/>
      <c r="T525" s="672"/>
      <c r="U525" s="672"/>
      <c r="V525" s="672"/>
    </row>
    <row r="526">
      <c r="A526" s="705"/>
      <c r="B526" s="706"/>
      <c r="C526" s="707"/>
      <c r="D526" s="708"/>
      <c r="E526" s="707"/>
      <c r="F526" s="708"/>
      <c r="G526" s="709"/>
      <c r="H526" s="710"/>
      <c r="I526" s="706"/>
      <c r="J526" s="711"/>
      <c r="K526" s="711"/>
      <c r="L526" s="711"/>
      <c r="M526" s="706"/>
      <c r="N526" s="711"/>
      <c r="O526" s="655"/>
      <c r="P526" s="655"/>
      <c r="Q526" s="711"/>
      <c r="R526" s="655"/>
      <c r="S526" s="674"/>
      <c r="T526" s="674"/>
      <c r="U526" s="674"/>
      <c r="V526" s="674"/>
    </row>
    <row r="527">
      <c r="A527" s="712"/>
      <c r="B527" s="713"/>
      <c r="C527" s="714"/>
      <c r="D527" s="715"/>
      <c r="E527" s="714"/>
      <c r="F527" s="715"/>
      <c r="G527" s="716"/>
      <c r="H527" s="717"/>
      <c r="I527" s="713"/>
      <c r="J527" s="718"/>
      <c r="K527" s="718"/>
      <c r="L527" s="718"/>
      <c r="M527" s="713"/>
      <c r="N527" s="718"/>
      <c r="O527" s="662"/>
      <c r="P527" s="662"/>
      <c r="Q527" s="718"/>
      <c r="R527" s="662"/>
      <c r="S527" s="672"/>
      <c r="T527" s="672"/>
      <c r="U527" s="672"/>
      <c r="V527" s="672"/>
    </row>
    <row r="528">
      <c r="A528" s="705"/>
      <c r="B528" s="706"/>
      <c r="C528" s="707"/>
      <c r="D528" s="708"/>
      <c r="E528" s="707"/>
      <c r="F528" s="708"/>
      <c r="G528" s="709"/>
      <c r="H528" s="710"/>
      <c r="I528" s="706"/>
      <c r="J528" s="711"/>
      <c r="K528" s="711"/>
      <c r="L528" s="711"/>
      <c r="M528" s="706"/>
      <c r="N528" s="711"/>
      <c r="O528" s="655"/>
      <c r="P528" s="655"/>
      <c r="Q528" s="711"/>
      <c r="R528" s="655"/>
      <c r="S528" s="674"/>
      <c r="T528" s="674"/>
      <c r="U528" s="674"/>
      <c r="V528" s="674"/>
    </row>
    <row r="529">
      <c r="A529" s="712"/>
      <c r="B529" s="713"/>
      <c r="C529" s="714"/>
      <c r="D529" s="715"/>
      <c r="E529" s="714"/>
      <c r="F529" s="715"/>
      <c r="G529" s="716"/>
      <c r="H529" s="717"/>
      <c r="I529" s="713"/>
      <c r="J529" s="718"/>
      <c r="K529" s="718"/>
      <c r="L529" s="718"/>
      <c r="M529" s="713"/>
      <c r="N529" s="718"/>
      <c r="O529" s="662"/>
      <c r="P529" s="662"/>
      <c r="Q529" s="718"/>
      <c r="R529" s="662"/>
      <c r="S529" s="672"/>
      <c r="T529" s="672"/>
      <c r="U529" s="672"/>
      <c r="V529" s="672"/>
    </row>
    <row r="530">
      <c r="A530" s="705"/>
      <c r="B530" s="706"/>
      <c r="C530" s="707"/>
      <c r="D530" s="708"/>
      <c r="E530" s="707"/>
      <c r="F530" s="708"/>
      <c r="G530" s="709"/>
      <c r="H530" s="710"/>
      <c r="I530" s="706"/>
      <c r="J530" s="711"/>
      <c r="K530" s="711"/>
      <c r="L530" s="711"/>
      <c r="M530" s="706"/>
      <c r="N530" s="711"/>
      <c r="O530" s="655"/>
      <c r="P530" s="655"/>
      <c r="Q530" s="711"/>
      <c r="R530" s="655"/>
      <c r="S530" s="674"/>
      <c r="T530" s="674"/>
      <c r="U530" s="674"/>
      <c r="V530" s="674"/>
    </row>
    <row r="531">
      <c r="A531" s="712"/>
      <c r="B531" s="713"/>
      <c r="C531" s="714"/>
      <c r="D531" s="715"/>
      <c r="E531" s="714"/>
      <c r="F531" s="715"/>
      <c r="G531" s="716"/>
      <c r="H531" s="717"/>
      <c r="I531" s="713"/>
      <c r="J531" s="718"/>
      <c r="K531" s="718"/>
      <c r="L531" s="718"/>
      <c r="M531" s="713"/>
      <c r="N531" s="718"/>
      <c r="O531" s="662"/>
      <c r="P531" s="662"/>
      <c r="Q531" s="718"/>
      <c r="R531" s="662"/>
      <c r="S531" s="672"/>
      <c r="T531" s="672"/>
      <c r="U531" s="672"/>
      <c r="V531" s="672"/>
    </row>
    <row r="532">
      <c r="A532" s="705"/>
      <c r="B532" s="706"/>
      <c r="C532" s="707"/>
      <c r="D532" s="708"/>
      <c r="E532" s="707"/>
      <c r="F532" s="708"/>
      <c r="G532" s="709"/>
      <c r="H532" s="710"/>
      <c r="I532" s="706"/>
      <c r="J532" s="711"/>
      <c r="K532" s="711"/>
      <c r="L532" s="711"/>
      <c r="M532" s="706"/>
      <c r="N532" s="711"/>
      <c r="O532" s="655"/>
      <c r="P532" s="655"/>
      <c r="Q532" s="711"/>
      <c r="R532" s="655"/>
      <c r="S532" s="674"/>
      <c r="T532" s="674"/>
      <c r="U532" s="674"/>
      <c r="V532" s="674"/>
    </row>
    <row r="533">
      <c r="A533" s="712"/>
      <c r="B533" s="713"/>
      <c r="C533" s="714"/>
      <c r="D533" s="715"/>
      <c r="E533" s="714"/>
      <c r="F533" s="715"/>
      <c r="G533" s="716"/>
      <c r="H533" s="717"/>
      <c r="I533" s="713"/>
      <c r="J533" s="718"/>
      <c r="K533" s="718"/>
      <c r="L533" s="718"/>
      <c r="M533" s="713"/>
      <c r="N533" s="718"/>
      <c r="O533" s="662"/>
      <c r="P533" s="662"/>
      <c r="Q533" s="718"/>
      <c r="R533" s="662"/>
      <c r="S533" s="672"/>
      <c r="T533" s="672"/>
      <c r="U533" s="672"/>
      <c r="V533" s="672"/>
    </row>
    <row r="534">
      <c r="A534" s="705"/>
      <c r="B534" s="706"/>
      <c r="C534" s="707"/>
      <c r="D534" s="708"/>
      <c r="E534" s="707"/>
      <c r="F534" s="708"/>
      <c r="G534" s="709"/>
      <c r="H534" s="710"/>
      <c r="I534" s="706"/>
      <c r="J534" s="711"/>
      <c r="K534" s="711"/>
      <c r="L534" s="711"/>
      <c r="M534" s="706"/>
      <c r="N534" s="711"/>
      <c r="O534" s="655"/>
      <c r="P534" s="655"/>
      <c r="Q534" s="711"/>
      <c r="R534" s="655"/>
      <c r="S534" s="674"/>
      <c r="T534" s="674"/>
      <c r="U534" s="674"/>
      <c r="V534" s="674"/>
    </row>
    <row r="535">
      <c r="A535" s="712"/>
      <c r="B535" s="713"/>
      <c r="C535" s="714"/>
      <c r="D535" s="715"/>
      <c r="E535" s="714"/>
      <c r="F535" s="715"/>
      <c r="G535" s="716"/>
      <c r="H535" s="717"/>
      <c r="I535" s="713"/>
      <c r="J535" s="718"/>
      <c r="K535" s="718"/>
      <c r="L535" s="718"/>
      <c r="M535" s="713"/>
      <c r="N535" s="718"/>
      <c r="O535" s="662"/>
      <c r="P535" s="662"/>
      <c r="Q535" s="718"/>
      <c r="R535" s="662"/>
      <c r="S535" s="672"/>
      <c r="T535" s="672"/>
      <c r="U535" s="672"/>
      <c r="V535" s="672"/>
    </row>
    <row r="536">
      <c r="A536" s="705"/>
      <c r="B536" s="706"/>
      <c r="C536" s="707"/>
      <c r="D536" s="708"/>
      <c r="E536" s="707"/>
      <c r="F536" s="708"/>
      <c r="G536" s="709"/>
      <c r="H536" s="710"/>
      <c r="I536" s="706"/>
      <c r="J536" s="711"/>
      <c r="K536" s="711"/>
      <c r="L536" s="711"/>
      <c r="M536" s="706"/>
      <c r="N536" s="711"/>
      <c r="O536" s="655"/>
      <c r="P536" s="655"/>
      <c r="Q536" s="711"/>
      <c r="R536" s="655"/>
      <c r="S536" s="674"/>
      <c r="T536" s="674"/>
      <c r="U536" s="674"/>
      <c r="V536" s="674"/>
    </row>
    <row r="537">
      <c r="A537" s="712"/>
      <c r="B537" s="713"/>
      <c r="C537" s="714"/>
      <c r="D537" s="715"/>
      <c r="E537" s="714"/>
      <c r="F537" s="715"/>
      <c r="G537" s="716"/>
      <c r="H537" s="717"/>
      <c r="I537" s="713"/>
      <c r="J537" s="718"/>
      <c r="K537" s="718"/>
      <c r="L537" s="718"/>
      <c r="M537" s="713"/>
      <c r="N537" s="718"/>
      <c r="O537" s="662"/>
      <c r="P537" s="662"/>
      <c r="Q537" s="718"/>
      <c r="R537" s="662"/>
      <c r="S537" s="672"/>
      <c r="T537" s="672"/>
      <c r="U537" s="672"/>
      <c r="V537" s="672"/>
    </row>
    <row r="538">
      <c r="A538" s="705"/>
      <c r="B538" s="706"/>
      <c r="C538" s="707"/>
      <c r="D538" s="708"/>
      <c r="E538" s="707"/>
      <c r="F538" s="708"/>
      <c r="G538" s="709"/>
      <c r="H538" s="710"/>
      <c r="I538" s="706"/>
      <c r="J538" s="711"/>
      <c r="K538" s="711"/>
      <c r="L538" s="711"/>
      <c r="M538" s="706"/>
      <c r="N538" s="711"/>
      <c r="O538" s="655"/>
      <c r="P538" s="655"/>
      <c r="Q538" s="711"/>
      <c r="R538" s="655"/>
      <c r="S538" s="674"/>
      <c r="T538" s="674"/>
      <c r="U538" s="674"/>
      <c r="V538" s="674"/>
    </row>
    <row r="539">
      <c r="A539" s="712"/>
      <c r="B539" s="713"/>
      <c r="C539" s="714"/>
      <c r="D539" s="715"/>
      <c r="E539" s="714"/>
      <c r="F539" s="715"/>
      <c r="G539" s="716"/>
      <c r="H539" s="717"/>
      <c r="I539" s="713"/>
      <c r="J539" s="718"/>
      <c r="K539" s="718"/>
      <c r="L539" s="718"/>
      <c r="M539" s="713"/>
      <c r="N539" s="718"/>
      <c r="O539" s="662"/>
      <c r="P539" s="662"/>
      <c r="Q539" s="718"/>
      <c r="R539" s="662"/>
      <c r="S539" s="672"/>
      <c r="T539" s="672"/>
      <c r="U539" s="672"/>
      <c r="V539" s="672"/>
    </row>
    <row r="540">
      <c r="A540" s="705"/>
      <c r="B540" s="706"/>
      <c r="C540" s="707"/>
      <c r="D540" s="708"/>
      <c r="E540" s="707"/>
      <c r="F540" s="708"/>
      <c r="G540" s="709"/>
      <c r="H540" s="710"/>
      <c r="I540" s="706"/>
      <c r="J540" s="711"/>
      <c r="K540" s="711"/>
      <c r="L540" s="711"/>
      <c r="M540" s="706"/>
      <c r="N540" s="711"/>
      <c r="O540" s="655"/>
      <c r="P540" s="655"/>
      <c r="Q540" s="711"/>
      <c r="R540" s="655"/>
      <c r="S540" s="674"/>
      <c r="T540" s="674"/>
      <c r="U540" s="674"/>
      <c r="V540" s="674"/>
    </row>
    <row r="541">
      <c r="A541" s="712"/>
      <c r="B541" s="713"/>
      <c r="C541" s="714"/>
      <c r="D541" s="715"/>
      <c r="E541" s="714"/>
      <c r="F541" s="715"/>
      <c r="G541" s="716"/>
      <c r="H541" s="717"/>
      <c r="I541" s="713"/>
      <c r="J541" s="718"/>
      <c r="K541" s="718"/>
      <c r="L541" s="718"/>
      <c r="M541" s="713"/>
      <c r="N541" s="718"/>
      <c r="O541" s="662"/>
      <c r="P541" s="662"/>
      <c r="Q541" s="718"/>
      <c r="R541" s="662"/>
      <c r="S541" s="672"/>
      <c r="T541" s="672"/>
      <c r="U541" s="672"/>
      <c r="V541" s="672"/>
    </row>
    <row r="542">
      <c r="A542" s="705"/>
      <c r="B542" s="706"/>
      <c r="C542" s="707"/>
      <c r="D542" s="708"/>
      <c r="E542" s="707"/>
      <c r="F542" s="708"/>
      <c r="G542" s="709"/>
      <c r="H542" s="710"/>
      <c r="I542" s="706"/>
      <c r="J542" s="711"/>
      <c r="K542" s="711"/>
      <c r="L542" s="711"/>
      <c r="M542" s="706"/>
      <c r="N542" s="711"/>
      <c r="O542" s="655"/>
      <c r="P542" s="655"/>
      <c r="Q542" s="711"/>
      <c r="R542" s="655"/>
      <c r="S542" s="674"/>
      <c r="T542" s="674"/>
      <c r="U542" s="674"/>
      <c r="V542" s="674"/>
    </row>
    <row r="543">
      <c r="A543" s="712"/>
      <c r="B543" s="713"/>
      <c r="C543" s="714"/>
      <c r="D543" s="715"/>
      <c r="E543" s="714"/>
      <c r="F543" s="715"/>
      <c r="G543" s="716"/>
      <c r="H543" s="717"/>
      <c r="I543" s="713"/>
      <c r="J543" s="718"/>
      <c r="K543" s="718"/>
      <c r="L543" s="718"/>
      <c r="M543" s="713"/>
      <c r="N543" s="718"/>
      <c r="O543" s="662"/>
      <c r="P543" s="662"/>
      <c r="Q543" s="718"/>
      <c r="R543" s="662"/>
      <c r="S543" s="672"/>
      <c r="T543" s="672"/>
      <c r="U543" s="672"/>
      <c r="V543" s="672"/>
    </row>
    <row r="544">
      <c r="A544" s="705"/>
      <c r="B544" s="706"/>
      <c r="C544" s="707"/>
      <c r="D544" s="708"/>
      <c r="E544" s="707"/>
      <c r="F544" s="708"/>
      <c r="G544" s="709"/>
      <c r="H544" s="710"/>
      <c r="I544" s="706"/>
      <c r="J544" s="711"/>
      <c r="K544" s="711"/>
      <c r="L544" s="711"/>
      <c r="M544" s="706"/>
      <c r="N544" s="711"/>
      <c r="O544" s="655"/>
      <c r="P544" s="655"/>
      <c r="Q544" s="711"/>
      <c r="R544" s="655"/>
      <c r="S544" s="674"/>
      <c r="T544" s="674"/>
      <c r="U544" s="674"/>
      <c r="V544" s="674"/>
    </row>
    <row r="545">
      <c r="A545" s="712"/>
      <c r="B545" s="713"/>
      <c r="C545" s="714"/>
      <c r="D545" s="715"/>
      <c r="E545" s="714"/>
      <c r="F545" s="715"/>
      <c r="G545" s="716"/>
      <c r="H545" s="717"/>
      <c r="I545" s="713"/>
      <c r="J545" s="718"/>
      <c r="K545" s="718"/>
      <c r="L545" s="718"/>
      <c r="M545" s="713"/>
      <c r="N545" s="718"/>
      <c r="O545" s="662"/>
      <c r="P545" s="662"/>
      <c r="Q545" s="718"/>
      <c r="R545" s="662"/>
      <c r="S545" s="672"/>
      <c r="T545" s="672"/>
      <c r="U545" s="672"/>
      <c r="V545" s="672"/>
    </row>
    <row r="546">
      <c r="A546" s="705"/>
      <c r="B546" s="706"/>
      <c r="C546" s="707"/>
      <c r="D546" s="708"/>
      <c r="E546" s="707"/>
      <c r="F546" s="708"/>
      <c r="G546" s="709"/>
      <c r="H546" s="710"/>
      <c r="I546" s="706"/>
      <c r="J546" s="711"/>
      <c r="K546" s="711"/>
      <c r="L546" s="711"/>
      <c r="M546" s="706"/>
      <c r="N546" s="711"/>
      <c r="O546" s="655"/>
      <c r="P546" s="655"/>
      <c r="Q546" s="711"/>
      <c r="R546" s="655"/>
      <c r="S546" s="674"/>
      <c r="T546" s="674"/>
      <c r="U546" s="674"/>
      <c r="V546" s="674"/>
    </row>
    <row r="547">
      <c r="A547" s="712"/>
      <c r="B547" s="713"/>
      <c r="C547" s="714"/>
      <c r="D547" s="715"/>
      <c r="E547" s="714"/>
      <c r="F547" s="715"/>
      <c r="G547" s="716"/>
      <c r="H547" s="717"/>
      <c r="I547" s="713"/>
      <c r="J547" s="718"/>
      <c r="K547" s="718"/>
      <c r="L547" s="718"/>
      <c r="M547" s="713"/>
      <c r="N547" s="718"/>
      <c r="O547" s="662"/>
      <c r="P547" s="662"/>
      <c r="Q547" s="718"/>
      <c r="R547" s="662"/>
      <c r="S547" s="672"/>
      <c r="T547" s="672"/>
      <c r="U547" s="672"/>
      <c r="V547" s="672"/>
    </row>
    <row r="548">
      <c r="A548" s="705"/>
      <c r="B548" s="706"/>
      <c r="C548" s="707"/>
      <c r="D548" s="708"/>
      <c r="E548" s="707"/>
      <c r="F548" s="708"/>
      <c r="G548" s="709"/>
      <c r="H548" s="710"/>
      <c r="I548" s="706"/>
      <c r="J548" s="711"/>
      <c r="K548" s="711"/>
      <c r="L548" s="711"/>
      <c r="M548" s="706"/>
      <c r="N548" s="711"/>
      <c r="O548" s="655"/>
      <c r="P548" s="655"/>
      <c r="Q548" s="711"/>
      <c r="R548" s="655"/>
      <c r="S548" s="674"/>
      <c r="T548" s="674"/>
      <c r="U548" s="674"/>
      <c r="V548" s="674"/>
    </row>
    <row r="549">
      <c r="A549" s="712"/>
      <c r="B549" s="713"/>
      <c r="C549" s="714"/>
      <c r="D549" s="715"/>
      <c r="E549" s="714"/>
      <c r="F549" s="715"/>
      <c r="G549" s="716"/>
      <c r="H549" s="717"/>
      <c r="I549" s="713"/>
      <c r="J549" s="718"/>
      <c r="K549" s="718"/>
      <c r="L549" s="718"/>
      <c r="M549" s="713"/>
      <c r="N549" s="718"/>
      <c r="O549" s="662"/>
      <c r="P549" s="662"/>
      <c r="Q549" s="718"/>
      <c r="R549" s="662"/>
      <c r="S549" s="672"/>
      <c r="T549" s="672"/>
      <c r="U549" s="672"/>
      <c r="V549" s="672"/>
    </row>
    <row r="550">
      <c r="A550" s="705"/>
      <c r="B550" s="706"/>
      <c r="C550" s="707"/>
      <c r="D550" s="708"/>
      <c r="E550" s="707"/>
      <c r="F550" s="708"/>
      <c r="G550" s="709"/>
      <c r="H550" s="710"/>
      <c r="I550" s="706"/>
      <c r="J550" s="711"/>
      <c r="K550" s="711"/>
      <c r="L550" s="711"/>
      <c r="M550" s="706"/>
      <c r="N550" s="711"/>
      <c r="O550" s="655"/>
      <c r="P550" s="655"/>
      <c r="Q550" s="711"/>
      <c r="R550" s="655"/>
      <c r="S550" s="674"/>
      <c r="T550" s="674"/>
      <c r="U550" s="674"/>
      <c r="V550" s="674"/>
    </row>
    <row r="551">
      <c r="A551" s="712"/>
      <c r="B551" s="713"/>
      <c r="C551" s="714"/>
      <c r="D551" s="715"/>
      <c r="E551" s="714"/>
      <c r="F551" s="715"/>
      <c r="G551" s="716"/>
      <c r="H551" s="717"/>
      <c r="I551" s="713"/>
      <c r="J551" s="718"/>
      <c r="K551" s="718"/>
      <c r="L551" s="718"/>
      <c r="M551" s="713"/>
      <c r="N551" s="718"/>
      <c r="O551" s="662"/>
      <c r="P551" s="662"/>
      <c r="Q551" s="718"/>
      <c r="R551" s="662"/>
      <c r="S551" s="672"/>
      <c r="T551" s="672"/>
      <c r="U551" s="672"/>
      <c r="V551" s="672"/>
    </row>
    <row r="552">
      <c r="A552" s="705"/>
      <c r="B552" s="706"/>
      <c r="C552" s="707"/>
      <c r="D552" s="708"/>
      <c r="E552" s="707"/>
      <c r="F552" s="708"/>
      <c r="G552" s="709"/>
      <c r="H552" s="710"/>
      <c r="I552" s="706"/>
      <c r="J552" s="711"/>
      <c r="K552" s="711"/>
      <c r="L552" s="711"/>
      <c r="M552" s="706"/>
      <c r="N552" s="711"/>
      <c r="O552" s="655"/>
      <c r="P552" s="655"/>
      <c r="Q552" s="711"/>
      <c r="R552" s="655"/>
      <c r="S552" s="674"/>
      <c r="T552" s="674"/>
      <c r="U552" s="674"/>
      <c r="V552" s="674"/>
    </row>
    <row r="553">
      <c r="A553" s="712"/>
      <c r="B553" s="713"/>
      <c r="C553" s="714"/>
      <c r="D553" s="715"/>
      <c r="E553" s="714"/>
      <c r="F553" s="715"/>
      <c r="G553" s="716"/>
      <c r="H553" s="717"/>
      <c r="I553" s="713"/>
      <c r="J553" s="718"/>
      <c r="K553" s="718"/>
      <c r="L553" s="718"/>
      <c r="M553" s="713"/>
      <c r="N553" s="718"/>
      <c r="O553" s="662"/>
      <c r="P553" s="662"/>
      <c r="Q553" s="718"/>
      <c r="R553" s="662"/>
      <c r="S553" s="672"/>
      <c r="T553" s="672"/>
      <c r="U553" s="672"/>
      <c r="V553" s="672"/>
    </row>
    <row r="554">
      <c r="A554" s="705"/>
      <c r="B554" s="706"/>
      <c r="C554" s="707"/>
      <c r="D554" s="708"/>
      <c r="E554" s="707"/>
      <c r="F554" s="708"/>
      <c r="G554" s="709"/>
      <c r="H554" s="710"/>
      <c r="I554" s="706"/>
      <c r="J554" s="711"/>
      <c r="K554" s="711"/>
      <c r="L554" s="711"/>
      <c r="M554" s="706"/>
      <c r="N554" s="711"/>
      <c r="O554" s="655"/>
      <c r="P554" s="655"/>
      <c r="Q554" s="711"/>
      <c r="R554" s="655"/>
      <c r="S554" s="674"/>
      <c r="T554" s="674"/>
      <c r="U554" s="674"/>
      <c r="V554" s="674"/>
    </row>
    <row r="555">
      <c r="A555" s="712"/>
      <c r="B555" s="713"/>
      <c r="C555" s="714"/>
      <c r="D555" s="715"/>
      <c r="E555" s="714"/>
      <c r="F555" s="715"/>
      <c r="G555" s="716"/>
      <c r="H555" s="717"/>
      <c r="I555" s="713"/>
      <c r="J555" s="718"/>
      <c r="K555" s="718"/>
      <c r="L555" s="718"/>
      <c r="M555" s="713"/>
      <c r="N555" s="718"/>
      <c r="O555" s="662"/>
      <c r="P555" s="662"/>
      <c r="Q555" s="718"/>
      <c r="R555" s="662"/>
      <c r="S555" s="672"/>
      <c r="T555" s="672"/>
      <c r="U555" s="672"/>
      <c r="V555" s="672"/>
    </row>
    <row r="556">
      <c r="A556" s="705"/>
      <c r="B556" s="706"/>
      <c r="C556" s="707"/>
      <c r="D556" s="708"/>
      <c r="E556" s="707"/>
      <c r="F556" s="708"/>
      <c r="G556" s="709"/>
      <c r="H556" s="710"/>
      <c r="I556" s="706"/>
      <c r="J556" s="711"/>
      <c r="K556" s="711"/>
      <c r="L556" s="711"/>
      <c r="M556" s="706"/>
      <c r="N556" s="711"/>
      <c r="O556" s="655"/>
      <c r="P556" s="655"/>
      <c r="Q556" s="711"/>
      <c r="R556" s="655"/>
      <c r="S556" s="674"/>
      <c r="T556" s="674"/>
      <c r="U556" s="674"/>
      <c r="V556" s="674"/>
    </row>
    <row r="557">
      <c r="A557" s="712"/>
      <c r="B557" s="713"/>
      <c r="C557" s="714"/>
      <c r="D557" s="715"/>
      <c r="E557" s="714"/>
      <c r="F557" s="715"/>
      <c r="G557" s="716"/>
      <c r="H557" s="717"/>
      <c r="I557" s="713"/>
      <c r="J557" s="718"/>
      <c r="K557" s="718"/>
      <c r="L557" s="718"/>
      <c r="M557" s="713"/>
      <c r="N557" s="718"/>
      <c r="O557" s="662"/>
      <c r="P557" s="662"/>
      <c r="Q557" s="718"/>
      <c r="R557" s="662"/>
      <c r="S557" s="672"/>
      <c r="T557" s="672"/>
      <c r="U557" s="672"/>
      <c r="V557" s="672"/>
    </row>
    <row r="558">
      <c r="A558" s="705"/>
      <c r="B558" s="706"/>
      <c r="C558" s="707"/>
      <c r="D558" s="708"/>
      <c r="E558" s="707"/>
      <c r="F558" s="708"/>
      <c r="G558" s="709"/>
      <c r="H558" s="710"/>
      <c r="I558" s="706"/>
      <c r="J558" s="711"/>
      <c r="K558" s="711"/>
      <c r="L558" s="711"/>
      <c r="M558" s="706"/>
      <c r="N558" s="711"/>
      <c r="O558" s="655"/>
      <c r="P558" s="655"/>
      <c r="Q558" s="711"/>
      <c r="R558" s="655"/>
      <c r="S558" s="674"/>
      <c r="T558" s="674"/>
      <c r="U558" s="674"/>
      <c r="V558" s="674"/>
    </row>
    <row r="559">
      <c r="A559" s="712"/>
      <c r="B559" s="713"/>
      <c r="C559" s="714"/>
      <c r="D559" s="715"/>
      <c r="E559" s="714"/>
      <c r="F559" s="715"/>
      <c r="G559" s="716"/>
      <c r="H559" s="717"/>
      <c r="I559" s="713"/>
      <c r="J559" s="718"/>
      <c r="K559" s="718"/>
      <c r="L559" s="718"/>
      <c r="M559" s="713"/>
      <c r="N559" s="718"/>
      <c r="O559" s="662"/>
      <c r="P559" s="662"/>
      <c r="Q559" s="718"/>
      <c r="R559" s="662"/>
      <c r="S559" s="672"/>
      <c r="T559" s="672"/>
      <c r="U559" s="672"/>
      <c r="V559" s="672"/>
    </row>
    <row r="560">
      <c r="A560" s="705"/>
      <c r="B560" s="706"/>
      <c r="C560" s="707"/>
      <c r="D560" s="708"/>
      <c r="E560" s="707"/>
      <c r="F560" s="708"/>
      <c r="G560" s="709"/>
      <c r="H560" s="710"/>
      <c r="I560" s="706"/>
      <c r="J560" s="711"/>
      <c r="K560" s="711"/>
      <c r="L560" s="711"/>
      <c r="M560" s="706"/>
      <c r="N560" s="711"/>
      <c r="O560" s="655"/>
      <c r="P560" s="655"/>
      <c r="Q560" s="711"/>
      <c r="R560" s="655"/>
      <c r="S560" s="674"/>
      <c r="T560" s="674"/>
      <c r="U560" s="674"/>
      <c r="V560" s="674"/>
    </row>
    <row r="561">
      <c r="A561" s="712"/>
      <c r="B561" s="713"/>
      <c r="C561" s="714"/>
      <c r="D561" s="715"/>
      <c r="E561" s="714"/>
      <c r="F561" s="715"/>
      <c r="G561" s="716"/>
      <c r="H561" s="717"/>
      <c r="I561" s="713"/>
      <c r="J561" s="718"/>
      <c r="K561" s="718"/>
      <c r="L561" s="718"/>
      <c r="M561" s="713"/>
      <c r="N561" s="718"/>
      <c r="O561" s="662"/>
      <c r="P561" s="662"/>
      <c r="Q561" s="718"/>
      <c r="R561" s="662"/>
      <c r="S561" s="672"/>
      <c r="T561" s="672"/>
      <c r="U561" s="672"/>
      <c r="V561" s="672"/>
    </row>
    <row r="562">
      <c r="A562" s="705"/>
      <c r="B562" s="706"/>
      <c r="C562" s="707"/>
      <c r="D562" s="708"/>
      <c r="E562" s="707"/>
      <c r="F562" s="708"/>
      <c r="G562" s="709"/>
      <c r="H562" s="710"/>
      <c r="I562" s="706"/>
      <c r="J562" s="711"/>
      <c r="K562" s="711"/>
      <c r="L562" s="711"/>
      <c r="M562" s="706"/>
      <c r="N562" s="711"/>
      <c r="O562" s="655"/>
      <c r="P562" s="655"/>
      <c r="Q562" s="711"/>
      <c r="R562" s="655"/>
      <c r="S562" s="674"/>
      <c r="T562" s="674"/>
      <c r="U562" s="674"/>
      <c r="V562" s="674"/>
    </row>
    <row r="563">
      <c r="A563" s="712"/>
      <c r="B563" s="713"/>
      <c r="C563" s="714"/>
      <c r="D563" s="715"/>
      <c r="E563" s="714"/>
      <c r="F563" s="715"/>
      <c r="G563" s="716"/>
      <c r="H563" s="717"/>
      <c r="I563" s="713"/>
      <c r="J563" s="718"/>
      <c r="K563" s="718"/>
      <c r="L563" s="718"/>
      <c r="M563" s="713"/>
      <c r="N563" s="718"/>
      <c r="O563" s="662"/>
      <c r="P563" s="662"/>
      <c r="Q563" s="718"/>
      <c r="R563" s="662"/>
      <c r="S563" s="672"/>
      <c r="T563" s="672"/>
      <c r="U563" s="672"/>
      <c r="V563" s="672"/>
    </row>
    <row r="564">
      <c r="A564" s="705"/>
      <c r="B564" s="706"/>
      <c r="C564" s="707"/>
      <c r="D564" s="708"/>
      <c r="E564" s="707"/>
      <c r="F564" s="708"/>
      <c r="G564" s="709"/>
      <c r="H564" s="710"/>
      <c r="I564" s="706"/>
      <c r="J564" s="711"/>
      <c r="K564" s="711"/>
      <c r="L564" s="711"/>
      <c r="M564" s="706"/>
      <c r="N564" s="711"/>
      <c r="O564" s="655"/>
      <c r="P564" s="655"/>
      <c r="Q564" s="711"/>
      <c r="R564" s="655"/>
      <c r="S564" s="674"/>
      <c r="T564" s="674"/>
      <c r="U564" s="674"/>
      <c r="V564" s="674"/>
    </row>
    <row r="565">
      <c r="A565" s="712"/>
      <c r="B565" s="713"/>
      <c r="C565" s="714"/>
      <c r="D565" s="715"/>
      <c r="E565" s="714"/>
      <c r="F565" s="715"/>
      <c r="G565" s="716"/>
      <c r="H565" s="717"/>
      <c r="I565" s="713"/>
      <c r="J565" s="718"/>
      <c r="K565" s="718"/>
      <c r="L565" s="718"/>
      <c r="M565" s="713"/>
      <c r="N565" s="718"/>
      <c r="O565" s="662"/>
      <c r="P565" s="662"/>
      <c r="Q565" s="718"/>
      <c r="R565" s="662"/>
      <c r="S565" s="672"/>
      <c r="T565" s="672"/>
      <c r="U565" s="672"/>
      <c r="V565" s="672"/>
    </row>
    <row r="566">
      <c r="A566" s="705"/>
      <c r="B566" s="706"/>
      <c r="C566" s="707"/>
      <c r="D566" s="708"/>
      <c r="E566" s="707"/>
      <c r="F566" s="708"/>
      <c r="G566" s="709"/>
      <c r="H566" s="710"/>
      <c r="I566" s="706"/>
      <c r="J566" s="711"/>
      <c r="K566" s="711"/>
      <c r="L566" s="711"/>
      <c r="M566" s="706"/>
      <c r="N566" s="711"/>
      <c r="O566" s="655"/>
      <c r="P566" s="655"/>
      <c r="Q566" s="711"/>
      <c r="R566" s="655"/>
      <c r="S566" s="674"/>
      <c r="T566" s="674"/>
      <c r="U566" s="674"/>
      <c r="V566" s="674"/>
    </row>
    <row r="567">
      <c r="A567" s="712"/>
      <c r="B567" s="713"/>
      <c r="C567" s="714"/>
      <c r="D567" s="715"/>
      <c r="E567" s="714"/>
      <c r="F567" s="715"/>
      <c r="G567" s="716"/>
      <c r="H567" s="717"/>
      <c r="I567" s="713"/>
      <c r="J567" s="718"/>
      <c r="K567" s="718"/>
      <c r="L567" s="718"/>
      <c r="M567" s="713"/>
      <c r="N567" s="718"/>
      <c r="O567" s="662"/>
      <c r="P567" s="662"/>
      <c r="Q567" s="718"/>
      <c r="R567" s="662"/>
      <c r="S567" s="672"/>
      <c r="T567" s="672"/>
      <c r="U567" s="672"/>
      <c r="V567" s="672"/>
    </row>
    <row r="568">
      <c r="A568" s="705"/>
      <c r="B568" s="706"/>
      <c r="C568" s="707"/>
      <c r="D568" s="708"/>
      <c r="E568" s="707"/>
      <c r="F568" s="708"/>
      <c r="G568" s="709"/>
      <c r="H568" s="710"/>
      <c r="I568" s="706"/>
      <c r="J568" s="711"/>
      <c r="K568" s="711"/>
      <c r="L568" s="711"/>
      <c r="M568" s="706"/>
      <c r="N568" s="711"/>
      <c r="O568" s="655"/>
      <c r="P568" s="655"/>
      <c r="Q568" s="711"/>
      <c r="R568" s="655"/>
      <c r="S568" s="674"/>
      <c r="T568" s="674"/>
      <c r="U568" s="674"/>
      <c r="V568" s="674"/>
    </row>
    <row r="569">
      <c r="A569" s="712"/>
      <c r="B569" s="713"/>
      <c r="C569" s="714"/>
      <c r="D569" s="715"/>
      <c r="E569" s="714"/>
      <c r="F569" s="715"/>
      <c r="G569" s="716"/>
      <c r="H569" s="717"/>
      <c r="I569" s="713"/>
      <c r="J569" s="718"/>
      <c r="K569" s="718"/>
      <c r="L569" s="718"/>
      <c r="M569" s="713"/>
      <c r="N569" s="718"/>
      <c r="O569" s="662"/>
      <c r="P569" s="662"/>
      <c r="Q569" s="718"/>
      <c r="R569" s="662"/>
      <c r="S569" s="672"/>
      <c r="T569" s="672"/>
      <c r="U569" s="672"/>
      <c r="V569" s="672"/>
    </row>
    <row r="570">
      <c r="A570" s="705"/>
      <c r="B570" s="706"/>
      <c r="C570" s="707"/>
      <c r="D570" s="708"/>
      <c r="E570" s="707"/>
      <c r="F570" s="708"/>
      <c r="G570" s="709"/>
      <c r="H570" s="710"/>
      <c r="I570" s="706"/>
      <c r="J570" s="711"/>
      <c r="K570" s="711"/>
      <c r="L570" s="711"/>
      <c r="M570" s="706"/>
      <c r="N570" s="711"/>
      <c r="O570" s="655"/>
      <c r="P570" s="655"/>
      <c r="Q570" s="711"/>
      <c r="R570" s="655"/>
      <c r="S570" s="674"/>
      <c r="T570" s="674"/>
      <c r="U570" s="674"/>
      <c r="V570" s="674"/>
    </row>
    <row r="571">
      <c r="A571" s="712"/>
      <c r="B571" s="713"/>
      <c r="C571" s="714"/>
      <c r="D571" s="715"/>
      <c r="E571" s="714"/>
      <c r="F571" s="715"/>
      <c r="G571" s="716"/>
      <c r="H571" s="717"/>
      <c r="I571" s="713"/>
      <c r="J571" s="718"/>
      <c r="K571" s="718"/>
      <c r="L571" s="718"/>
      <c r="M571" s="713"/>
      <c r="N571" s="718"/>
      <c r="O571" s="662"/>
      <c r="P571" s="662"/>
      <c r="Q571" s="718"/>
      <c r="R571" s="662"/>
      <c r="S571" s="672"/>
      <c r="T571" s="672"/>
      <c r="U571" s="672"/>
      <c r="V571" s="672"/>
    </row>
    <row r="572">
      <c r="A572" s="705"/>
      <c r="B572" s="706"/>
      <c r="C572" s="707"/>
      <c r="D572" s="708"/>
      <c r="E572" s="707"/>
      <c r="F572" s="708"/>
      <c r="G572" s="709"/>
      <c r="H572" s="710"/>
      <c r="I572" s="706"/>
      <c r="J572" s="711"/>
      <c r="K572" s="711"/>
      <c r="L572" s="711"/>
      <c r="M572" s="706"/>
      <c r="N572" s="711"/>
      <c r="O572" s="655"/>
      <c r="P572" s="655"/>
      <c r="Q572" s="711"/>
      <c r="R572" s="655"/>
      <c r="S572" s="674"/>
      <c r="T572" s="674"/>
      <c r="U572" s="674"/>
      <c r="V572" s="674"/>
    </row>
    <row r="573">
      <c r="A573" s="712"/>
      <c r="B573" s="713"/>
      <c r="C573" s="714"/>
      <c r="D573" s="715"/>
      <c r="E573" s="714"/>
      <c r="F573" s="715"/>
      <c r="G573" s="716"/>
      <c r="H573" s="717"/>
      <c r="I573" s="713"/>
      <c r="J573" s="718"/>
      <c r="K573" s="718"/>
      <c r="L573" s="718"/>
      <c r="M573" s="713"/>
      <c r="N573" s="718"/>
      <c r="O573" s="662"/>
      <c r="P573" s="662"/>
      <c r="Q573" s="718"/>
      <c r="R573" s="662"/>
      <c r="S573" s="672"/>
      <c r="T573" s="672"/>
      <c r="U573" s="672"/>
      <c r="V573" s="672"/>
    </row>
    <row r="574">
      <c r="A574" s="705"/>
      <c r="B574" s="706"/>
      <c r="C574" s="707"/>
      <c r="D574" s="708"/>
      <c r="E574" s="707"/>
      <c r="F574" s="708"/>
      <c r="G574" s="709"/>
      <c r="H574" s="710"/>
      <c r="I574" s="706"/>
      <c r="J574" s="711"/>
      <c r="K574" s="711"/>
      <c r="L574" s="711"/>
      <c r="M574" s="706"/>
      <c r="N574" s="711"/>
      <c r="O574" s="655"/>
      <c r="P574" s="655"/>
      <c r="Q574" s="711"/>
      <c r="R574" s="655"/>
      <c r="S574" s="674"/>
      <c r="T574" s="674"/>
      <c r="U574" s="674"/>
      <c r="V574" s="674"/>
    </row>
    <row r="575">
      <c r="A575" s="712"/>
      <c r="B575" s="713"/>
      <c r="C575" s="714"/>
      <c r="D575" s="715"/>
      <c r="E575" s="714"/>
      <c r="F575" s="715"/>
      <c r="G575" s="716"/>
      <c r="H575" s="717"/>
      <c r="I575" s="713"/>
      <c r="J575" s="718"/>
      <c r="K575" s="718"/>
      <c r="L575" s="718"/>
      <c r="M575" s="713"/>
      <c r="N575" s="718"/>
      <c r="O575" s="662"/>
      <c r="P575" s="662"/>
      <c r="Q575" s="718"/>
      <c r="R575" s="662"/>
      <c r="S575" s="672"/>
      <c r="T575" s="672"/>
      <c r="U575" s="672"/>
      <c r="V575" s="672"/>
    </row>
    <row r="576">
      <c r="A576" s="705"/>
      <c r="B576" s="706"/>
      <c r="C576" s="707"/>
      <c r="D576" s="708"/>
      <c r="E576" s="707"/>
      <c r="F576" s="708"/>
      <c r="G576" s="709"/>
      <c r="H576" s="710"/>
      <c r="I576" s="706"/>
      <c r="J576" s="711"/>
      <c r="K576" s="711"/>
      <c r="L576" s="711"/>
      <c r="M576" s="706"/>
      <c r="N576" s="711"/>
      <c r="O576" s="655"/>
      <c r="P576" s="655"/>
      <c r="Q576" s="711"/>
      <c r="R576" s="655"/>
      <c r="S576" s="674"/>
      <c r="T576" s="674"/>
      <c r="U576" s="674"/>
      <c r="V576" s="674"/>
    </row>
    <row r="577">
      <c r="A577" s="712"/>
      <c r="B577" s="713"/>
      <c r="C577" s="714"/>
      <c r="D577" s="715"/>
      <c r="E577" s="714"/>
      <c r="F577" s="715"/>
      <c r="G577" s="716"/>
      <c r="H577" s="717"/>
      <c r="I577" s="713"/>
      <c r="J577" s="718"/>
      <c r="K577" s="718"/>
      <c r="L577" s="718"/>
      <c r="M577" s="713"/>
      <c r="N577" s="718"/>
      <c r="O577" s="662"/>
      <c r="P577" s="662"/>
      <c r="Q577" s="718"/>
      <c r="R577" s="662"/>
      <c r="S577" s="672"/>
      <c r="T577" s="672"/>
      <c r="U577" s="672"/>
      <c r="V577" s="672"/>
    </row>
    <row r="578">
      <c r="A578" s="705"/>
      <c r="B578" s="706"/>
      <c r="C578" s="707"/>
      <c r="D578" s="708"/>
      <c r="E578" s="707"/>
      <c r="F578" s="708"/>
      <c r="G578" s="709"/>
      <c r="H578" s="710"/>
      <c r="I578" s="706"/>
      <c r="J578" s="711"/>
      <c r="K578" s="711"/>
      <c r="L578" s="711"/>
      <c r="M578" s="706"/>
      <c r="N578" s="711"/>
      <c r="O578" s="655"/>
      <c r="P578" s="655"/>
      <c r="Q578" s="711"/>
      <c r="R578" s="655"/>
      <c r="S578" s="674"/>
      <c r="T578" s="674"/>
      <c r="U578" s="674"/>
      <c r="V578" s="674"/>
    </row>
    <row r="579">
      <c r="A579" s="712"/>
      <c r="B579" s="713"/>
      <c r="C579" s="714"/>
      <c r="D579" s="715"/>
      <c r="E579" s="714"/>
      <c r="F579" s="715"/>
      <c r="G579" s="716"/>
      <c r="H579" s="717"/>
      <c r="I579" s="713"/>
      <c r="J579" s="718"/>
      <c r="K579" s="718"/>
      <c r="L579" s="718"/>
      <c r="M579" s="713"/>
      <c r="N579" s="718"/>
      <c r="O579" s="662"/>
      <c r="P579" s="662"/>
      <c r="Q579" s="718"/>
      <c r="R579" s="662"/>
      <c r="S579" s="672"/>
      <c r="T579" s="672"/>
      <c r="U579" s="672"/>
      <c r="V579" s="672"/>
    </row>
    <row r="580">
      <c r="A580" s="705"/>
      <c r="B580" s="706"/>
      <c r="C580" s="707"/>
      <c r="D580" s="708"/>
      <c r="E580" s="707"/>
      <c r="F580" s="708"/>
      <c r="G580" s="709"/>
      <c r="H580" s="710"/>
      <c r="I580" s="706"/>
      <c r="J580" s="711"/>
      <c r="K580" s="711"/>
      <c r="L580" s="711"/>
      <c r="M580" s="706"/>
      <c r="N580" s="711"/>
      <c r="O580" s="655"/>
      <c r="P580" s="655"/>
      <c r="Q580" s="711"/>
      <c r="R580" s="655"/>
      <c r="S580" s="674"/>
      <c r="T580" s="674"/>
      <c r="U580" s="674"/>
      <c r="V580" s="674"/>
    </row>
    <row r="581">
      <c r="A581" s="712"/>
      <c r="B581" s="713"/>
      <c r="C581" s="714"/>
      <c r="D581" s="715"/>
      <c r="E581" s="714"/>
      <c r="F581" s="715"/>
      <c r="G581" s="716"/>
      <c r="H581" s="717"/>
      <c r="I581" s="713"/>
      <c r="J581" s="718"/>
      <c r="K581" s="718"/>
      <c r="L581" s="718"/>
      <c r="M581" s="713"/>
      <c r="N581" s="718"/>
      <c r="O581" s="662"/>
      <c r="P581" s="662"/>
      <c r="Q581" s="718"/>
      <c r="R581" s="662"/>
      <c r="S581" s="672"/>
      <c r="T581" s="672"/>
      <c r="U581" s="672"/>
      <c r="V581" s="672"/>
    </row>
    <row r="582">
      <c r="A582" s="705"/>
      <c r="B582" s="706"/>
      <c r="C582" s="707"/>
      <c r="D582" s="708"/>
      <c r="E582" s="707"/>
      <c r="F582" s="708"/>
      <c r="G582" s="709"/>
      <c r="H582" s="710"/>
      <c r="I582" s="706"/>
      <c r="J582" s="711"/>
      <c r="K582" s="711"/>
      <c r="L582" s="711"/>
      <c r="M582" s="706"/>
      <c r="N582" s="711"/>
      <c r="O582" s="655"/>
      <c r="P582" s="655"/>
      <c r="Q582" s="711"/>
      <c r="R582" s="655"/>
      <c r="S582" s="674"/>
      <c r="T582" s="674"/>
      <c r="U582" s="674"/>
      <c r="V582" s="674"/>
    </row>
    <row r="583">
      <c r="A583" s="712"/>
      <c r="B583" s="713"/>
      <c r="C583" s="714"/>
      <c r="D583" s="715"/>
      <c r="E583" s="714"/>
      <c r="F583" s="715"/>
      <c r="G583" s="716"/>
      <c r="H583" s="717"/>
      <c r="I583" s="713"/>
      <c r="J583" s="718"/>
      <c r="K583" s="718"/>
      <c r="L583" s="718"/>
      <c r="M583" s="713"/>
      <c r="N583" s="718"/>
      <c r="O583" s="662"/>
      <c r="P583" s="662"/>
      <c r="Q583" s="718"/>
      <c r="R583" s="662"/>
      <c r="S583" s="672"/>
      <c r="T583" s="672"/>
      <c r="U583" s="672"/>
      <c r="V583" s="672"/>
    </row>
    <row r="584">
      <c r="A584" s="705"/>
      <c r="B584" s="706"/>
      <c r="C584" s="707"/>
      <c r="D584" s="708"/>
      <c r="E584" s="707"/>
      <c r="F584" s="708"/>
      <c r="G584" s="709"/>
      <c r="H584" s="710"/>
      <c r="I584" s="706"/>
      <c r="J584" s="711"/>
      <c r="K584" s="711"/>
      <c r="L584" s="711"/>
      <c r="M584" s="706"/>
      <c r="N584" s="711"/>
      <c r="O584" s="655"/>
      <c r="P584" s="655"/>
      <c r="Q584" s="711"/>
      <c r="R584" s="655"/>
      <c r="S584" s="674"/>
      <c r="T584" s="674"/>
      <c r="U584" s="674"/>
      <c r="V584" s="674"/>
    </row>
    <row r="585">
      <c r="A585" s="712"/>
      <c r="B585" s="713"/>
      <c r="C585" s="714"/>
      <c r="D585" s="715"/>
      <c r="E585" s="714"/>
      <c r="F585" s="715"/>
      <c r="G585" s="716"/>
      <c r="H585" s="717"/>
      <c r="I585" s="713"/>
      <c r="J585" s="718"/>
      <c r="K585" s="718"/>
      <c r="L585" s="718"/>
      <c r="M585" s="713"/>
      <c r="N585" s="718"/>
      <c r="O585" s="662"/>
      <c r="P585" s="662"/>
      <c r="Q585" s="718"/>
      <c r="R585" s="662"/>
      <c r="S585" s="672"/>
      <c r="T585" s="672"/>
      <c r="U585" s="672"/>
      <c r="V585" s="672"/>
    </row>
    <row r="586">
      <c r="A586" s="705"/>
      <c r="B586" s="706"/>
      <c r="C586" s="707"/>
      <c r="D586" s="708"/>
      <c r="E586" s="707"/>
      <c r="F586" s="708"/>
      <c r="G586" s="709"/>
      <c r="H586" s="710"/>
      <c r="I586" s="706"/>
      <c r="J586" s="711"/>
      <c r="K586" s="711"/>
      <c r="L586" s="711"/>
      <c r="M586" s="706"/>
      <c r="N586" s="711"/>
      <c r="O586" s="655"/>
      <c r="P586" s="655"/>
      <c r="Q586" s="711"/>
      <c r="R586" s="655"/>
      <c r="S586" s="674"/>
      <c r="T586" s="674"/>
      <c r="U586" s="674"/>
      <c r="V586" s="674"/>
    </row>
    <row r="587">
      <c r="A587" s="712"/>
      <c r="B587" s="713"/>
      <c r="C587" s="714"/>
      <c r="D587" s="715"/>
      <c r="E587" s="714"/>
      <c r="F587" s="715"/>
      <c r="G587" s="716"/>
      <c r="H587" s="717"/>
      <c r="I587" s="713"/>
      <c r="J587" s="718"/>
      <c r="K587" s="718"/>
      <c r="L587" s="718"/>
      <c r="M587" s="713"/>
      <c r="N587" s="718"/>
      <c r="O587" s="662"/>
      <c r="P587" s="662"/>
      <c r="Q587" s="718"/>
      <c r="R587" s="662"/>
      <c r="S587" s="672"/>
      <c r="T587" s="672"/>
      <c r="U587" s="672"/>
      <c r="V587" s="672"/>
    </row>
    <row r="588">
      <c r="A588" s="705"/>
      <c r="B588" s="706"/>
      <c r="C588" s="707"/>
      <c r="D588" s="708"/>
      <c r="E588" s="707"/>
      <c r="F588" s="708"/>
      <c r="G588" s="709"/>
      <c r="H588" s="710"/>
      <c r="I588" s="706"/>
      <c r="J588" s="711"/>
      <c r="K588" s="711"/>
      <c r="L588" s="711"/>
      <c r="M588" s="706"/>
      <c r="N588" s="711"/>
      <c r="O588" s="655"/>
      <c r="P588" s="655"/>
      <c r="Q588" s="711"/>
      <c r="R588" s="655"/>
      <c r="S588" s="674"/>
      <c r="T588" s="674"/>
      <c r="U588" s="674"/>
      <c r="V588" s="674"/>
    </row>
    <row r="589">
      <c r="A589" s="712"/>
      <c r="B589" s="713"/>
      <c r="C589" s="714"/>
      <c r="D589" s="715"/>
      <c r="E589" s="714"/>
      <c r="F589" s="715"/>
      <c r="G589" s="716"/>
      <c r="H589" s="717"/>
      <c r="I589" s="713"/>
      <c r="J589" s="718"/>
      <c r="K589" s="718"/>
      <c r="L589" s="718"/>
      <c r="M589" s="713"/>
      <c r="N589" s="718"/>
      <c r="O589" s="662"/>
      <c r="P589" s="662"/>
      <c r="Q589" s="718"/>
      <c r="R589" s="662"/>
      <c r="S589" s="672"/>
      <c r="T589" s="672"/>
      <c r="U589" s="672"/>
      <c r="V589" s="672"/>
    </row>
    <row r="590">
      <c r="A590" s="705"/>
      <c r="B590" s="706"/>
      <c r="C590" s="707"/>
      <c r="D590" s="708"/>
      <c r="E590" s="707"/>
      <c r="F590" s="708"/>
      <c r="G590" s="709"/>
      <c r="H590" s="710"/>
      <c r="I590" s="706"/>
      <c r="J590" s="711"/>
      <c r="K590" s="711"/>
      <c r="L590" s="711"/>
      <c r="M590" s="706"/>
      <c r="N590" s="711"/>
      <c r="O590" s="655"/>
      <c r="P590" s="655"/>
      <c r="Q590" s="711"/>
      <c r="R590" s="655"/>
      <c r="S590" s="674"/>
      <c r="T590" s="674"/>
      <c r="U590" s="674"/>
      <c r="V590" s="674"/>
    </row>
    <row r="591">
      <c r="A591" s="712"/>
      <c r="B591" s="713"/>
      <c r="C591" s="714"/>
      <c r="D591" s="715"/>
      <c r="E591" s="714"/>
      <c r="F591" s="715"/>
      <c r="G591" s="716"/>
      <c r="H591" s="717"/>
      <c r="I591" s="713"/>
      <c r="J591" s="718"/>
      <c r="K591" s="718"/>
      <c r="L591" s="718"/>
      <c r="M591" s="713"/>
      <c r="N591" s="718"/>
      <c r="O591" s="662"/>
      <c r="P591" s="662"/>
      <c r="Q591" s="718"/>
      <c r="R591" s="662"/>
      <c r="S591" s="672"/>
      <c r="T591" s="672"/>
      <c r="U591" s="672"/>
      <c r="V591" s="672"/>
    </row>
    <row r="592">
      <c r="A592" s="705"/>
      <c r="B592" s="706"/>
      <c r="C592" s="707"/>
      <c r="D592" s="708"/>
      <c r="E592" s="707"/>
      <c r="F592" s="708"/>
      <c r="G592" s="709"/>
      <c r="H592" s="710"/>
      <c r="I592" s="706"/>
      <c r="J592" s="711"/>
      <c r="K592" s="711"/>
      <c r="L592" s="711"/>
      <c r="M592" s="706"/>
      <c r="N592" s="711"/>
      <c r="O592" s="655"/>
      <c r="P592" s="655"/>
      <c r="Q592" s="711"/>
      <c r="R592" s="655"/>
      <c r="S592" s="674"/>
      <c r="T592" s="674"/>
      <c r="U592" s="674"/>
      <c r="V592" s="674"/>
    </row>
    <row r="593">
      <c r="A593" s="712"/>
      <c r="B593" s="713"/>
      <c r="C593" s="714"/>
      <c r="D593" s="715"/>
      <c r="E593" s="714"/>
      <c r="F593" s="715"/>
      <c r="G593" s="716"/>
      <c r="H593" s="717"/>
      <c r="I593" s="713"/>
      <c r="J593" s="718"/>
      <c r="K593" s="718"/>
      <c r="L593" s="718"/>
      <c r="M593" s="713"/>
      <c r="N593" s="718"/>
      <c r="O593" s="662"/>
      <c r="P593" s="662"/>
      <c r="Q593" s="718"/>
      <c r="R593" s="662"/>
      <c r="S593" s="672"/>
      <c r="T593" s="672"/>
      <c r="U593" s="672"/>
      <c r="V593" s="672"/>
    </row>
    <row r="594">
      <c r="A594" s="705"/>
      <c r="B594" s="706"/>
      <c r="C594" s="707"/>
      <c r="D594" s="708"/>
      <c r="E594" s="707"/>
      <c r="F594" s="708"/>
      <c r="G594" s="709"/>
      <c r="H594" s="710"/>
      <c r="I594" s="706"/>
      <c r="J594" s="711"/>
      <c r="K594" s="711"/>
      <c r="L594" s="711"/>
      <c r="M594" s="706"/>
      <c r="N594" s="711"/>
      <c r="O594" s="655"/>
      <c r="P594" s="655"/>
      <c r="Q594" s="711"/>
      <c r="R594" s="655"/>
      <c r="S594" s="674"/>
      <c r="T594" s="674"/>
      <c r="U594" s="674"/>
      <c r="V594" s="674"/>
    </row>
    <row r="595">
      <c r="A595" s="712"/>
      <c r="B595" s="713"/>
      <c r="C595" s="714"/>
      <c r="D595" s="715"/>
      <c r="E595" s="714"/>
      <c r="F595" s="715"/>
      <c r="G595" s="716"/>
      <c r="H595" s="717"/>
      <c r="I595" s="713"/>
      <c r="J595" s="718"/>
      <c r="K595" s="718"/>
      <c r="L595" s="718"/>
      <c r="M595" s="713"/>
      <c r="N595" s="718"/>
      <c r="O595" s="662"/>
      <c r="P595" s="662"/>
      <c r="Q595" s="718"/>
      <c r="R595" s="662"/>
      <c r="S595" s="672"/>
      <c r="T595" s="672"/>
      <c r="U595" s="672"/>
      <c r="V595" s="672"/>
    </row>
    <row r="596">
      <c r="A596" s="705"/>
      <c r="B596" s="706"/>
      <c r="C596" s="707"/>
      <c r="D596" s="708"/>
      <c r="E596" s="707"/>
      <c r="F596" s="708"/>
      <c r="G596" s="709"/>
      <c r="H596" s="710"/>
      <c r="I596" s="706"/>
      <c r="J596" s="711"/>
      <c r="K596" s="711"/>
      <c r="L596" s="711"/>
      <c r="M596" s="706"/>
      <c r="N596" s="711"/>
      <c r="O596" s="655"/>
      <c r="P596" s="655"/>
      <c r="Q596" s="711"/>
      <c r="R596" s="655"/>
      <c r="S596" s="674"/>
      <c r="T596" s="674"/>
      <c r="U596" s="674"/>
      <c r="V596" s="674"/>
    </row>
    <row r="597">
      <c r="A597" s="712"/>
      <c r="B597" s="713"/>
      <c r="C597" s="714"/>
      <c r="D597" s="715"/>
      <c r="E597" s="714"/>
      <c r="F597" s="715"/>
      <c r="G597" s="716"/>
      <c r="H597" s="717"/>
      <c r="I597" s="713"/>
      <c r="J597" s="718"/>
      <c r="K597" s="718"/>
      <c r="L597" s="718"/>
      <c r="M597" s="713"/>
      <c r="N597" s="718"/>
      <c r="O597" s="662"/>
      <c r="P597" s="662"/>
      <c r="Q597" s="718"/>
      <c r="R597" s="662"/>
      <c r="S597" s="672"/>
      <c r="T597" s="672"/>
      <c r="U597" s="672"/>
      <c r="V597" s="672"/>
    </row>
    <row r="598">
      <c r="A598" s="705"/>
      <c r="B598" s="706"/>
      <c r="C598" s="707"/>
      <c r="D598" s="708"/>
      <c r="E598" s="707"/>
      <c r="F598" s="708"/>
      <c r="G598" s="709"/>
      <c r="H598" s="710"/>
      <c r="I598" s="706"/>
      <c r="J598" s="711"/>
      <c r="K598" s="711"/>
      <c r="L598" s="711"/>
      <c r="M598" s="706"/>
      <c r="N598" s="711"/>
      <c r="O598" s="655"/>
      <c r="P598" s="655"/>
      <c r="Q598" s="711"/>
      <c r="R598" s="655"/>
      <c r="S598" s="674"/>
      <c r="T598" s="674"/>
      <c r="U598" s="674"/>
      <c r="V598" s="674"/>
    </row>
    <row r="599">
      <c r="A599" s="712"/>
      <c r="B599" s="713"/>
      <c r="C599" s="714"/>
      <c r="D599" s="715"/>
      <c r="E599" s="714"/>
      <c r="F599" s="715"/>
      <c r="G599" s="716"/>
      <c r="H599" s="717"/>
      <c r="I599" s="713"/>
      <c r="J599" s="718"/>
      <c r="K599" s="718"/>
      <c r="L599" s="718"/>
      <c r="M599" s="713"/>
      <c r="N599" s="718"/>
      <c r="O599" s="662"/>
      <c r="P599" s="662"/>
      <c r="Q599" s="718"/>
      <c r="R599" s="662"/>
      <c r="S599" s="672"/>
      <c r="T599" s="672"/>
      <c r="U599" s="672"/>
      <c r="V599" s="672"/>
    </row>
    <row r="600">
      <c r="A600" s="705"/>
      <c r="B600" s="706"/>
      <c r="C600" s="707"/>
      <c r="D600" s="708"/>
      <c r="E600" s="707"/>
      <c r="F600" s="708"/>
      <c r="G600" s="709"/>
      <c r="H600" s="710"/>
      <c r="I600" s="706"/>
      <c r="J600" s="711"/>
      <c r="K600" s="711"/>
      <c r="L600" s="711"/>
      <c r="M600" s="706"/>
      <c r="N600" s="711"/>
      <c r="O600" s="655"/>
      <c r="P600" s="655"/>
      <c r="Q600" s="711"/>
      <c r="R600" s="655"/>
      <c r="S600" s="674"/>
      <c r="T600" s="674"/>
      <c r="U600" s="674"/>
      <c r="V600" s="674"/>
    </row>
    <row r="601">
      <c r="A601" s="712"/>
      <c r="B601" s="713"/>
      <c r="C601" s="714"/>
      <c r="D601" s="715"/>
      <c r="E601" s="714"/>
      <c r="F601" s="715"/>
      <c r="G601" s="716"/>
      <c r="H601" s="717"/>
      <c r="I601" s="713"/>
      <c r="J601" s="718"/>
      <c r="K601" s="718"/>
      <c r="L601" s="718"/>
      <c r="M601" s="713"/>
      <c r="N601" s="718"/>
      <c r="O601" s="662"/>
      <c r="P601" s="662"/>
      <c r="Q601" s="718"/>
      <c r="R601" s="662"/>
      <c r="S601" s="672"/>
      <c r="T601" s="672"/>
      <c r="U601" s="672"/>
      <c r="V601" s="672"/>
    </row>
    <row r="602">
      <c r="A602" s="705"/>
      <c r="B602" s="706"/>
      <c r="C602" s="707"/>
      <c r="D602" s="708"/>
      <c r="E602" s="707"/>
      <c r="F602" s="708"/>
      <c r="G602" s="709"/>
      <c r="H602" s="710"/>
      <c r="I602" s="706"/>
      <c r="J602" s="711"/>
      <c r="K602" s="711"/>
      <c r="L602" s="711"/>
      <c r="M602" s="706"/>
      <c r="N602" s="711"/>
      <c r="O602" s="655"/>
      <c r="P602" s="655"/>
      <c r="Q602" s="711"/>
      <c r="R602" s="655"/>
      <c r="S602" s="674"/>
      <c r="T602" s="674"/>
      <c r="U602" s="674"/>
      <c r="V602" s="674"/>
    </row>
    <row r="603">
      <c r="A603" s="712"/>
      <c r="B603" s="713"/>
      <c r="C603" s="714"/>
      <c r="D603" s="715"/>
      <c r="E603" s="714"/>
      <c r="F603" s="715"/>
      <c r="G603" s="716"/>
      <c r="H603" s="717"/>
      <c r="I603" s="713"/>
      <c r="J603" s="718"/>
      <c r="K603" s="718"/>
      <c r="L603" s="718"/>
      <c r="M603" s="713"/>
      <c r="N603" s="718"/>
      <c r="O603" s="662"/>
      <c r="P603" s="662"/>
      <c r="Q603" s="718"/>
      <c r="R603" s="662"/>
      <c r="S603" s="672"/>
      <c r="T603" s="672"/>
      <c r="U603" s="672"/>
      <c r="V603" s="672"/>
    </row>
    <row r="604">
      <c r="A604" s="705"/>
      <c r="B604" s="706"/>
      <c r="C604" s="707"/>
      <c r="D604" s="708"/>
      <c r="E604" s="707"/>
      <c r="F604" s="708"/>
      <c r="G604" s="709"/>
      <c r="H604" s="710"/>
      <c r="I604" s="706"/>
      <c r="J604" s="711"/>
      <c r="K604" s="711"/>
      <c r="L604" s="711"/>
      <c r="M604" s="706"/>
      <c r="N604" s="711"/>
      <c r="O604" s="655"/>
      <c r="P604" s="655"/>
      <c r="Q604" s="711"/>
      <c r="R604" s="655"/>
      <c r="S604" s="674"/>
      <c r="T604" s="674"/>
      <c r="U604" s="674"/>
      <c r="V604" s="674"/>
    </row>
    <row r="605">
      <c r="A605" s="712"/>
      <c r="B605" s="713"/>
      <c r="C605" s="714"/>
      <c r="D605" s="715"/>
      <c r="E605" s="714"/>
      <c r="F605" s="715"/>
      <c r="G605" s="716"/>
      <c r="H605" s="717"/>
      <c r="I605" s="713"/>
      <c r="J605" s="718"/>
      <c r="K605" s="718"/>
      <c r="L605" s="718"/>
      <c r="M605" s="713"/>
      <c r="N605" s="718"/>
      <c r="O605" s="662"/>
      <c r="P605" s="662"/>
      <c r="Q605" s="718"/>
      <c r="R605" s="662"/>
      <c r="S605" s="672"/>
      <c r="T605" s="672"/>
      <c r="U605" s="672"/>
      <c r="V605" s="672"/>
    </row>
    <row r="606">
      <c r="A606" s="705"/>
      <c r="B606" s="706"/>
      <c r="C606" s="707"/>
      <c r="D606" s="708"/>
      <c r="E606" s="707"/>
      <c r="F606" s="708"/>
      <c r="G606" s="709"/>
      <c r="H606" s="710"/>
      <c r="I606" s="706"/>
      <c r="J606" s="711"/>
      <c r="K606" s="711"/>
      <c r="L606" s="711"/>
      <c r="M606" s="706"/>
      <c r="N606" s="711"/>
      <c r="O606" s="655"/>
      <c r="P606" s="655"/>
      <c r="Q606" s="711"/>
      <c r="R606" s="655"/>
      <c r="S606" s="674"/>
      <c r="T606" s="674"/>
      <c r="U606" s="674"/>
      <c r="V606" s="674"/>
    </row>
    <row r="607">
      <c r="A607" s="712"/>
      <c r="B607" s="713"/>
      <c r="C607" s="714"/>
      <c r="D607" s="715"/>
      <c r="E607" s="714"/>
      <c r="F607" s="715"/>
      <c r="G607" s="716"/>
      <c r="H607" s="717"/>
      <c r="I607" s="713"/>
      <c r="J607" s="718"/>
      <c r="K607" s="718"/>
      <c r="L607" s="718"/>
      <c r="M607" s="713"/>
      <c r="N607" s="718"/>
      <c r="O607" s="662"/>
      <c r="P607" s="662"/>
      <c r="Q607" s="718"/>
      <c r="R607" s="662"/>
      <c r="S607" s="672"/>
      <c r="T607" s="672"/>
      <c r="U607" s="672"/>
      <c r="V607" s="672"/>
    </row>
    <row r="608">
      <c r="A608" s="705"/>
      <c r="B608" s="706"/>
      <c r="C608" s="707"/>
      <c r="D608" s="708"/>
      <c r="E608" s="707"/>
      <c r="F608" s="708"/>
      <c r="G608" s="709"/>
      <c r="H608" s="710"/>
      <c r="I608" s="706"/>
      <c r="J608" s="711"/>
      <c r="K608" s="711"/>
      <c r="L608" s="711"/>
      <c r="M608" s="706"/>
      <c r="N608" s="711"/>
      <c r="O608" s="655"/>
      <c r="P608" s="655"/>
      <c r="Q608" s="711"/>
      <c r="R608" s="655"/>
      <c r="S608" s="674"/>
      <c r="T608" s="674"/>
      <c r="U608" s="674"/>
      <c r="V608" s="674"/>
    </row>
    <row r="609">
      <c r="A609" s="712"/>
      <c r="B609" s="713"/>
      <c r="C609" s="714"/>
      <c r="D609" s="715"/>
      <c r="E609" s="714"/>
      <c r="F609" s="715"/>
      <c r="G609" s="716"/>
      <c r="H609" s="717"/>
      <c r="I609" s="713"/>
      <c r="J609" s="718"/>
      <c r="K609" s="718"/>
      <c r="L609" s="718"/>
      <c r="M609" s="713"/>
      <c r="N609" s="718"/>
      <c r="O609" s="662"/>
      <c r="P609" s="662"/>
      <c r="Q609" s="718"/>
      <c r="R609" s="662"/>
      <c r="S609" s="672"/>
      <c r="T609" s="672"/>
      <c r="U609" s="672"/>
      <c r="V609" s="672"/>
    </row>
    <row r="610">
      <c r="A610" s="705"/>
      <c r="B610" s="706"/>
      <c r="C610" s="707"/>
      <c r="D610" s="708"/>
      <c r="E610" s="707"/>
      <c r="F610" s="708"/>
      <c r="G610" s="709"/>
      <c r="H610" s="710"/>
      <c r="I610" s="706"/>
      <c r="J610" s="711"/>
      <c r="K610" s="711"/>
      <c r="L610" s="711"/>
      <c r="M610" s="706"/>
      <c r="N610" s="711"/>
      <c r="O610" s="655"/>
      <c r="P610" s="655"/>
      <c r="Q610" s="711"/>
      <c r="R610" s="655"/>
      <c r="S610" s="674"/>
      <c r="T610" s="674"/>
      <c r="U610" s="674"/>
      <c r="V610" s="674"/>
    </row>
    <row r="611">
      <c r="A611" s="712"/>
      <c r="B611" s="713"/>
      <c r="C611" s="714"/>
      <c r="D611" s="715"/>
      <c r="E611" s="714"/>
      <c r="F611" s="715"/>
      <c r="G611" s="716"/>
      <c r="H611" s="717"/>
      <c r="I611" s="713"/>
      <c r="J611" s="718"/>
      <c r="K611" s="718"/>
      <c r="L611" s="718"/>
      <c r="M611" s="713"/>
      <c r="N611" s="718"/>
      <c r="O611" s="662"/>
      <c r="P611" s="662"/>
      <c r="Q611" s="718"/>
      <c r="R611" s="662"/>
      <c r="S611" s="672"/>
      <c r="T611" s="672"/>
      <c r="U611" s="672"/>
      <c r="V611" s="672"/>
    </row>
    <row r="612">
      <c r="A612" s="705"/>
      <c r="B612" s="706"/>
      <c r="C612" s="707"/>
      <c r="D612" s="708"/>
      <c r="E612" s="707"/>
      <c r="F612" s="708"/>
      <c r="G612" s="709"/>
      <c r="H612" s="710"/>
      <c r="I612" s="706"/>
      <c r="J612" s="711"/>
      <c r="K612" s="711"/>
      <c r="L612" s="711"/>
      <c r="M612" s="706"/>
      <c r="N612" s="711"/>
      <c r="O612" s="655"/>
      <c r="P612" s="655"/>
      <c r="Q612" s="711"/>
      <c r="R612" s="655"/>
      <c r="S612" s="674"/>
      <c r="T612" s="674"/>
      <c r="U612" s="674"/>
      <c r="V612" s="674"/>
    </row>
    <row r="613">
      <c r="A613" s="712"/>
      <c r="B613" s="713"/>
      <c r="C613" s="714"/>
      <c r="D613" s="715"/>
      <c r="E613" s="714"/>
      <c r="F613" s="715"/>
      <c r="G613" s="716"/>
      <c r="H613" s="717"/>
      <c r="I613" s="713"/>
      <c r="J613" s="718"/>
      <c r="K613" s="718"/>
      <c r="L613" s="718"/>
      <c r="M613" s="713"/>
      <c r="N613" s="718"/>
      <c r="O613" s="662"/>
      <c r="P613" s="662"/>
      <c r="Q613" s="718"/>
      <c r="R613" s="662"/>
      <c r="S613" s="672"/>
      <c r="T613" s="672"/>
      <c r="U613" s="672"/>
      <c r="V613" s="672"/>
    </row>
    <row r="614">
      <c r="A614" s="705"/>
      <c r="B614" s="706"/>
      <c r="C614" s="707"/>
      <c r="D614" s="708"/>
      <c r="E614" s="707"/>
      <c r="F614" s="708"/>
      <c r="G614" s="709"/>
      <c r="H614" s="710"/>
      <c r="I614" s="706"/>
      <c r="J614" s="711"/>
      <c r="K614" s="711"/>
      <c r="L614" s="711"/>
      <c r="M614" s="706"/>
      <c r="N614" s="711"/>
      <c r="O614" s="655"/>
      <c r="P614" s="655"/>
      <c r="Q614" s="711"/>
      <c r="R614" s="655"/>
      <c r="S614" s="674"/>
      <c r="T614" s="674"/>
      <c r="U614" s="674"/>
      <c r="V614" s="674"/>
    </row>
    <row r="615">
      <c r="A615" s="712"/>
      <c r="B615" s="713"/>
      <c r="C615" s="714"/>
      <c r="D615" s="715"/>
      <c r="E615" s="714"/>
      <c r="F615" s="715"/>
      <c r="G615" s="716"/>
      <c r="H615" s="717"/>
      <c r="I615" s="713"/>
      <c r="J615" s="718"/>
      <c r="K615" s="718"/>
      <c r="L615" s="718"/>
      <c r="M615" s="713"/>
      <c r="N615" s="718"/>
      <c r="O615" s="662"/>
      <c r="P615" s="662"/>
      <c r="Q615" s="718"/>
      <c r="R615" s="662"/>
      <c r="S615" s="672"/>
      <c r="T615" s="672"/>
      <c r="U615" s="672"/>
      <c r="V615" s="672"/>
    </row>
    <row r="616">
      <c r="A616" s="705"/>
      <c r="B616" s="706"/>
      <c r="C616" s="707"/>
      <c r="D616" s="708"/>
      <c r="E616" s="707"/>
      <c r="F616" s="708"/>
      <c r="G616" s="709"/>
      <c r="H616" s="710"/>
      <c r="I616" s="706"/>
      <c r="J616" s="711"/>
      <c r="K616" s="711"/>
      <c r="L616" s="711"/>
      <c r="M616" s="706"/>
      <c r="N616" s="711"/>
      <c r="O616" s="655"/>
      <c r="P616" s="655"/>
      <c r="Q616" s="711"/>
      <c r="R616" s="655"/>
      <c r="S616" s="674"/>
      <c r="T616" s="674"/>
      <c r="U616" s="674"/>
      <c r="V616" s="674"/>
    </row>
    <row r="617">
      <c r="A617" s="712"/>
      <c r="B617" s="713"/>
      <c r="C617" s="714"/>
      <c r="D617" s="715"/>
      <c r="E617" s="714"/>
      <c r="F617" s="715"/>
      <c r="G617" s="716"/>
      <c r="H617" s="717"/>
      <c r="I617" s="713"/>
      <c r="J617" s="718"/>
      <c r="K617" s="718"/>
      <c r="L617" s="718"/>
      <c r="M617" s="713"/>
      <c r="N617" s="718"/>
      <c r="O617" s="662"/>
      <c r="P617" s="662"/>
      <c r="Q617" s="718"/>
      <c r="R617" s="662"/>
      <c r="S617" s="672"/>
      <c r="T617" s="672"/>
      <c r="U617" s="672"/>
      <c r="V617" s="672"/>
    </row>
    <row r="618">
      <c r="A618" s="705"/>
      <c r="B618" s="706"/>
      <c r="C618" s="707"/>
      <c r="D618" s="708"/>
      <c r="E618" s="707"/>
      <c r="F618" s="708"/>
      <c r="G618" s="709"/>
      <c r="H618" s="710"/>
      <c r="I618" s="706"/>
      <c r="J618" s="711"/>
      <c r="K618" s="711"/>
      <c r="L618" s="711"/>
      <c r="M618" s="706"/>
      <c r="N618" s="711"/>
      <c r="O618" s="655"/>
      <c r="P618" s="655"/>
      <c r="Q618" s="711"/>
      <c r="R618" s="655"/>
      <c r="S618" s="674"/>
      <c r="T618" s="674"/>
      <c r="U618" s="674"/>
      <c r="V618" s="674"/>
    </row>
    <row r="619">
      <c r="A619" s="712"/>
      <c r="B619" s="713"/>
      <c r="C619" s="714"/>
      <c r="D619" s="715"/>
      <c r="E619" s="714"/>
      <c r="F619" s="715"/>
      <c r="G619" s="716"/>
      <c r="H619" s="717"/>
      <c r="I619" s="713"/>
      <c r="J619" s="718"/>
      <c r="K619" s="718"/>
      <c r="L619" s="718"/>
      <c r="M619" s="713"/>
      <c r="N619" s="718"/>
      <c r="O619" s="662"/>
      <c r="P619" s="662"/>
      <c r="Q619" s="718"/>
      <c r="R619" s="662"/>
      <c r="S619" s="672"/>
      <c r="T619" s="672"/>
      <c r="U619" s="672"/>
      <c r="V619" s="672"/>
    </row>
    <row r="620">
      <c r="A620" s="705"/>
      <c r="B620" s="706"/>
      <c r="C620" s="707"/>
      <c r="D620" s="708"/>
      <c r="E620" s="707"/>
      <c r="F620" s="708"/>
      <c r="G620" s="709"/>
      <c r="H620" s="710"/>
      <c r="I620" s="706"/>
      <c r="J620" s="711"/>
      <c r="K620" s="711"/>
      <c r="L620" s="711"/>
      <c r="M620" s="706"/>
      <c r="N620" s="711"/>
      <c r="O620" s="655"/>
      <c r="P620" s="655"/>
      <c r="Q620" s="711"/>
      <c r="R620" s="655"/>
      <c r="S620" s="674"/>
      <c r="T620" s="674"/>
      <c r="U620" s="674"/>
      <c r="V620" s="674"/>
    </row>
    <row r="621">
      <c r="A621" s="712"/>
      <c r="B621" s="713"/>
      <c r="C621" s="714"/>
      <c r="D621" s="715"/>
      <c r="E621" s="714"/>
      <c r="F621" s="715"/>
      <c r="G621" s="716"/>
      <c r="H621" s="717"/>
      <c r="I621" s="713"/>
      <c r="J621" s="718"/>
      <c r="K621" s="718"/>
      <c r="L621" s="718"/>
      <c r="M621" s="713"/>
      <c r="N621" s="718"/>
      <c r="O621" s="662"/>
      <c r="P621" s="662"/>
      <c r="Q621" s="718"/>
      <c r="R621" s="662"/>
      <c r="S621" s="672"/>
      <c r="T621" s="672"/>
      <c r="U621" s="672"/>
      <c r="V621" s="672"/>
    </row>
    <row r="622">
      <c r="A622" s="705"/>
      <c r="B622" s="706"/>
      <c r="C622" s="707"/>
      <c r="D622" s="708"/>
      <c r="E622" s="707"/>
      <c r="F622" s="708"/>
      <c r="G622" s="709"/>
      <c r="H622" s="710"/>
      <c r="I622" s="706"/>
      <c r="J622" s="711"/>
      <c r="K622" s="711"/>
      <c r="L622" s="711"/>
      <c r="M622" s="706"/>
      <c r="N622" s="711"/>
      <c r="O622" s="655"/>
      <c r="P622" s="655"/>
      <c r="Q622" s="711"/>
      <c r="R622" s="655"/>
      <c r="S622" s="674"/>
      <c r="T622" s="674"/>
      <c r="U622" s="674"/>
      <c r="V622" s="674"/>
    </row>
    <row r="623">
      <c r="A623" s="712"/>
      <c r="B623" s="713"/>
      <c r="C623" s="714"/>
      <c r="D623" s="715"/>
      <c r="E623" s="714"/>
      <c r="F623" s="715"/>
      <c r="G623" s="716"/>
      <c r="H623" s="717"/>
      <c r="I623" s="713"/>
      <c r="J623" s="718"/>
      <c r="K623" s="718"/>
      <c r="L623" s="718"/>
      <c r="M623" s="713"/>
      <c r="N623" s="718"/>
      <c r="O623" s="662"/>
      <c r="P623" s="662"/>
      <c r="Q623" s="718"/>
      <c r="R623" s="662"/>
      <c r="S623" s="672"/>
      <c r="T623" s="672"/>
      <c r="U623" s="672"/>
      <c r="V623" s="672"/>
    </row>
    <row r="624">
      <c r="A624" s="705"/>
      <c r="B624" s="706"/>
      <c r="C624" s="707"/>
      <c r="D624" s="708"/>
      <c r="E624" s="707"/>
      <c r="F624" s="708"/>
      <c r="G624" s="709"/>
      <c r="H624" s="710"/>
      <c r="I624" s="706"/>
      <c r="J624" s="711"/>
      <c r="K624" s="711"/>
      <c r="L624" s="711"/>
      <c r="M624" s="706"/>
      <c r="N624" s="711"/>
      <c r="O624" s="655"/>
      <c r="P624" s="655"/>
      <c r="Q624" s="711"/>
      <c r="R624" s="655"/>
      <c r="S624" s="674"/>
      <c r="T624" s="674"/>
      <c r="U624" s="674"/>
      <c r="V624" s="674"/>
    </row>
    <row r="625">
      <c r="A625" s="712"/>
      <c r="B625" s="713"/>
      <c r="C625" s="714"/>
      <c r="D625" s="715"/>
      <c r="E625" s="714"/>
      <c r="F625" s="715"/>
      <c r="G625" s="716"/>
      <c r="H625" s="717"/>
      <c r="I625" s="713"/>
      <c r="J625" s="718"/>
      <c r="K625" s="718"/>
      <c r="L625" s="718"/>
      <c r="M625" s="713"/>
      <c r="N625" s="718"/>
      <c r="O625" s="662"/>
      <c r="P625" s="662"/>
      <c r="Q625" s="718"/>
      <c r="R625" s="662"/>
      <c r="S625" s="672"/>
      <c r="T625" s="672"/>
      <c r="U625" s="672"/>
      <c r="V625" s="672"/>
    </row>
    <row r="626">
      <c r="A626" s="705"/>
      <c r="B626" s="706"/>
      <c r="C626" s="707"/>
      <c r="D626" s="708"/>
      <c r="E626" s="707"/>
      <c r="F626" s="708"/>
      <c r="G626" s="709"/>
      <c r="H626" s="710"/>
      <c r="I626" s="706"/>
      <c r="J626" s="711"/>
      <c r="K626" s="711"/>
      <c r="L626" s="711"/>
      <c r="M626" s="706"/>
      <c r="N626" s="711"/>
      <c r="O626" s="655"/>
      <c r="P626" s="655"/>
      <c r="Q626" s="711"/>
      <c r="R626" s="655"/>
      <c r="S626" s="674"/>
      <c r="T626" s="674"/>
      <c r="U626" s="674"/>
      <c r="V626" s="674"/>
    </row>
    <row r="627">
      <c r="A627" s="712"/>
      <c r="B627" s="713"/>
      <c r="C627" s="714"/>
      <c r="D627" s="715"/>
      <c r="E627" s="714"/>
      <c r="F627" s="715"/>
      <c r="G627" s="716"/>
      <c r="H627" s="717"/>
      <c r="I627" s="713"/>
      <c r="J627" s="718"/>
      <c r="K627" s="718"/>
      <c r="L627" s="718"/>
      <c r="M627" s="713"/>
      <c r="N627" s="718"/>
      <c r="O627" s="662"/>
      <c r="P627" s="662"/>
      <c r="Q627" s="718"/>
      <c r="R627" s="662"/>
      <c r="S627" s="672"/>
      <c r="T627" s="672"/>
      <c r="U627" s="672"/>
      <c r="V627" s="672"/>
    </row>
    <row r="628">
      <c r="A628" s="705"/>
      <c r="B628" s="706"/>
      <c r="C628" s="707"/>
      <c r="D628" s="708"/>
      <c r="E628" s="707"/>
      <c r="F628" s="708"/>
      <c r="G628" s="709"/>
      <c r="H628" s="710"/>
      <c r="I628" s="706"/>
      <c r="J628" s="711"/>
      <c r="K628" s="711"/>
      <c r="L628" s="711"/>
      <c r="M628" s="706"/>
      <c r="N628" s="711"/>
      <c r="O628" s="655"/>
      <c r="P628" s="655"/>
      <c r="Q628" s="711"/>
      <c r="R628" s="655"/>
      <c r="S628" s="674"/>
      <c r="T628" s="674"/>
      <c r="U628" s="674"/>
      <c r="V628" s="674"/>
    </row>
    <row r="629">
      <c r="A629" s="712"/>
      <c r="B629" s="713"/>
      <c r="C629" s="714"/>
      <c r="D629" s="715"/>
      <c r="E629" s="714"/>
      <c r="F629" s="715"/>
      <c r="G629" s="716"/>
      <c r="H629" s="717"/>
      <c r="I629" s="713"/>
      <c r="J629" s="718"/>
      <c r="K629" s="718"/>
      <c r="L629" s="718"/>
      <c r="M629" s="713"/>
      <c r="N629" s="718"/>
      <c r="O629" s="662"/>
      <c r="P629" s="662"/>
      <c r="Q629" s="718"/>
      <c r="R629" s="662"/>
      <c r="S629" s="672"/>
      <c r="T629" s="672"/>
      <c r="U629" s="672"/>
      <c r="V629" s="672"/>
    </row>
    <row r="630">
      <c r="A630" s="705"/>
      <c r="B630" s="706"/>
      <c r="C630" s="707"/>
      <c r="D630" s="708"/>
      <c r="E630" s="707"/>
      <c r="F630" s="708"/>
      <c r="G630" s="709"/>
      <c r="H630" s="710"/>
      <c r="I630" s="706"/>
      <c r="J630" s="711"/>
      <c r="K630" s="711"/>
      <c r="L630" s="711"/>
      <c r="M630" s="706"/>
      <c r="N630" s="711"/>
      <c r="O630" s="655"/>
      <c r="P630" s="655"/>
      <c r="Q630" s="711"/>
      <c r="R630" s="655"/>
      <c r="S630" s="674"/>
      <c r="T630" s="674"/>
      <c r="U630" s="674"/>
      <c r="V630" s="674"/>
    </row>
    <row r="631">
      <c r="A631" s="712"/>
      <c r="B631" s="713"/>
      <c r="C631" s="714"/>
      <c r="D631" s="715"/>
      <c r="E631" s="714"/>
      <c r="F631" s="715"/>
      <c r="G631" s="716"/>
      <c r="H631" s="717"/>
      <c r="I631" s="713"/>
      <c r="J631" s="718"/>
      <c r="K631" s="718"/>
      <c r="L631" s="718"/>
      <c r="M631" s="713"/>
      <c r="N631" s="718"/>
      <c r="O631" s="662"/>
      <c r="P631" s="662"/>
      <c r="Q631" s="718"/>
      <c r="R631" s="662"/>
      <c r="S631" s="672"/>
      <c r="T631" s="672"/>
      <c r="U631" s="672"/>
      <c r="V631" s="672"/>
    </row>
    <row r="632">
      <c r="A632" s="705"/>
      <c r="B632" s="706"/>
      <c r="C632" s="707"/>
      <c r="D632" s="708"/>
      <c r="E632" s="707"/>
      <c r="F632" s="708"/>
      <c r="G632" s="709"/>
      <c r="H632" s="710"/>
      <c r="I632" s="706"/>
      <c r="J632" s="711"/>
      <c r="K632" s="711"/>
      <c r="L632" s="711"/>
      <c r="M632" s="706"/>
      <c r="N632" s="711"/>
      <c r="O632" s="655"/>
      <c r="P632" s="655"/>
      <c r="Q632" s="711"/>
      <c r="R632" s="655"/>
      <c r="S632" s="674"/>
      <c r="T632" s="674"/>
      <c r="U632" s="674"/>
      <c r="V632" s="674"/>
    </row>
    <row r="633">
      <c r="A633" s="712"/>
      <c r="B633" s="713"/>
      <c r="C633" s="714"/>
      <c r="D633" s="715"/>
      <c r="E633" s="714"/>
      <c r="F633" s="715"/>
      <c r="G633" s="716"/>
      <c r="H633" s="717"/>
      <c r="I633" s="713"/>
      <c r="J633" s="718"/>
      <c r="K633" s="718"/>
      <c r="L633" s="718"/>
      <c r="M633" s="713"/>
      <c r="N633" s="718"/>
      <c r="O633" s="662"/>
      <c r="P633" s="662"/>
      <c r="Q633" s="718"/>
      <c r="R633" s="662"/>
      <c r="S633" s="672"/>
      <c r="T633" s="672"/>
      <c r="U633" s="672"/>
      <c r="V633" s="672"/>
    </row>
    <row r="634">
      <c r="A634" s="705"/>
      <c r="B634" s="706"/>
      <c r="C634" s="707"/>
      <c r="D634" s="708"/>
      <c r="E634" s="707"/>
      <c r="F634" s="708"/>
      <c r="G634" s="709"/>
      <c r="H634" s="710"/>
      <c r="I634" s="706"/>
      <c r="J634" s="711"/>
      <c r="K634" s="711"/>
      <c r="L634" s="711"/>
      <c r="M634" s="706"/>
      <c r="N634" s="711"/>
      <c r="O634" s="655"/>
      <c r="P634" s="655"/>
      <c r="Q634" s="711"/>
      <c r="R634" s="655"/>
      <c r="S634" s="674"/>
      <c r="T634" s="674"/>
      <c r="U634" s="674"/>
      <c r="V634" s="674"/>
    </row>
    <row r="635">
      <c r="A635" s="712"/>
      <c r="B635" s="713"/>
      <c r="C635" s="714"/>
      <c r="D635" s="715"/>
      <c r="E635" s="714"/>
      <c r="F635" s="715"/>
      <c r="G635" s="716"/>
      <c r="H635" s="717"/>
      <c r="I635" s="713"/>
      <c r="J635" s="718"/>
      <c r="K635" s="718"/>
      <c r="L635" s="718"/>
      <c r="M635" s="713"/>
      <c r="N635" s="718"/>
      <c r="O635" s="662"/>
      <c r="P635" s="662"/>
      <c r="Q635" s="718"/>
      <c r="R635" s="662"/>
      <c r="S635" s="672"/>
      <c r="T635" s="672"/>
      <c r="U635" s="672"/>
      <c r="V635" s="672"/>
    </row>
    <row r="636">
      <c r="A636" s="705"/>
      <c r="B636" s="706"/>
      <c r="C636" s="707"/>
      <c r="D636" s="708"/>
      <c r="E636" s="707"/>
      <c r="F636" s="708"/>
      <c r="G636" s="709"/>
      <c r="H636" s="710"/>
      <c r="I636" s="706"/>
      <c r="J636" s="711"/>
      <c r="K636" s="711"/>
      <c r="L636" s="711"/>
      <c r="M636" s="706"/>
      <c r="N636" s="711"/>
      <c r="O636" s="655"/>
      <c r="P636" s="655"/>
      <c r="Q636" s="711"/>
      <c r="R636" s="655"/>
      <c r="S636" s="674"/>
      <c r="T636" s="674"/>
      <c r="U636" s="674"/>
      <c r="V636" s="674"/>
    </row>
    <row r="637">
      <c r="A637" s="712"/>
      <c r="B637" s="713"/>
      <c r="C637" s="714"/>
      <c r="D637" s="715"/>
      <c r="E637" s="714"/>
      <c r="F637" s="715"/>
      <c r="G637" s="716"/>
      <c r="H637" s="717"/>
      <c r="I637" s="713"/>
      <c r="J637" s="718"/>
      <c r="K637" s="718"/>
      <c r="L637" s="718"/>
      <c r="M637" s="713"/>
      <c r="N637" s="718"/>
      <c r="O637" s="662"/>
      <c r="P637" s="662"/>
      <c r="Q637" s="718"/>
      <c r="R637" s="662"/>
      <c r="S637" s="672"/>
      <c r="T637" s="672"/>
      <c r="U637" s="672"/>
      <c r="V637" s="672"/>
    </row>
    <row r="638">
      <c r="A638" s="705"/>
      <c r="B638" s="706"/>
      <c r="C638" s="707"/>
      <c r="D638" s="708"/>
      <c r="E638" s="707"/>
      <c r="F638" s="708"/>
      <c r="G638" s="709"/>
      <c r="H638" s="710"/>
      <c r="I638" s="706"/>
      <c r="J638" s="711"/>
      <c r="K638" s="711"/>
      <c r="L638" s="711"/>
      <c r="M638" s="706"/>
      <c r="N638" s="711"/>
      <c r="O638" s="655"/>
      <c r="P638" s="655"/>
      <c r="Q638" s="711"/>
      <c r="R638" s="655"/>
      <c r="S638" s="674"/>
      <c r="T638" s="674"/>
      <c r="U638" s="674"/>
      <c r="V638" s="674"/>
    </row>
    <row r="639">
      <c r="A639" s="712"/>
      <c r="B639" s="713"/>
      <c r="C639" s="714"/>
      <c r="D639" s="715"/>
      <c r="E639" s="714"/>
      <c r="F639" s="715"/>
      <c r="G639" s="716"/>
      <c r="H639" s="717"/>
      <c r="I639" s="713"/>
      <c r="J639" s="718"/>
      <c r="K639" s="718"/>
      <c r="L639" s="718"/>
      <c r="M639" s="713"/>
      <c r="N639" s="718"/>
      <c r="O639" s="662"/>
      <c r="P639" s="662"/>
      <c r="Q639" s="718"/>
      <c r="R639" s="662"/>
      <c r="S639" s="672"/>
      <c r="T639" s="672"/>
      <c r="U639" s="672"/>
      <c r="V639" s="672"/>
    </row>
    <row r="640">
      <c r="A640" s="705"/>
      <c r="B640" s="706"/>
      <c r="C640" s="707"/>
      <c r="D640" s="708"/>
      <c r="E640" s="707"/>
      <c r="F640" s="708"/>
      <c r="G640" s="709"/>
      <c r="H640" s="710"/>
      <c r="I640" s="706"/>
      <c r="J640" s="711"/>
      <c r="K640" s="711"/>
      <c r="L640" s="711"/>
      <c r="M640" s="706"/>
      <c r="N640" s="711"/>
      <c r="O640" s="655"/>
      <c r="P640" s="655"/>
      <c r="Q640" s="711"/>
      <c r="R640" s="655"/>
      <c r="S640" s="674"/>
      <c r="T640" s="674"/>
      <c r="U640" s="674"/>
      <c r="V640" s="674"/>
    </row>
    <row r="641">
      <c r="A641" s="712"/>
      <c r="B641" s="713"/>
      <c r="C641" s="714"/>
      <c r="D641" s="715"/>
      <c r="E641" s="714"/>
      <c r="F641" s="715"/>
      <c r="G641" s="716"/>
      <c r="H641" s="717"/>
      <c r="I641" s="713"/>
      <c r="J641" s="718"/>
      <c r="K641" s="718"/>
      <c r="L641" s="718"/>
      <c r="M641" s="713"/>
      <c r="N641" s="718"/>
      <c r="O641" s="662"/>
      <c r="P641" s="662"/>
      <c r="Q641" s="718"/>
      <c r="R641" s="662"/>
      <c r="S641" s="672"/>
      <c r="T641" s="672"/>
      <c r="U641" s="672"/>
      <c r="V641" s="672"/>
    </row>
    <row r="642">
      <c r="A642" s="705"/>
      <c r="B642" s="706"/>
      <c r="C642" s="707"/>
      <c r="D642" s="708"/>
      <c r="E642" s="707"/>
      <c r="F642" s="708"/>
      <c r="G642" s="709"/>
      <c r="H642" s="710"/>
      <c r="I642" s="706"/>
      <c r="J642" s="711"/>
      <c r="K642" s="711"/>
      <c r="L642" s="711"/>
      <c r="M642" s="706"/>
      <c r="N642" s="711"/>
      <c r="O642" s="655"/>
      <c r="P642" s="655"/>
      <c r="Q642" s="711"/>
      <c r="R642" s="655"/>
      <c r="S642" s="674"/>
      <c r="T642" s="674"/>
      <c r="U642" s="674"/>
      <c r="V642" s="674"/>
    </row>
    <row r="643">
      <c r="A643" s="712"/>
      <c r="B643" s="713"/>
      <c r="C643" s="714"/>
      <c r="D643" s="715"/>
      <c r="E643" s="714"/>
      <c r="F643" s="715"/>
      <c r="G643" s="716"/>
      <c r="H643" s="717"/>
      <c r="I643" s="713"/>
      <c r="J643" s="718"/>
      <c r="K643" s="718"/>
      <c r="L643" s="718"/>
      <c r="M643" s="713"/>
      <c r="N643" s="718"/>
      <c r="O643" s="662"/>
      <c r="P643" s="662"/>
      <c r="Q643" s="718"/>
      <c r="R643" s="662"/>
      <c r="S643" s="672"/>
      <c r="T643" s="672"/>
      <c r="U643" s="672"/>
      <c r="V643" s="672"/>
    </row>
    <row r="644">
      <c r="A644" s="705"/>
      <c r="B644" s="706"/>
      <c r="C644" s="707"/>
      <c r="D644" s="708"/>
      <c r="E644" s="707"/>
      <c r="F644" s="708"/>
      <c r="G644" s="709"/>
      <c r="H644" s="710"/>
      <c r="I644" s="706"/>
      <c r="J644" s="711"/>
      <c r="K644" s="711"/>
      <c r="L644" s="711"/>
      <c r="M644" s="706"/>
      <c r="N644" s="711"/>
      <c r="O644" s="655"/>
      <c r="P644" s="655"/>
      <c r="Q644" s="711"/>
      <c r="R644" s="655"/>
      <c r="S644" s="674"/>
      <c r="T644" s="674"/>
      <c r="U644" s="674"/>
      <c r="V644" s="674"/>
    </row>
    <row r="645">
      <c r="A645" s="712"/>
      <c r="B645" s="713"/>
      <c r="C645" s="714"/>
      <c r="D645" s="715"/>
      <c r="E645" s="714"/>
      <c r="F645" s="715"/>
      <c r="G645" s="716"/>
      <c r="H645" s="717"/>
      <c r="I645" s="713"/>
      <c r="J645" s="718"/>
      <c r="K645" s="718"/>
      <c r="L645" s="718"/>
      <c r="M645" s="713"/>
      <c r="N645" s="718"/>
      <c r="O645" s="662"/>
      <c r="P645" s="662"/>
      <c r="Q645" s="718"/>
      <c r="R645" s="662"/>
      <c r="S645" s="672"/>
      <c r="T645" s="672"/>
      <c r="U645" s="672"/>
      <c r="V645" s="672"/>
    </row>
    <row r="646">
      <c r="A646" s="705"/>
      <c r="B646" s="706"/>
      <c r="C646" s="707"/>
      <c r="D646" s="708"/>
      <c r="E646" s="707"/>
      <c r="F646" s="708"/>
      <c r="G646" s="709"/>
      <c r="H646" s="710"/>
      <c r="I646" s="706"/>
      <c r="J646" s="711"/>
      <c r="K646" s="711"/>
      <c r="L646" s="711"/>
      <c r="M646" s="706"/>
      <c r="N646" s="711"/>
      <c r="O646" s="655"/>
      <c r="P646" s="655"/>
      <c r="Q646" s="711"/>
      <c r="R646" s="655"/>
      <c r="S646" s="674"/>
      <c r="T646" s="674"/>
      <c r="U646" s="674"/>
      <c r="V646" s="674"/>
    </row>
    <row r="647">
      <c r="A647" s="712"/>
      <c r="B647" s="713"/>
      <c r="C647" s="714"/>
      <c r="D647" s="715"/>
      <c r="E647" s="714"/>
      <c r="F647" s="715"/>
      <c r="G647" s="716"/>
      <c r="H647" s="717"/>
      <c r="I647" s="713"/>
      <c r="J647" s="718"/>
      <c r="K647" s="718"/>
      <c r="L647" s="718"/>
      <c r="M647" s="713"/>
      <c r="N647" s="718"/>
      <c r="O647" s="662"/>
      <c r="P647" s="662"/>
      <c r="Q647" s="718"/>
      <c r="R647" s="662"/>
      <c r="S647" s="672"/>
      <c r="T647" s="672"/>
      <c r="U647" s="672"/>
      <c r="V647" s="672"/>
    </row>
    <row r="648">
      <c r="A648" s="705"/>
      <c r="B648" s="706"/>
      <c r="C648" s="707"/>
      <c r="D648" s="708"/>
      <c r="E648" s="707"/>
      <c r="F648" s="708"/>
      <c r="G648" s="709"/>
      <c r="H648" s="710"/>
      <c r="I648" s="706"/>
      <c r="J648" s="711"/>
      <c r="K648" s="711"/>
      <c r="L648" s="711"/>
      <c r="M648" s="706"/>
      <c r="N648" s="711"/>
      <c r="O648" s="655"/>
      <c r="P648" s="655"/>
      <c r="Q648" s="711"/>
      <c r="R648" s="655"/>
      <c r="S648" s="674"/>
      <c r="T648" s="674"/>
      <c r="U648" s="674"/>
      <c r="V648" s="674"/>
    </row>
    <row r="649">
      <c r="A649" s="712"/>
      <c r="B649" s="713"/>
      <c r="C649" s="714"/>
      <c r="D649" s="715"/>
      <c r="E649" s="714"/>
      <c r="F649" s="715"/>
      <c r="G649" s="716"/>
      <c r="H649" s="717"/>
      <c r="I649" s="713"/>
      <c r="J649" s="718"/>
      <c r="K649" s="718"/>
      <c r="L649" s="718"/>
      <c r="M649" s="713"/>
      <c r="N649" s="718"/>
      <c r="O649" s="662"/>
      <c r="P649" s="662"/>
      <c r="Q649" s="718"/>
      <c r="R649" s="662"/>
      <c r="S649" s="672"/>
      <c r="T649" s="672"/>
      <c r="U649" s="672"/>
      <c r="V649" s="672"/>
    </row>
    <row r="650">
      <c r="A650" s="705"/>
      <c r="B650" s="706"/>
      <c r="C650" s="707"/>
      <c r="D650" s="708"/>
      <c r="E650" s="707"/>
      <c r="F650" s="708"/>
      <c r="G650" s="709"/>
      <c r="H650" s="710"/>
      <c r="I650" s="706"/>
      <c r="J650" s="711"/>
      <c r="K650" s="711"/>
      <c r="L650" s="711"/>
      <c r="M650" s="706"/>
      <c r="N650" s="711"/>
      <c r="O650" s="655"/>
      <c r="P650" s="655"/>
      <c r="Q650" s="711"/>
      <c r="R650" s="655"/>
      <c r="S650" s="674"/>
      <c r="T650" s="674"/>
      <c r="U650" s="674"/>
      <c r="V650" s="674"/>
    </row>
    <row r="651">
      <c r="A651" s="712"/>
      <c r="B651" s="713"/>
      <c r="C651" s="714"/>
      <c r="D651" s="715"/>
      <c r="E651" s="714"/>
      <c r="F651" s="715"/>
      <c r="G651" s="716"/>
      <c r="H651" s="717"/>
      <c r="I651" s="713"/>
      <c r="J651" s="718"/>
      <c r="K651" s="718"/>
      <c r="L651" s="718"/>
      <c r="M651" s="713"/>
      <c r="N651" s="718"/>
      <c r="O651" s="662"/>
      <c r="P651" s="662"/>
      <c r="Q651" s="718"/>
      <c r="R651" s="662"/>
      <c r="S651" s="672"/>
      <c r="T651" s="672"/>
      <c r="U651" s="672"/>
      <c r="V651" s="672"/>
    </row>
    <row r="652">
      <c r="A652" s="705"/>
      <c r="B652" s="706"/>
      <c r="C652" s="707"/>
      <c r="D652" s="708"/>
      <c r="E652" s="707"/>
      <c r="F652" s="708"/>
      <c r="G652" s="709"/>
      <c r="H652" s="710"/>
      <c r="I652" s="706"/>
      <c r="J652" s="711"/>
      <c r="K652" s="711"/>
      <c r="L652" s="711"/>
      <c r="M652" s="706"/>
      <c r="N652" s="711"/>
      <c r="O652" s="655"/>
      <c r="P652" s="655"/>
      <c r="Q652" s="711"/>
      <c r="R652" s="655"/>
      <c r="S652" s="674"/>
      <c r="T652" s="674"/>
      <c r="U652" s="674"/>
      <c r="V652" s="674"/>
    </row>
    <row r="653">
      <c r="A653" s="712"/>
      <c r="B653" s="713"/>
      <c r="C653" s="714"/>
      <c r="D653" s="715"/>
      <c r="E653" s="714"/>
      <c r="F653" s="715"/>
      <c r="G653" s="716"/>
      <c r="H653" s="717"/>
      <c r="I653" s="713"/>
      <c r="J653" s="718"/>
      <c r="K653" s="718"/>
      <c r="L653" s="718"/>
      <c r="M653" s="713"/>
      <c r="N653" s="718"/>
      <c r="O653" s="662"/>
      <c r="P653" s="662"/>
      <c r="Q653" s="718"/>
      <c r="R653" s="662"/>
      <c r="S653" s="672"/>
      <c r="T653" s="672"/>
      <c r="U653" s="672"/>
      <c r="V653" s="672"/>
    </row>
    <row r="654">
      <c r="A654" s="705"/>
      <c r="B654" s="706"/>
      <c r="C654" s="707"/>
      <c r="D654" s="708"/>
      <c r="E654" s="707"/>
      <c r="F654" s="708"/>
      <c r="G654" s="709"/>
      <c r="H654" s="710"/>
      <c r="I654" s="706"/>
      <c r="J654" s="711"/>
      <c r="K654" s="711"/>
      <c r="L654" s="711"/>
      <c r="M654" s="706"/>
      <c r="N654" s="711"/>
      <c r="O654" s="655"/>
      <c r="P654" s="655"/>
      <c r="Q654" s="711"/>
      <c r="R654" s="655"/>
      <c r="S654" s="674"/>
      <c r="T654" s="674"/>
      <c r="U654" s="674"/>
      <c r="V654" s="674"/>
    </row>
    <row r="655">
      <c r="A655" s="712"/>
      <c r="B655" s="713"/>
      <c r="C655" s="714"/>
      <c r="D655" s="715"/>
      <c r="E655" s="714"/>
      <c r="F655" s="715"/>
      <c r="G655" s="716"/>
      <c r="H655" s="717"/>
      <c r="I655" s="713"/>
      <c r="J655" s="718"/>
      <c r="K655" s="718"/>
      <c r="L655" s="718"/>
      <c r="M655" s="713"/>
      <c r="N655" s="718"/>
      <c r="O655" s="662"/>
      <c r="P655" s="662"/>
      <c r="Q655" s="718"/>
      <c r="R655" s="662"/>
      <c r="S655" s="672"/>
      <c r="T655" s="672"/>
      <c r="U655" s="672"/>
      <c r="V655" s="672"/>
    </row>
    <row r="656">
      <c r="A656" s="705"/>
      <c r="B656" s="706"/>
      <c r="C656" s="707"/>
      <c r="D656" s="708"/>
      <c r="E656" s="707"/>
      <c r="F656" s="708"/>
      <c r="G656" s="709"/>
      <c r="H656" s="710"/>
      <c r="I656" s="706"/>
      <c r="J656" s="711"/>
      <c r="K656" s="711"/>
      <c r="L656" s="711"/>
      <c r="M656" s="706"/>
      <c r="N656" s="711"/>
      <c r="O656" s="655"/>
      <c r="P656" s="655"/>
      <c r="Q656" s="711"/>
      <c r="R656" s="655"/>
      <c r="S656" s="674"/>
      <c r="T656" s="674"/>
      <c r="U656" s="674"/>
      <c r="V656" s="674"/>
    </row>
    <row r="657">
      <c r="A657" s="712"/>
      <c r="B657" s="713"/>
      <c r="C657" s="714"/>
      <c r="D657" s="715"/>
      <c r="E657" s="714"/>
      <c r="F657" s="715"/>
      <c r="G657" s="716"/>
      <c r="H657" s="717"/>
      <c r="I657" s="713"/>
      <c r="J657" s="718"/>
      <c r="K657" s="718"/>
      <c r="L657" s="718"/>
      <c r="M657" s="713"/>
      <c r="N657" s="718"/>
      <c r="O657" s="662"/>
      <c r="P657" s="662"/>
      <c r="Q657" s="718"/>
      <c r="R657" s="662"/>
      <c r="S657" s="672"/>
      <c r="T657" s="672"/>
      <c r="U657" s="672"/>
      <c r="V657" s="672"/>
    </row>
    <row r="658">
      <c r="A658" s="705"/>
      <c r="B658" s="706"/>
      <c r="C658" s="707"/>
      <c r="D658" s="708"/>
      <c r="E658" s="707"/>
      <c r="F658" s="708"/>
      <c r="G658" s="709"/>
      <c r="H658" s="710"/>
      <c r="I658" s="706"/>
      <c r="J658" s="711"/>
      <c r="K658" s="711"/>
      <c r="L658" s="711"/>
      <c r="M658" s="706"/>
      <c r="N658" s="711"/>
      <c r="O658" s="655"/>
      <c r="P658" s="655"/>
      <c r="Q658" s="711"/>
      <c r="R658" s="655"/>
      <c r="S658" s="674"/>
      <c r="T658" s="674"/>
      <c r="U658" s="674"/>
      <c r="V658" s="674"/>
    </row>
    <row r="659">
      <c r="A659" s="712"/>
      <c r="B659" s="713"/>
      <c r="C659" s="714"/>
      <c r="D659" s="715"/>
      <c r="E659" s="714"/>
      <c r="F659" s="715"/>
      <c r="G659" s="716"/>
      <c r="H659" s="717"/>
      <c r="I659" s="713"/>
      <c r="J659" s="718"/>
      <c r="K659" s="718"/>
      <c r="L659" s="718"/>
      <c r="M659" s="713"/>
      <c r="N659" s="718"/>
      <c r="O659" s="662"/>
      <c r="P659" s="662"/>
      <c r="Q659" s="718"/>
      <c r="R659" s="662"/>
      <c r="S659" s="672"/>
      <c r="T659" s="672"/>
      <c r="U659" s="672"/>
      <c r="V659" s="672"/>
    </row>
    <row r="660">
      <c r="A660" s="705"/>
      <c r="B660" s="706"/>
      <c r="C660" s="707"/>
      <c r="D660" s="708"/>
      <c r="E660" s="707"/>
      <c r="F660" s="708"/>
      <c r="G660" s="709"/>
      <c r="H660" s="710"/>
      <c r="I660" s="706"/>
      <c r="J660" s="711"/>
      <c r="K660" s="711"/>
      <c r="L660" s="711"/>
      <c r="M660" s="706"/>
      <c r="N660" s="711"/>
      <c r="O660" s="655"/>
      <c r="P660" s="655"/>
      <c r="Q660" s="711"/>
      <c r="R660" s="655"/>
      <c r="S660" s="674"/>
      <c r="T660" s="674"/>
      <c r="U660" s="674"/>
      <c r="V660" s="674"/>
    </row>
    <row r="661">
      <c r="A661" s="712"/>
      <c r="B661" s="713"/>
      <c r="C661" s="714"/>
      <c r="D661" s="715"/>
      <c r="E661" s="714"/>
      <c r="F661" s="715"/>
      <c r="G661" s="716"/>
      <c r="H661" s="717"/>
      <c r="I661" s="713"/>
      <c r="J661" s="718"/>
      <c r="K661" s="718"/>
      <c r="L661" s="718"/>
      <c r="M661" s="713"/>
      <c r="N661" s="718"/>
      <c r="O661" s="662"/>
      <c r="P661" s="662"/>
      <c r="Q661" s="718"/>
      <c r="R661" s="662"/>
      <c r="S661" s="672"/>
      <c r="T661" s="672"/>
      <c r="U661" s="672"/>
      <c r="V661" s="672"/>
    </row>
    <row r="662">
      <c r="A662" s="705"/>
      <c r="B662" s="706"/>
      <c r="C662" s="707"/>
      <c r="D662" s="708"/>
      <c r="E662" s="707"/>
      <c r="F662" s="708"/>
      <c r="G662" s="709"/>
      <c r="H662" s="710"/>
      <c r="I662" s="706"/>
      <c r="J662" s="711"/>
      <c r="K662" s="711"/>
      <c r="L662" s="711"/>
      <c r="M662" s="706"/>
      <c r="N662" s="711"/>
      <c r="O662" s="655"/>
      <c r="P662" s="655"/>
      <c r="Q662" s="711"/>
      <c r="R662" s="655"/>
      <c r="S662" s="674"/>
      <c r="T662" s="674"/>
      <c r="U662" s="674"/>
      <c r="V662" s="674"/>
    </row>
    <row r="663">
      <c r="A663" s="712"/>
      <c r="B663" s="713"/>
      <c r="C663" s="714"/>
      <c r="D663" s="715"/>
      <c r="E663" s="714"/>
      <c r="F663" s="715"/>
      <c r="G663" s="716"/>
      <c r="H663" s="717"/>
      <c r="I663" s="713"/>
      <c r="J663" s="718"/>
      <c r="K663" s="718"/>
      <c r="L663" s="718"/>
      <c r="M663" s="713"/>
      <c r="N663" s="718"/>
      <c r="O663" s="662"/>
      <c r="P663" s="662"/>
      <c r="Q663" s="718"/>
      <c r="R663" s="662"/>
      <c r="S663" s="672"/>
      <c r="T663" s="672"/>
      <c r="U663" s="672"/>
      <c r="V663" s="672"/>
    </row>
    <row r="664">
      <c r="A664" s="705"/>
      <c r="B664" s="706"/>
      <c r="C664" s="707"/>
      <c r="D664" s="708"/>
      <c r="E664" s="707"/>
      <c r="F664" s="708"/>
      <c r="G664" s="709"/>
      <c r="H664" s="710"/>
      <c r="I664" s="706"/>
      <c r="J664" s="711"/>
      <c r="K664" s="711"/>
      <c r="L664" s="711"/>
      <c r="M664" s="706"/>
      <c r="N664" s="711"/>
      <c r="O664" s="655"/>
      <c r="P664" s="655"/>
      <c r="Q664" s="711"/>
      <c r="R664" s="655"/>
      <c r="S664" s="674"/>
      <c r="T664" s="674"/>
      <c r="U664" s="674"/>
      <c r="V664" s="674"/>
    </row>
    <row r="665">
      <c r="A665" s="712"/>
      <c r="B665" s="713"/>
      <c r="C665" s="714"/>
      <c r="D665" s="715"/>
      <c r="E665" s="714"/>
      <c r="F665" s="715"/>
      <c r="G665" s="716"/>
      <c r="H665" s="717"/>
      <c r="I665" s="713"/>
      <c r="J665" s="718"/>
      <c r="K665" s="718"/>
      <c r="L665" s="718"/>
      <c r="M665" s="713"/>
      <c r="N665" s="718"/>
      <c r="O665" s="662"/>
      <c r="P665" s="662"/>
      <c r="Q665" s="718"/>
      <c r="R665" s="662"/>
      <c r="S665" s="672"/>
      <c r="T665" s="672"/>
      <c r="U665" s="672"/>
      <c r="V665" s="672"/>
    </row>
    <row r="666">
      <c r="A666" s="705"/>
      <c r="B666" s="706"/>
      <c r="C666" s="707"/>
      <c r="D666" s="708"/>
      <c r="E666" s="707"/>
      <c r="F666" s="708"/>
      <c r="G666" s="709"/>
      <c r="H666" s="710"/>
      <c r="I666" s="706"/>
      <c r="J666" s="711"/>
      <c r="K666" s="711"/>
      <c r="L666" s="711"/>
      <c r="M666" s="706"/>
      <c r="N666" s="711"/>
      <c r="O666" s="655"/>
      <c r="P666" s="655"/>
      <c r="Q666" s="711"/>
      <c r="R666" s="655"/>
      <c r="S666" s="674"/>
      <c r="T666" s="674"/>
      <c r="U666" s="674"/>
      <c r="V666" s="674"/>
    </row>
    <row r="667">
      <c r="A667" s="712"/>
      <c r="B667" s="713"/>
      <c r="C667" s="714"/>
      <c r="D667" s="715"/>
      <c r="E667" s="714"/>
      <c r="F667" s="715"/>
      <c r="G667" s="716"/>
      <c r="H667" s="717"/>
      <c r="I667" s="713"/>
      <c r="J667" s="718"/>
      <c r="K667" s="718"/>
      <c r="L667" s="718"/>
      <c r="M667" s="713"/>
      <c r="N667" s="718"/>
      <c r="O667" s="662"/>
      <c r="P667" s="662"/>
      <c r="Q667" s="718"/>
      <c r="R667" s="662"/>
      <c r="S667" s="672"/>
      <c r="T667" s="672"/>
      <c r="U667" s="672"/>
      <c r="V667" s="672"/>
    </row>
    <row r="668">
      <c r="A668" s="705"/>
      <c r="B668" s="706"/>
      <c r="C668" s="707"/>
      <c r="D668" s="708"/>
      <c r="E668" s="707"/>
      <c r="F668" s="708"/>
      <c r="G668" s="709"/>
      <c r="H668" s="710"/>
      <c r="I668" s="706"/>
      <c r="J668" s="711"/>
      <c r="K668" s="711"/>
      <c r="L668" s="711"/>
      <c r="M668" s="706"/>
      <c r="N668" s="711"/>
      <c r="O668" s="655"/>
      <c r="P668" s="655"/>
      <c r="Q668" s="711"/>
      <c r="R668" s="655"/>
      <c r="S668" s="674"/>
      <c r="T668" s="674"/>
      <c r="U668" s="674"/>
      <c r="V668" s="674"/>
    </row>
    <row r="669">
      <c r="A669" s="712"/>
      <c r="B669" s="713"/>
      <c r="C669" s="714"/>
      <c r="D669" s="715"/>
      <c r="E669" s="714"/>
      <c r="F669" s="715"/>
      <c r="G669" s="716"/>
      <c r="H669" s="717"/>
      <c r="I669" s="713"/>
      <c r="J669" s="718"/>
      <c r="K669" s="718"/>
      <c r="L669" s="718"/>
      <c r="M669" s="713"/>
      <c r="N669" s="718"/>
      <c r="O669" s="662"/>
      <c r="P669" s="662"/>
      <c r="Q669" s="718"/>
      <c r="R669" s="662"/>
      <c r="S669" s="672"/>
      <c r="T669" s="672"/>
      <c r="U669" s="672"/>
      <c r="V669" s="672"/>
    </row>
    <row r="670">
      <c r="A670" s="705"/>
      <c r="B670" s="706"/>
      <c r="C670" s="707"/>
      <c r="D670" s="708"/>
      <c r="E670" s="707"/>
      <c r="F670" s="708"/>
      <c r="G670" s="709"/>
      <c r="H670" s="710"/>
      <c r="I670" s="706"/>
      <c r="J670" s="711"/>
      <c r="K670" s="711"/>
      <c r="L670" s="711"/>
      <c r="M670" s="706"/>
      <c r="N670" s="711"/>
      <c r="O670" s="655"/>
      <c r="P670" s="655"/>
      <c r="Q670" s="711"/>
      <c r="R670" s="655"/>
      <c r="S670" s="674"/>
      <c r="T670" s="674"/>
      <c r="U670" s="674"/>
      <c r="V670" s="674"/>
    </row>
    <row r="671">
      <c r="A671" s="712"/>
      <c r="B671" s="713"/>
      <c r="C671" s="714"/>
      <c r="D671" s="715"/>
      <c r="E671" s="714"/>
      <c r="F671" s="715"/>
      <c r="G671" s="716"/>
      <c r="H671" s="717"/>
      <c r="I671" s="713"/>
      <c r="J671" s="718"/>
      <c r="K671" s="718"/>
      <c r="L671" s="718"/>
      <c r="M671" s="713"/>
      <c r="N671" s="718"/>
      <c r="O671" s="662"/>
      <c r="P671" s="662"/>
      <c r="Q671" s="718"/>
      <c r="R671" s="662"/>
      <c r="S671" s="672"/>
      <c r="T671" s="672"/>
      <c r="U671" s="672"/>
      <c r="V671" s="672"/>
    </row>
    <row r="672">
      <c r="A672" s="705"/>
      <c r="B672" s="706"/>
      <c r="C672" s="707"/>
      <c r="D672" s="708"/>
      <c r="E672" s="707"/>
      <c r="F672" s="708"/>
      <c r="G672" s="709"/>
      <c r="H672" s="710"/>
      <c r="I672" s="706"/>
      <c r="J672" s="711"/>
      <c r="K672" s="711"/>
      <c r="L672" s="711"/>
      <c r="M672" s="706"/>
      <c r="N672" s="711"/>
      <c r="O672" s="655"/>
      <c r="P672" s="655"/>
      <c r="Q672" s="711"/>
      <c r="R672" s="655"/>
      <c r="S672" s="674"/>
      <c r="T672" s="674"/>
      <c r="U672" s="674"/>
      <c r="V672" s="674"/>
    </row>
    <row r="673">
      <c r="A673" s="712"/>
      <c r="B673" s="713"/>
      <c r="C673" s="714"/>
      <c r="D673" s="715"/>
      <c r="E673" s="714"/>
      <c r="F673" s="715"/>
      <c r="G673" s="716"/>
      <c r="H673" s="717"/>
      <c r="I673" s="713"/>
      <c r="J673" s="718"/>
      <c r="K673" s="718"/>
      <c r="L673" s="718"/>
      <c r="M673" s="713"/>
      <c r="N673" s="718"/>
      <c r="O673" s="662"/>
      <c r="P673" s="662"/>
      <c r="Q673" s="718"/>
      <c r="R673" s="662"/>
      <c r="S673" s="672"/>
      <c r="T673" s="672"/>
      <c r="U673" s="672"/>
      <c r="V673" s="672"/>
    </row>
    <row r="674">
      <c r="A674" s="705"/>
      <c r="B674" s="706"/>
      <c r="C674" s="707"/>
      <c r="D674" s="708"/>
      <c r="E674" s="707"/>
      <c r="F674" s="708"/>
      <c r="G674" s="709"/>
      <c r="H674" s="710"/>
      <c r="I674" s="706"/>
      <c r="J674" s="711"/>
      <c r="K674" s="711"/>
      <c r="L674" s="711"/>
      <c r="M674" s="706"/>
      <c r="N674" s="711"/>
      <c r="O674" s="655"/>
      <c r="P674" s="655"/>
      <c r="Q674" s="711"/>
      <c r="R674" s="655"/>
      <c r="S674" s="674"/>
      <c r="T674" s="674"/>
      <c r="U674" s="674"/>
      <c r="V674" s="674"/>
    </row>
    <row r="675">
      <c r="A675" s="712"/>
      <c r="B675" s="713"/>
      <c r="C675" s="714"/>
      <c r="D675" s="715"/>
      <c r="E675" s="714"/>
      <c r="F675" s="715"/>
      <c r="G675" s="716"/>
      <c r="H675" s="717"/>
      <c r="I675" s="713"/>
      <c r="J675" s="718"/>
      <c r="K675" s="718"/>
      <c r="L675" s="718"/>
      <c r="M675" s="713"/>
      <c r="N675" s="718"/>
      <c r="O675" s="662"/>
      <c r="P675" s="662"/>
      <c r="Q675" s="718"/>
      <c r="R675" s="662"/>
      <c r="S675" s="672"/>
      <c r="T675" s="672"/>
      <c r="U675" s="672"/>
      <c r="V675" s="672"/>
    </row>
    <row r="676">
      <c r="A676" s="705"/>
      <c r="B676" s="706"/>
      <c r="C676" s="707"/>
      <c r="D676" s="708"/>
      <c r="E676" s="707"/>
      <c r="F676" s="708"/>
      <c r="G676" s="709"/>
      <c r="H676" s="710"/>
      <c r="I676" s="706"/>
      <c r="J676" s="711"/>
      <c r="K676" s="711"/>
      <c r="L676" s="711"/>
      <c r="M676" s="706"/>
      <c r="N676" s="711"/>
      <c r="O676" s="655"/>
      <c r="P676" s="655"/>
      <c r="Q676" s="711"/>
      <c r="R676" s="655"/>
      <c r="S676" s="674"/>
      <c r="T676" s="674"/>
      <c r="U676" s="674"/>
      <c r="V676" s="674"/>
    </row>
    <row r="677">
      <c r="A677" s="712"/>
      <c r="B677" s="713"/>
      <c r="C677" s="714"/>
      <c r="D677" s="715"/>
      <c r="E677" s="714"/>
      <c r="F677" s="715"/>
      <c r="G677" s="716"/>
      <c r="H677" s="717"/>
      <c r="I677" s="713"/>
      <c r="J677" s="718"/>
      <c r="K677" s="718"/>
      <c r="L677" s="718"/>
      <c r="M677" s="713"/>
      <c r="N677" s="718"/>
      <c r="O677" s="662"/>
      <c r="P677" s="662"/>
      <c r="Q677" s="718"/>
      <c r="R677" s="662"/>
      <c r="S677" s="672"/>
      <c r="T677" s="672"/>
      <c r="U677" s="672"/>
      <c r="V677" s="672"/>
    </row>
    <row r="678">
      <c r="A678" s="705"/>
      <c r="B678" s="706"/>
      <c r="C678" s="707"/>
      <c r="D678" s="708"/>
      <c r="E678" s="707"/>
      <c r="F678" s="708"/>
      <c r="G678" s="709"/>
      <c r="H678" s="710"/>
      <c r="I678" s="706"/>
      <c r="J678" s="711"/>
      <c r="K678" s="711"/>
      <c r="L678" s="711"/>
      <c r="M678" s="706"/>
      <c r="N678" s="711"/>
      <c r="O678" s="655"/>
      <c r="P678" s="655"/>
      <c r="Q678" s="711"/>
      <c r="R678" s="655"/>
      <c r="S678" s="674"/>
      <c r="T678" s="674"/>
      <c r="U678" s="674"/>
      <c r="V678" s="674"/>
    </row>
    <row r="679">
      <c r="A679" s="712"/>
      <c r="B679" s="713"/>
      <c r="C679" s="714"/>
      <c r="D679" s="715"/>
      <c r="E679" s="714"/>
      <c r="F679" s="715"/>
      <c r="G679" s="716"/>
      <c r="H679" s="717"/>
      <c r="I679" s="713"/>
      <c r="J679" s="718"/>
      <c r="K679" s="718"/>
      <c r="L679" s="718"/>
      <c r="M679" s="713"/>
      <c r="N679" s="718"/>
      <c r="O679" s="662"/>
      <c r="P679" s="662"/>
      <c r="Q679" s="718"/>
      <c r="R679" s="662"/>
      <c r="S679" s="672"/>
      <c r="T679" s="672"/>
      <c r="U679" s="672"/>
      <c r="V679" s="672"/>
    </row>
    <row r="680">
      <c r="A680" s="705"/>
      <c r="B680" s="706"/>
      <c r="C680" s="707"/>
      <c r="D680" s="708"/>
      <c r="E680" s="707"/>
      <c r="F680" s="708"/>
      <c r="G680" s="709"/>
      <c r="H680" s="710"/>
      <c r="I680" s="706"/>
      <c r="J680" s="711"/>
      <c r="K680" s="711"/>
      <c r="L680" s="711"/>
      <c r="M680" s="706"/>
      <c r="N680" s="711"/>
      <c r="O680" s="655"/>
      <c r="P680" s="655"/>
      <c r="Q680" s="711"/>
      <c r="R680" s="655"/>
      <c r="S680" s="674"/>
      <c r="T680" s="674"/>
      <c r="U680" s="674"/>
      <c r="V680" s="674"/>
    </row>
    <row r="681">
      <c r="A681" s="712"/>
      <c r="B681" s="713"/>
      <c r="C681" s="714"/>
      <c r="D681" s="715"/>
      <c r="E681" s="714"/>
      <c r="F681" s="715"/>
      <c r="G681" s="716"/>
      <c r="H681" s="717"/>
      <c r="I681" s="713"/>
      <c r="J681" s="718"/>
      <c r="K681" s="718"/>
      <c r="L681" s="718"/>
      <c r="M681" s="713"/>
      <c r="N681" s="718"/>
      <c r="O681" s="662"/>
      <c r="P681" s="662"/>
      <c r="Q681" s="718"/>
      <c r="R681" s="662"/>
      <c r="S681" s="672"/>
      <c r="T681" s="672"/>
      <c r="U681" s="672"/>
      <c r="V681" s="672"/>
    </row>
    <row r="682">
      <c r="A682" s="705"/>
      <c r="B682" s="706"/>
      <c r="C682" s="707"/>
      <c r="D682" s="708"/>
      <c r="E682" s="707"/>
      <c r="F682" s="708"/>
      <c r="G682" s="709"/>
      <c r="H682" s="710"/>
      <c r="I682" s="706"/>
      <c r="J682" s="711"/>
      <c r="K682" s="711"/>
      <c r="L682" s="711"/>
      <c r="M682" s="706"/>
      <c r="N682" s="711"/>
      <c r="O682" s="655"/>
      <c r="P682" s="655"/>
      <c r="Q682" s="711"/>
      <c r="R682" s="655"/>
      <c r="S682" s="674"/>
      <c r="T682" s="674"/>
      <c r="U682" s="674"/>
      <c r="V682" s="674"/>
    </row>
    <row r="683">
      <c r="A683" s="712"/>
      <c r="B683" s="713"/>
      <c r="C683" s="714"/>
      <c r="D683" s="715"/>
      <c r="E683" s="714"/>
      <c r="F683" s="715"/>
      <c r="G683" s="716"/>
      <c r="H683" s="717"/>
      <c r="I683" s="713"/>
      <c r="J683" s="718"/>
      <c r="K683" s="718"/>
      <c r="L683" s="718"/>
      <c r="M683" s="713"/>
      <c r="N683" s="718"/>
      <c r="O683" s="662"/>
      <c r="P683" s="662"/>
      <c r="Q683" s="718"/>
      <c r="R683" s="662"/>
      <c r="S683" s="672"/>
      <c r="T683" s="672"/>
      <c r="U683" s="672"/>
      <c r="V683" s="672"/>
    </row>
    <row r="684">
      <c r="A684" s="705"/>
      <c r="B684" s="706"/>
      <c r="C684" s="707"/>
      <c r="D684" s="708"/>
      <c r="E684" s="707"/>
      <c r="F684" s="708"/>
      <c r="G684" s="709"/>
      <c r="H684" s="710"/>
      <c r="I684" s="706"/>
      <c r="J684" s="711"/>
      <c r="K684" s="711"/>
      <c r="L684" s="711"/>
      <c r="M684" s="706"/>
      <c r="N684" s="711"/>
      <c r="O684" s="655"/>
      <c r="P684" s="655"/>
      <c r="Q684" s="711"/>
      <c r="R684" s="655"/>
      <c r="S684" s="674"/>
      <c r="T684" s="674"/>
      <c r="U684" s="674"/>
      <c r="V684" s="674"/>
    </row>
    <row r="685">
      <c r="A685" s="712"/>
      <c r="B685" s="713"/>
      <c r="C685" s="714"/>
      <c r="D685" s="715"/>
      <c r="E685" s="714"/>
      <c r="F685" s="715"/>
      <c r="G685" s="716"/>
      <c r="H685" s="717"/>
      <c r="I685" s="713"/>
      <c r="J685" s="718"/>
      <c r="K685" s="718"/>
      <c r="L685" s="718"/>
      <c r="M685" s="713"/>
      <c r="N685" s="718"/>
      <c r="O685" s="662"/>
      <c r="P685" s="662"/>
      <c r="Q685" s="718"/>
      <c r="R685" s="662"/>
      <c r="S685" s="672"/>
      <c r="T685" s="672"/>
      <c r="U685" s="672"/>
      <c r="V685" s="672"/>
    </row>
    <row r="686">
      <c r="A686" s="705"/>
      <c r="B686" s="706"/>
      <c r="C686" s="707"/>
      <c r="D686" s="708"/>
      <c r="E686" s="707"/>
      <c r="F686" s="708"/>
      <c r="G686" s="709"/>
      <c r="H686" s="710"/>
      <c r="I686" s="706"/>
      <c r="J686" s="711"/>
      <c r="K686" s="711"/>
      <c r="L686" s="711"/>
      <c r="M686" s="706"/>
      <c r="N686" s="711"/>
      <c r="O686" s="655"/>
      <c r="P686" s="655"/>
      <c r="Q686" s="711"/>
      <c r="R686" s="655"/>
      <c r="S686" s="674"/>
      <c r="T686" s="674"/>
      <c r="U686" s="674"/>
      <c r="V686" s="674"/>
    </row>
    <row r="687">
      <c r="A687" s="712"/>
      <c r="B687" s="713"/>
      <c r="C687" s="714"/>
      <c r="D687" s="715"/>
      <c r="E687" s="714"/>
      <c r="F687" s="715"/>
      <c r="G687" s="716"/>
      <c r="H687" s="717"/>
      <c r="I687" s="713"/>
      <c r="J687" s="718"/>
      <c r="K687" s="718"/>
      <c r="L687" s="718"/>
      <c r="M687" s="713"/>
      <c r="N687" s="718"/>
      <c r="O687" s="662"/>
      <c r="P687" s="662"/>
      <c r="Q687" s="718"/>
      <c r="R687" s="662"/>
      <c r="S687" s="672"/>
      <c r="T687" s="672"/>
      <c r="U687" s="672"/>
      <c r="V687" s="672"/>
    </row>
    <row r="688">
      <c r="A688" s="705"/>
      <c r="B688" s="706"/>
      <c r="C688" s="707"/>
      <c r="D688" s="708"/>
      <c r="E688" s="707"/>
      <c r="F688" s="708"/>
      <c r="G688" s="709"/>
      <c r="H688" s="710"/>
      <c r="I688" s="706"/>
      <c r="J688" s="711"/>
      <c r="K688" s="711"/>
      <c r="L688" s="711"/>
      <c r="M688" s="706"/>
      <c r="N688" s="711"/>
      <c r="O688" s="655"/>
      <c r="P688" s="655"/>
      <c r="Q688" s="711"/>
      <c r="R688" s="655"/>
      <c r="S688" s="674"/>
      <c r="T688" s="674"/>
      <c r="U688" s="674"/>
      <c r="V688" s="674"/>
    </row>
    <row r="689">
      <c r="A689" s="712"/>
      <c r="B689" s="713"/>
      <c r="C689" s="714"/>
      <c r="D689" s="715"/>
      <c r="E689" s="714"/>
      <c r="F689" s="715"/>
      <c r="G689" s="716"/>
      <c r="H689" s="717"/>
      <c r="I689" s="713"/>
      <c r="J689" s="718"/>
      <c r="K689" s="718"/>
      <c r="L689" s="718"/>
      <c r="M689" s="713"/>
      <c r="N689" s="718"/>
      <c r="O689" s="662"/>
      <c r="P689" s="662"/>
      <c r="Q689" s="718"/>
      <c r="R689" s="662"/>
      <c r="S689" s="672"/>
      <c r="T689" s="672"/>
      <c r="U689" s="672"/>
      <c r="V689" s="672"/>
    </row>
    <row r="690">
      <c r="A690" s="705"/>
      <c r="B690" s="706"/>
      <c r="C690" s="707"/>
      <c r="D690" s="708"/>
      <c r="E690" s="707"/>
      <c r="F690" s="708"/>
      <c r="G690" s="709"/>
      <c r="H690" s="710"/>
      <c r="I690" s="706"/>
      <c r="J690" s="711"/>
      <c r="K690" s="711"/>
      <c r="L690" s="711"/>
      <c r="M690" s="706"/>
      <c r="N690" s="711"/>
      <c r="O690" s="655"/>
      <c r="P690" s="655"/>
      <c r="Q690" s="711"/>
      <c r="R690" s="655"/>
      <c r="S690" s="674"/>
      <c r="T690" s="674"/>
      <c r="U690" s="674"/>
      <c r="V690" s="674"/>
    </row>
    <row r="691">
      <c r="A691" s="712"/>
      <c r="B691" s="713"/>
      <c r="C691" s="714"/>
      <c r="D691" s="715"/>
      <c r="E691" s="714"/>
      <c r="F691" s="715"/>
      <c r="G691" s="716"/>
      <c r="H691" s="717"/>
      <c r="I691" s="713"/>
      <c r="J691" s="718"/>
      <c r="K691" s="718"/>
      <c r="L691" s="718"/>
      <c r="M691" s="713"/>
      <c r="N691" s="718"/>
      <c r="O691" s="662"/>
      <c r="P691" s="662"/>
      <c r="Q691" s="718"/>
      <c r="R691" s="662"/>
      <c r="S691" s="672"/>
      <c r="T691" s="672"/>
      <c r="U691" s="672"/>
      <c r="V691" s="672"/>
    </row>
    <row r="692">
      <c r="A692" s="705"/>
      <c r="B692" s="706"/>
      <c r="C692" s="707"/>
      <c r="D692" s="708"/>
      <c r="E692" s="707"/>
      <c r="F692" s="708"/>
      <c r="G692" s="709"/>
      <c r="H692" s="710"/>
      <c r="I692" s="706"/>
      <c r="J692" s="711"/>
      <c r="K692" s="711"/>
      <c r="L692" s="711"/>
      <c r="M692" s="706"/>
      <c r="N692" s="711"/>
      <c r="O692" s="655"/>
      <c r="P692" s="655"/>
      <c r="Q692" s="711"/>
      <c r="R692" s="655"/>
      <c r="S692" s="674"/>
      <c r="T692" s="674"/>
      <c r="U692" s="674"/>
      <c r="V692" s="674"/>
    </row>
    <row r="693">
      <c r="A693" s="712"/>
      <c r="B693" s="713"/>
      <c r="C693" s="714"/>
      <c r="D693" s="715"/>
      <c r="E693" s="714"/>
      <c r="F693" s="715"/>
      <c r="G693" s="716"/>
      <c r="H693" s="717"/>
      <c r="I693" s="713"/>
      <c r="J693" s="718"/>
      <c r="K693" s="718"/>
      <c r="L693" s="718"/>
      <c r="M693" s="713"/>
      <c r="N693" s="718"/>
      <c r="O693" s="662"/>
      <c r="P693" s="662"/>
      <c r="Q693" s="718"/>
      <c r="R693" s="662"/>
      <c r="S693" s="672"/>
      <c r="T693" s="672"/>
      <c r="U693" s="672"/>
      <c r="V693" s="672"/>
    </row>
    <row r="694">
      <c r="A694" s="705"/>
      <c r="B694" s="706"/>
      <c r="C694" s="707"/>
      <c r="D694" s="708"/>
      <c r="E694" s="707"/>
      <c r="F694" s="708"/>
      <c r="G694" s="709"/>
      <c r="H694" s="710"/>
      <c r="I694" s="706"/>
      <c r="J694" s="711"/>
      <c r="K694" s="711"/>
      <c r="L694" s="711"/>
      <c r="M694" s="706"/>
      <c r="N694" s="711"/>
      <c r="O694" s="655"/>
      <c r="P694" s="655"/>
      <c r="Q694" s="711"/>
      <c r="R694" s="655"/>
      <c r="S694" s="674"/>
      <c r="T694" s="674"/>
      <c r="U694" s="674"/>
      <c r="V694" s="674"/>
    </row>
    <row r="695">
      <c r="A695" s="712"/>
      <c r="B695" s="713"/>
      <c r="C695" s="714"/>
      <c r="D695" s="715"/>
      <c r="E695" s="714"/>
      <c r="F695" s="715"/>
      <c r="G695" s="716"/>
      <c r="H695" s="717"/>
      <c r="I695" s="713"/>
      <c r="J695" s="718"/>
      <c r="K695" s="718"/>
      <c r="L695" s="718"/>
      <c r="M695" s="713"/>
      <c r="N695" s="718"/>
      <c r="O695" s="662"/>
      <c r="P695" s="662"/>
      <c r="Q695" s="718"/>
      <c r="R695" s="662"/>
      <c r="S695" s="672"/>
      <c r="T695" s="672"/>
      <c r="U695" s="672"/>
      <c r="V695" s="672"/>
    </row>
    <row r="696">
      <c r="A696" s="705"/>
      <c r="B696" s="706"/>
      <c r="C696" s="707"/>
      <c r="D696" s="708"/>
      <c r="E696" s="707"/>
      <c r="F696" s="708"/>
      <c r="G696" s="709"/>
      <c r="H696" s="710"/>
      <c r="I696" s="706"/>
      <c r="J696" s="711"/>
      <c r="K696" s="711"/>
      <c r="L696" s="711"/>
      <c r="M696" s="706"/>
      <c r="N696" s="711"/>
      <c r="O696" s="655"/>
      <c r="P696" s="655"/>
      <c r="Q696" s="711"/>
      <c r="R696" s="655"/>
      <c r="S696" s="674"/>
      <c r="T696" s="674"/>
      <c r="U696" s="674"/>
      <c r="V696" s="674"/>
    </row>
    <row r="697">
      <c r="A697" s="712"/>
      <c r="B697" s="713"/>
      <c r="C697" s="714"/>
      <c r="D697" s="715"/>
      <c r="E697" s="714"/>
      <c r="F697" s="715"/>
      <c r="G697" s="716"/>
      <c r="H697" s="717"/>
      <c r="I697" s="713"/>
      <c r="J697" s="718"/>
      <c r="K697" s="718"/>
      <c r="L697" s="718"/>
      <c r="M697" s="713"/>
      <c r="N697" s="718"/>
      <c r="O697" s="662"/>
      <c r="P697" s="662"/>
      <c r="Q697" s="718"/>
      <c r="R697" s="662"/>
      <c r="S697" s="672"/>
      <c r="T697" s="672"/>
      <c r="U697" s="672"/>
      <c r="V697" s="672"/>
    </row>
    <row r="698">
      <c r="A698" s="705"/>
      <c r="B698" s="706"/>
      <c r="C698" s="707"/>
      <c r="D698" s="708"/>
      <c r="E698" s="707"/>
      <c r="F698" s="708"/>
      <c r="G698" s="709"/>
      <c r="H698" s="710"/>
      <c r="I698" s="706"/>
      <c r="J698" s="711"/>
      <c r="K698" s="711"/>
      <c r="L698" s="711"/>
      <c r="M698" s="706"/>
      <c r="N698" s="711"/>
      <c r="O698" s="655"/>
      <c r="P698" s="655"/>
      <c r="Q698" s="711"/>
      <c r="R698" s="655"/>
      <c r="S698" s="674"/>
      <c r="T698" s="674"/>
      <c r="U698" s="674"/>
      <c r="V698" s="674"/>
    </row>
    <row r="699">
      <c r="A699" s="712"/>
      <c r="B699" s="713"/>
      <c r="C699" s="714"/>
      <c r="D699" s="715"/>
      <c r="E699" s="714"/>
      <c r="F699" s="715"/>
      <c r="G699" s="716"/>
      <c r="H699" s="717"/>
      <c r="I699" s="713"/>
      <c r="J699" s="718"/>
      <c r="K699" s="718"/>
      <c r="L699" s="718"/>
      <c r="M699" s="713"/>
      <c r="N699" s="718"/>
      <c r="O699" s="662"/>
      <c r="P699" s="662"/>
      <c r="Q699" s="718"/>
      <c r="R699" s="662"/>
      <c r="S699" s="672"/>
      <c r="T699" s="672"/>
      <c r="U699" s="672"/>
      <c r="V699" s="672"/>
    </row>
    <row r="700">
      <c r="A700" s="705"/>
      <c r="B700" s="706"/>
      <c r="C700" s="707"/>
      <c r="D700" s="708"/>
      <c r="E700" s="707"/>
      <c r="F700" s="708"/>
      <c r="G700" s="709"/>
      <c r="H700" s="710"/>
      <c r="I700" s="706"/>
      <c r="J700" s="711"/>
      <c r="K700" s="711"/>
      <c r="L700" s="711"/>
      <c r="M700" s="706"/>
      <c r="N700" s="711"/>
      <c r="O700" s="655"/>
      <c r="P700" s="655"/>
      <c r="Q700" s="711"/>
      <c r="R700" s="655"/>
      <c r="S700" s="674"/>
      <c r="T700" s="674"/>
      <c r="U700" s="674"/>
      <c r="V700" s="674"/>
    </row>
    <row r="701">
      <c r="A701" s="712"/>
      <c r="B701" s="713"/>
      <c r="C701" s="714"/>
      <c r="D701" s="715"/>
      <c r="E701" s="714"/>
      <c r="F701" s="715"/>
      <c r="G701" s="716"/>
      <c r="H701" s="717"/>
      <c r="I701" s="713"/>
      <c r="J701" s="718"/>
      <c r="K701" s="718"/>
      <c r="L701" s="718"/>
      <c r="M701" s="713"/>
      <c r="N701" s="718"/>
      <c r="O701" s="662"/>
      <c r="P701" s="662"/>
      <c r="Q701" s="718"/>
      <c r="R701" s="662"/>
      <c r="S701" s="672"/>
      <c r="T701" s="672"/>
      <c r="U701" s="672"/>
      <c r="V701" s="672"/>
    </row>
    <row r="702">
      <c r="A702" s="705"/>
      <c r="B702" s="706"/>
      <c r="C702" s="707"/>
      <c r="D702" s="708"/>
      <c r="E702" s="707"/>
      <c r="F702" s="708"/>
      <c r="G702" s="709"/>
      <c r="H702" s="710"/>
      <c r="I702" s="706"/>
      <c r="J702" s="711"/>
      <c r="K702" s="711"/>
      <c r="L702" s="711"/>
      <c r="M702" s="706"/>
      <c r="N702" s="711"/>
      <c r="O702" s="655"/>
      <c r="P702" s="655"/>
      <c r="Q702" s="711"/>
      <c r="R702" s="655"/>
      <c r="S702" s="674"/>
      <c r="T702" s="674"/>
      <c r="U702" s="674"/>
      <c r="V702" s="674"/>
    </row>
    <row r="703">
      <c r="A703" s="712"/>
      <c r="B703" s="713"/>
      <c r="C703" s="714"/>
      <c r="D703" s="715"/>
      <c r="E703" s="714"/>
      <c r="F703" s="715"/>
      <c r="G703" s="716"/>
      <c r="H703" s="717"/>
      <c r="I703" s="713"/>
      <c r="J703" s="718"/>
      <c r="K703" s="718"/>
      <c r="L703" s="718"/>
      <c r="M703" s="713"/>
      <c r="N703" s="718"/>
      <c r="O703" s="662"/>
      <c r="P703" s="662"/>
      <c r="Q703" s="718"/>
      <c r="R703" s="662"/>
      <c r="S703" s="672"/>
      <c r="T703" s="672"/>
      <c r="U703" s="672"/>
      <c r="V703" s="672"/>
    </row>
    <row r="704">
      <c r="A704" s="705"/>
      <c r="B704" s="706"/>
      <c r="C704" s="707"/>
      <c r="D704" s="708"/>
      <c r="E704" s="707"/>
      <c r="F704" s="708"/>
      <c r="G704" s="709"/>
      <c r="H704" s="710"/>
      <c r="I704" s="706"/>
      <c r="J704" s="711"/>
      <c r="K704" s="711"/>
      <c r="L704" s="711"/>
      <c r="M704" s="706"/>
      <c r="N704" s="711"/>
      <c r="O704" s="655"/>
      <c r="P704" s="655"/>
      <c r="Q704" s="711"/>
      <c r="R704" s="655"/>
      <c r="S704" s="674"/>
      <c r="T704" s="674"/>
      <c r="U704" s="674"/>
      <c r="V704" s="674"/>
    </row>
    <row r="705">
      <c r="A705" s="712"/>
      <c r="B705" s="713"/>
      <c r="C705" s="714"/>
      <c r="D705" s="715"/>
      <c r="E705" s="714"/>
      <c r="F705" s="715"/>
      <c r="G705" s="716"/>
      <c r="H705" s="717"/>
      <c r="I705" s="713"/>
      <c r="J705" s="718"/>
      <c r="K705" s="718"/>
      <c r="L705" s="718"/>
      <c r="M705" s="713"/>
      <c r="N705" s="718"/>
      <c r="O705" s="662"/>
      <c r="P705" s="662"/>
      <c r="Q705" s="718"/>
      <c r="R705" s="662"/>
      <c r="S705" s="672"/>
      <c r="T705" s="672"/>
      <c r="U705" s="672"/>
      <c r="V705" s="672"/>
    </row>
    <row r="706">
      <c r="A706" s="705"/>
      <c r="B706" s="706"/>
      <c r="C706" s="707"/>
      <c r="D706" s="708"/>
      <c r="E706" s="707"/>
      <c r="F706" s="708"/>
      <c r="G706" s="709"/>
      <c r="H706" s="710"/>
      <c r="I706" s="706"/>
      <c r="J706" s="711"/>
      <c r="K706" s="711"/>
      <c r="L706" s="711"/>
      <c r="M706" s="706"/>
      <c r="N706" s="711"/>
      <c r="O706" s="655"/>
      <c r="P706" s="655"/>
      <c r="Q706" s="711"/>
      <c r="R706" s="655"/>
      <c r="S706" s="674"/>
      <c r="T706" s="674"/>
      <c r="U706" s="674"/>
      <c r="V706" s="674"/>
    </row>
    <row r="707">
      <c r="A707" s="712"/>
      <c r="B707" s="713"/>
      <c r="C707" s="714"/>
      <c r="D707" s="715"/>
      <c r="E707" s="714"/>
      <c r="F707" s="715"/>
      <c r="G707" s="716"/>
      <c r="H707" s="717"/>
      <c r="I707" s="713"/>
      <c r="J707" s="718"/>
      <c r="K707" s="718"/>
      <c r="L707" s="718"/>
      <c r="M707" s="713"/>
      <c r="N707" s="718"/>
      <c r="O707" s="662"/>
      <c r="P707" s="662"/>
      <c r="Q707" s="718"/>
      <c r="R707" s="662"/>
      <c r="S707" s="672"/>
      <c r="T707" s="672"/>
      <c r="U707" s="672"/>
      <c r="V707" s="672"/>
    </row>
    <row r="708">
      <c r="A708" s="705"/>
      <c r="B708" s="706"/>
      <c r="C708" s="707"/>
      <c r="D708" s="708"/>
      <c r="E708" s="707"/>
      <c r="F708" s="708"/>
      <c r="G708" s="709"/>
      <c r="H708" s="710"/>
      <c r="I708" s="706"/>
      <c r="J708" s="711"/>
      <c r="K708" s="711"/>
      <c r="L708" s="711"/>
      <c r="M708" s="706"/>
      <c r="N708" s="711"/>
      <c r="O708" s="655"/>
      <c r="P708" s="655"/>
      <c r="Q708" s="711"/>
      <c r="R708" s="655"/>
      <c r="S708" s="674"/>
      <c r="T708" s="674"/>
      <c r="U708" s="674"/>
      <c r="V708" s="674"/>
    </row>
    <row r="709">
      <c r="A709" s="712"/>
      <c r="B709" s="713"/>
      <c r="C709" s="714"/>
      <c r="D709" s="715"/>
      <c r="E709" s="714"/>
      <c r="F709" s="715"/>
      <c r="G709" s="716"/>
      <c r="H709" s="717"/>
      <c r="I709" s="713"/>
      <c r="J709" s="718"/>
      <c r="K709" s="718"/>
      <c r="L709" s="718"/>
      <c r="M709" s="713"/>
      <c r="N709" s="718"/>
      <c r="O709" s="662"/>
      <c r="P709" s="662"/>
      <c r="Q709" s="718"/>
      <c r="R709" s="662"/>
      <c r="S709" s="672"/>
      <c r="T709" s="672"/>
      <c r="U709" s="672"/>
      <c r="V709" s="672"/>
    </row>
    <row r="710">
      <c r="A710" s="705"/>
      <c r="B710" s="706"/>
      <c r="C710" s="707"/>
      <c r="D710" s="708"/>
      <c r="E710" s="707"/>
      <c r="F710" s="708"/>
      <c r="G710" s="709"/>
      <c r="H710" s="710"/>
      <c r="I710" s="706"/>
      <c r="J710" s="711"/>
      <c r="K710" s="711"/>
      <c r="L710" s="711"/>
      <c r="M710" s="706"/>
      <c r="N710" s="711"/>
      <c r="O710" s="655"/>
      <c r="P710" s="655"/>
      <c r="Q710" s="711"/>
      <c r="R710" s="655"/>
      <c r="S710" s="674"/>
      <c r="T710" s="674"/>
      <c r="U710" s="674"/>
      <c r="V710" s="674"/>
    </row>
    <row r="711">
      <c r="A711" s="712"/>
      <c r="B711" s="713"/>
      <c r="C711" s="714"/>
      <c r="D711" s="715"/>
      <c r="E711" s="714"/>
      <c r="F711" s="715"/>
      <c r="G711" s="716"/>
      <c r="H711" s="717"/>
      <c r="I711" s="713"/>
      <c r="J711" s="718"/>
      <c r="K711" s="718"/>
      <c r="L711" s="718"/>
      <c r="M711" s="713"/>
      <c r="N711" s="718"/>
      <c r="O711" s="662"/>
      <c r="P711" s="662"/>
      <c r="Q711" s="718"/>
      <c r="R711" s="662"/>
      <c r="S711" s="672"/>
      <c r="T711" s="672"/>
      <c r="U711" s="672"/>
      <c r="V711" s="672"/>
    </row>
    <row r="712">
      <c r="A712" s="705"/>
      <c r="B712" s="706"/>
      <c r="C712" s="707"/>
      <c r="D712" s="708"/>
      <c r="E712" s="707"/>
      <c r="F712" s="708"/>
      <c r="G712" s="709"/>
      <c r="H712" s="710"/>
      <c r="I712" s="706"/>
      <c r="J712" s="711"/>
      <c r="K712" s="711"/>
      <c r="L712" s="711"/>
      <c r="M712" s="706"/>
      <c r="N712" s="711"/>
      <c r="O712" s="655"/>
      <c r="P712" s="655"/>
      <c r="Q712" s="711"/>
      <c r="R712" s="655"/>
      <c r="S712" s="674"/>
      <c r="T712" s="674"/>
      <c r="U712" s="674"/>
      <c r="V712" s="674"/>
    </row>
    <row r="713">
      <c r="A713" s="712"/>
      <c r="B713" s="713"/>
      <c r="C713" s="714"/>
      <c r="D713" s="715"/>
      <c r="E713" s="714"/>
      <c r="F713" s="715"/>
      <c r="G713" s="716"/>
      <c r="H713" s="717"/>
      <c r="I713" s="713"/>
      <c r="J713" s="718"/>
      <c r="K713" s="718"/>
      <c r="L713" s="718"/>
      <c r="M713" s="713"/>
      <c r="N713" s="718"/>
      <c r="O713" s="662"/>
      <c r="P713" s="662"/>
      <c r="Q713" s="718"/>
      <c r="R713" s="662"/>
      <c r="S713" s="672"/>
      <c r="T713" s="672"/>
      <c r="U713" s="672"/>
      <c r="V713" s="672"/>
    </row>
    <row r="714">
      <c r="A714" s="705"/>
      <c r="B714" s="706"/>
      <c r="C714" s="707"/>
      <c r="D714" s="708"/>
      <c r="E714" s="707"/>
      <c r="F714" s="708"/>
      <c r="G714" s="709"/>
      <c r="H714" s="710"/>
      <c r="I714" s="706"/>
      <c r="J714" s="711"/>
      <c r="K714" s="711"/>
      <c r="L714" s="711"/>
      <c r="M714" s="706"/>
      <c r="N714" s="711"/>
      <c r="O714" s="655"/>
      <c r="P714" s="655"/>
      <c r="Q714" s="711"/>
      <c r="R714" s="655"/>
      <c r="S714" s="674"/>
      <c r="T714" s="674"/>
      <c r="U714" s="674"/>
      <c r="V714" s="674"/>
    </row>
    <row r="715">
      <c r="A715" s="712"/>
      <c r="B715" s="713"/>
      <c r="C715" s="714"/>
      <c r="D715" s="715"/>
      <c r="E715" s="714"/>
      <c r="F715" s="715"/>
      <c r="G715" s="716"/>
      <c r="H715" s="717"/>
      <c r="I715" s="713"/>
      <c r="J715" s="718"/>
      <c r="K715" s="718"/>
      <c r="L715" s="718"/>
      <c r="M715" s="713"/>
      <c r="N715" s="718"/>
      <c r="O715" s="662"/>
      <c r="P715" s="662"/>
      <c r="Q715" s="718"/>
      <c r="R715" s="662"/>
      <c r="S715" s="672"/>
      <c r="T715" s="672"/>
      <c r="U715" s="672"/>
      <c r="V715" s="672"/>
    </row>
    <row r="716">
      <c r="A716" s="705"/>
      <c r="B716" s="706"/>
      <c r="C716" s="707"/>
      <c r="D716" s="708"/>
      <c r="E716" s="707"/>
      <c r="F716" s="708"/>
      <c r="G716" s="709"/>
      <c r="H716" s="710"/>
      <c r="I716" s="706"/>
      <c r="J716" s="711"/>
      <c r="K716" s="711"/>
      <c r="L716" s="711"/>
      <c r="M716" s="706"/>
      <c r="N716" s="711"/>
      <c r="O716" s="655"/>
      <c r="P716" s="655"/>
      <c r="Q716" s="711"/>
      <c r="R716" s="655"/>
      <c r="S716" s="674"/>
      <c r="T716" s="674"/>
      <c r="U716" s="674"/>
      <c r="V716" s="674"/>
    </row>
    <row r="717">
      <c r="A717" s="712"/>
      <c r="B717" s="713"/>
      <c r="C717" s="714"/>
      <c r="D717" s="715"/>
      <c r="E717" s="714"/>
      <c r="F717" s="715"/>
      <c r="G717" s="716"/>
      <c r="H717" s="717"/>
      <c r="I717" s="713"/>
      <c r="J717" s="718"/>
      <c r="K717" s="718"/>
      <c r="L717" s="718"/>
      <c r="M717" s="713"/>
      <c r="N717" s="718"/>
      <c r="O717" s="662"/>
      <c r="P717" s="662"/>
      <c r="Q717" s="718"/>
      <c r="R717" s="662"/>
      <c r="S717" s="672"/>
      <c r="T717" s="672"/>
      <c r="U717" s="672"/>
      <c r="V717" s="672"/>
    </row>
    <row r="718">
      <c r="A718" s="705"/>
      <c r="B718" s="706"/>
      <c r="C718" s="707"/>
      <c r="D718" s="708"/>
      <c r="E718" s="707"/>
      <c r="F718" s="708"/>
      <c r="G718" s="709"/>
      <c r="H718" s="710"/>
      <c r="I718" s="706"/>
      <c r="J718" s="711"/>
      <c r="K718" s="711"/>
      <c r="L718" s="711"/>
      <c r="M718" s="706"/>
      <c r="N718" s="711"/>
      <c r="O718" s="655"/>
      <c r="P718" s="655"/>
      <c r="Q718" s="711"/>
      <c r="R718" s="655"/>
      <c r="S718" s="674"/>
      <c r="T718" s="674"/>
      <c r="U718" s="674"/>
      <c r="V718" s="674"/>
    </row>
    <row r="719">
      <c r="A719" s="712"/>
      <c r="B719" s="713"/>
      <c r="C719" s="714"/>
      <c r="D719" s="715"/>
      <c r="E719" s="714"/>
      <c r="F719" s="715"/>
      <c r="G719" s="716"/>
      <c r="H719" s="717"/>
      <c r="I719" s="713"/>
      <c r="J719" s="718"/>
      <c r="K719" s="718"/>
      <c r="L719" s="718"/>
      <c r="M719" s="713"/>
      <c r="N719" s="718"/>
      <c r="O719" s="662"/>
      <c r="P719" s="662"/>
      <c r="Q719" s="718"/>
      <c r="R719" s="662"/>
      <c r="S719" s="672"/>
      <c r="T719" s="672"/>
      <c r="U719" s="672"/>
      <c r="V719" s="672"/>
    </row>
    <row r="720">
      <c r="A720" s="705"/>
      <c r="B720" s="706"/>
      <c r="C720" s="707"/>
      <c r="D720" s="708"/>
      <c r="E720" s="707"/>
      <c r="F720" s="708"/>
      <c r="G720" s="709"/>
      <c r="H720" s="710"/>
      <c r="I720" s="706"/>
      <c r="J720" s="711"/>
      <c r="K720" s="711"/>
      <c r="L720" s="711"/>
      <c r="M720" s="706"/>
      <c r="N720" s="711"/>
      <c r="O720" s="655"/>
      <c r="P720" s="655"/>
      <c r="Q720" s="711"/>
      <c r="R720" s="655"/>
      <c r="S720" s="674"/>
      <c r="T720" s="674"/>
      <c r="U720" s="674"/>
      <c r="V720" s="674"/>
    </row>
    <row r="721">
      <c r="A721" s="712"/>
      <c r="B721" s="713"/>
      <c r="C721" s="714"/>
      <c r="D721" s="715"/>
      <c r="E721" s="714"/>
      <c r="F721" s="715"/>
      <c r="G721" s="716"/>
      <c r="H721" s="717"/>
      <c r="I721" s="713"/>
      <c r="J721" s="718"/>
      <c r="K721" s="718"/>
      <c r="L721" s="718"/>
      <c r="M721" s="713"/>
      <c r="N721" s="718"/>
      <c r="O721" s="662"/>
      <c r="P721" s="662"/>
      <c r="Q721" s="718"/>
      <c r="R721" s="662"/>
      <c r="S721" s="672"/>
      <c r="T721" s="672"/>
      <c r="U721" s="672"/>
      <c r="V721" s="672"/>
    </row>
    <row r="722">
      <c r="A722" s="705"/>
      <c r="B722" s="706"/>
      <c r="C722" s="707"/>
      <c r="D722" s="708"/>
      <c r="E722" s="707"/>
      <c r="F722" s="708"/>
      <c r="G722" s="709"/>
      <c r="H722" s="710"/>
      <c r="I722" s="706"/>
      <c r="J722" s="711"/>
      <c r="K722" s="711"/>
      <c r="L722" s="711"/>
      <c r="M722" s="706"/>
      <c r="N722" s="711"/>
      <c r="O722" s="655"/>
      <c r="P722" s="655"/>
      <c r="Q722" s="711"/>
      <c r="R722" s="655"/>
      <c r="S722" s="674"/>
      <c r="T722" s="674"/>
      <c r="U722" s="674"/>
      <c r="V722" s="674"/>
    </row>
    <row r="723">
      <c r="A723" s="712"/>
      <c r="B723" s="713"/>
      <c r="C723" s="714"/>
      <c r="D723" s="715"/>
      <c r="E723" s="714"/>
      <c r="F723" s="715"/>
      <c r="G723" s="716"/>
      <c r="H723" s="717"/>
      <c r="I723" s="713"/>
      <c r="J723" s="718"/>
      <c r="K723" s="718"/>
      <c r="L723" s="718"/>
      <c r="M723" s="713"/>
      <c r="N723" s="718"/>
      <c r="O723" s="662"/>
      <c r="P723" s="662"/>
      <c r="Q723" s="718"/>
      <c r="R723" s="662"/>
      <c r="S723" s="672"/>
      <c r="T723" s="672"/>
      <c r="U723" s="672"/>
      <c r="V723" s="672"/>
    </row>
    <row r="724">
      <c r="A724" s="705"/>
      <c r="B724" s="706"/>
      <c r="C724" s="707"/>
      <c r="D724" s="708"/>
      <c r="E724" s="707"/>
      <c r="F724" s="708"/>
      <c r="G724" s="709"/>
      <c r="H724" s="710"/>
      <c r="I724" s="706"/>
      <c r="J724" s="711"/>
      <c r="K724" s="711"/>
      <c r="L724" s="711"/>
      <c r="M724" s="706"/>
      <c r="N724" s="711"/>
      <c r="O724" s="655"/>
      <c r="P724" s="655"/>
      <c r="Q724" s="711"/>
      <c r="R724" s="655"/>
      <c r="S724" s="674"/>
      <c r="T724" s="674"/>
      <c r="U724" s="674"/>
      <c r="V724" s="674"/>
    </row>
    <row r="725">
      <c r="A725" s="712"/>
      <c r="B725" s="713"/>
      <c r="C725" s="714"/>
      <c r="D725" s="715"/>
      <c r="E725" s="714"/>
      <c r="F725" s="715"/>
      <c r="G725" s="716"/>
      <c r="H725" s="717"/>
      <c r="I725" s="713"/>
      <c r="J725" s="718"/>
      <c r="K725" s="718"/>
      <c r="L725" s="718"/>
      <c r="M725" s="713"/>
      <c r="N725" s="718"/>
      <c r="O725" s="662"/>
      <c r="P725" s="662"/>
      <c r="Q725" s="718"/>
      <c r="R725" s="662"/>
      <c r="S725" s="672"/>
      <c r="T725" s="672"/>
      <c r="U725" s="672"/>
      <c r="V725" s="672"/>
    </row>
    <row r="726">
      <c r="A726" s="705"/>
      <c r="B726" s="706"/>
      <c r="C726" s="707"/>
      <c r="D726" s="708"/>
      <c r="E726" s="707"/>
      <c r="F726" s="708"/>
      <c r="G726" s="709"/>
      <c r="H726" s="710"/>
      <c r="I726" s="706"/>
      <c r="J726" s="711"/>
      <c r="K726" s="711"/>
      <c r="L726" s="711"/>
      <c r="M726" s="706"/>
      <c r="N726" s="711"/>
      <c r="O726" s="655"/>
      <c r="P726" s="655"/>
      <c r="Q726" s="711"/>
      <c r="R726" s="655"/>
      <c r="S726" s="674"/>
      <c r="T726" s="674"/>
      <c r="U726" s="674"/>
      <c r="V726" s="674"/>
    </row>
    <row r="727">
      <c r="A727" s="712"/>
      <c r="B727" s="713"/>
      <c r="C727" s="714"/>
      <c r="D727" s="715"/>
      <c r="E727" s="714"/>
      <c r="F727" s="715"/>
      <c r="G727" s="716"/>
      <c r="H727" s="717"/>
      <c r="I727" s="713"/>
      <c r="J727" s="718"/>
      <c r="K727" s="718"/>
      <c r="L727" s="718"/>
      <c r="M727" s="713"/>
      <c r="N727" s="718"/>
      <c r="O727" s="662"/>
      <c r="P727" s="662"/>
      <c r="Q727" s="718"/>
      <c r="R727" s="662"/>
      <c r="S727" s="672"/>
      <c r="T727" s="672"/>
      <c r="U727" s="672"/>
      <c r="V727" s="672"/>
    </row>
    <row r="728">
      <c r="A728" s="705"/>
      <c r="B728" s="706"/>
      <c r="C728" s="707"/>
      <c r="D728" s="708"/>
      <c r="E728" s="707"/>
      <c r="F728" s="708"/>
      <c r="G728" s="709"/>
      <c r="H728" s="710"/>
      <c r="I728" s="706"/>
      <c r="J728" s="711"/>
      <c r="K728" s="711"/>
      <c r="L728" s="711"/>
      <c r="M728" s="706"/>
      <c r="N728" s="711"/>
      <c r="O728" s="655"/>
      <c r="P728" s="655"/>
      <c r="Q728" s="711"/>
      <c r="R728" s="655"/>
      <c r="S728" s="674"/>
      <c r="T728" s="674"/>
      <c r="U728" s="674"/>
      <c r="V728" s="674"/>
    </row>
    <row r="729">
      <c r="A729" s="712"/>
      <c r="B729" s="713"/>
      <c r="C729" s="714"/>
      <c r="D729" s="715"/>
      <c r="E729" s="714"/>
      <c r="F729" s="715"/>
      <c r="G729" s="716"/>
      <c r="H729" s="717"/>
      <c r="I729" s="713"/>
      <c r="J729" s="718"/>
      <c r="K729" s="718"/>
      <c r="L729" s="718"/>
      <c r="M729" s="713"/>
      <c r="N729" s="718"/>
      <c r="O729" s="662"/>
      <c r="P729" s="662"/>
      <c r="Q729" s="718"/>
      <c r="R729" s="662"/>
      <c r="S729" s="672"/>
      <c r="T729" s="672"/>
      <c r="U729" s="672"/>
      <c r="V729" s="672"/>
    </row>
    <row r="730">
      <c r="A730" s="705"/>
      <c r="B730" s="706"/>
      <c r="C730" s="707"/>
      <c r="D730" s="708"/>
      <c r="E730" s="707"/>
      <c r="F730" s="708"/>
      <c r="G730" s="709"/>
      <c r="H730" s="710"/>
      <c r="I730" s="706"/>
      <c r="J730" s="711"/>
      <c r="K730" s="711"/>
      <c r="L730" s="711"/>
      <c r="M730" s="706"/>
      <c r="N730" s="711"/>
      <c r="O730" s="655"/>
      <c r="P730" s="655"/>
      <c r="Q730" s="711"/>
      <c r="R730" s="655"/>
      <c r="S730" s="674"/>
      <c r="T730" s="674"/>
      <c r="U730" s="674"/>
      <c r="V730" s="674"/>
    </row>
    <row r="731">
      <c r="A731" s="712"/>
      <c r="B731" s="713"/>
      <c r="C731" s="714"/>
      <c r="D731" s="715"/>
      <c r="E731" s="714"/>
      <c r="F731" s="715"/>
      <c r="G731" s="716"/>
      <c r="H731" s="717"/>
      <c r="I731" s="713"/>
      <c r="J731" s="718"/>
      <c r="K731" s="718"/>
      <c r="L731" s="718"/>
      <c r="M731" s="713"/>
      <c r="N731" s="718"/>
      <c r="O731" s="662"/>
      <c r="P731" s="662"/>
      <c r="Q731" s="718"/>
      <c r="R731" s="662"/>
      <c r="S731" s="672"/>
      <c r="T731" s="672"/>
      <c r="U731" s="672"/>
      <c r="V731" s="672"/>
    </row>
    <row r="732">
      <c r="A732" s="705"/>
      <c r="B732" s="706"/>
      <c r="C732" s="707"/>
      <c r="D732" s="708"/>
      <c r="E732" s="707"/>
      <c r="F732" s="708"/>
      <c r="G732" s="709"/>
      <c r="H732" s="710"/>
      <c r="I732" s="706"/>
      <c r="J732" s="711"/>
      <c r="K732" s="711"/>
      <c r="L732" s="711"/>
      <c r="M732" s="706"/>
      <c r="N732" s="711"/>
      <c r="O732" s="655"/>
      <c r="P732" s="655"/>
      <c r="Q732" s="711"/>
      <c r="R732" s="655"/>
      <c r="S732" s="674"/>
      <c r="T732" s="674"/>
      <c r="U732" s="674"/>
      <c r="V732" s="674"/>
    </row>
    <row r="733">
      <c r="A733" s="712"/>
      <c r="B733" s="713"/>
      <c r="C733" s="714"/>
      <c r="D733" s="715"/>
      <c r="E733" s="714"/>
      <c r="F733" s="715"/>
      <c r="G733" s="716"/>
      <c r="H733" s="717"/>
      <c r="I733" s="713"/>
      <c r="J733" s="718"/>
      <c r="K733" s="718"/>
      <c r="L733" s="718"/>
      <c r="M733" s="713"/>
      <c r="N733" s="718"/>
      <c r="O733" s="662"/>
      <c r="P733" s="662"/>
      <c r="Q733" s="718"/>
      <c r="R733" s="662"/>
      <c r="S733" s="672"/>
      <c r="T733" s="672"/>
      <c r="U733" s="672"/>
      <c r="V733" s="672"/>
    </row>
    <row r="734">
      <c r="A734" s="705"/>
      <c r="B734" s="706"/>
      <c r="C734" s="707"/>
      <c r="D734" s="708"/>
      <c r="E734" s="707"/>
      <c r="F734" s="708"/>
      <c r="G734" s="709"/>
      <c r="H734" s="710"/>
      <c r="I734" s="706"/>
      <c r="J734" s="711"/>
      <c r="K734" s="711"/>
      <c r="L734" s="711"/>
      <c r="M734" s="706"/>
      <c r="N734" s="711"/>
      <c r="O734" s="655"/>
      <c r="P734" s="655"/>
      <c r="Q734" s="711"/>
      <c r="R734" s="655"/>
      <c r="S734" s="674"/>
      <c r="T734" s="674"/>
      <c r="U734" s="674"/>
      <c r="V734" s="674"/>
    </row>
    <row r="735">
      <c r="A735" s="712"/>
      <c r="B735" s="713"/>
      <c r="C735" s="714"/>
      <c r="D735" s="715"/>
      <c r="E735" s="714"/>
      <c r="F735" s="715"/>
      <c r="G735" s="716"/>
      <c r="H735" s="717"/>
      <c r="I735" s="713"/>
      <c r="J735" s="718"/>
      <c r="K735" s="718"/>
      <c r="L735" s="718"/>
      <c r="M735" s="713"/>
      <c r="N735" s="718"/>
      <c r="O735" s="662"/>
      <c r="P735" s="662"/>
      <c r="Q735" s="718"/>
      <c r="R735" s="662"/>
      <c r="S735" s="672"/>
      <c r="T735" s="672"/>
      <c r="U735" s="672"/>
      <c r="V735" s="672"/>
    </row>
    <row r="736">
      <c r="A736" s="705"/>
      <c r="B736" s="706"/>
      <c r="C736" s="707"/>
      <c r="D736" s="708"/>
      <c r="E736" s="707"/>
      <c r="F736" s="708"/>
      <c r="G736" s="709"/>
      <c r="H736" s="710"/>
      <c r="I736" s="706"/>
      <c r="J736" s="711"/>
      <c r="K736" s="711"/>
      <c r="L736" s="711"/>
      <c r="M736" s="706"/>
      <c r="N736" s="711"/>
      <c r="O736" s="655"/>
      <c r="P736" s="655"/>
      <c r="Q736" s="711"/>
      <c r="R736" s="655"/>
      <c r="S736" s="674"/>
      <c r="T736" s="674"/>
      <c r="U736" s="674"/>
      <c r="V736" s="674"/>
    </row>
    <row r="737">
      <c r="A737" s="712"/>
      <c r="B737" s="713"/>
      <c r="C737" s="714"/>
      <c r="D737" s="715"/>
      <c r="E737" s="714"/>
      <c r="F737" s="715"/>
      <c r="G737" s="716"/>
      <c r="H737" s="717"/>
      <c r="I737" s="713"/>
      <c r="J737" s="718"/>
      <c r="K737" s="718"/>
      <c r="L737" s="718"/>
      <c r="M737" s="713"/>
      <c r="N737" s="718"/>
      <c r="O737" s="662"/>
      <c r="P737" s="662"/>
      <c r="Q737" s="718"/>
      <c r="R737" s="662"/>
      <c r="S737" s="672"/>
      <c r="T737" s="672"/>
      <c r="U737" s="672"/>
      <c r="V737" s="672"/>
    </row>
    <row r="738">
      <c r="A738" s="705"/>
      <c r="B738" s="706"/>
      <c r="C738" s="707"/>
      <c r="D738" s="708"/>
      <c r="E738" s="707"/>
      <c r="F738" s="708"/>
      <c r="G738" s="709"/>
      <c r="H738" s="710"/>
      <c r="I738" s="706"/>
      <c r="J738" s="711"/>
      <c r="K738" s="711"/>
      <c r="L738" s="711"/>
      <c r="M738" s="706"/>
      <c r="N738" s="711"/>
      <c r="O738" s="655"/>
      <c r="P738" s="655"/>
      <c r="Q738" s="711"/>
      <c r="R738" s="655"/>
      <c r="S738" s="674"/>
      <c r="T738" s="674"/>
      <c r="U738" s="674"/>
      <c r="V738" s="674"/>
    </row>
    <row r="739">
      <c r="A739" s="712"/>
      <c r="B739" s="713"/>
      <c r="C739" s="714"/>
      <c r="D739" s="715"/>
      <c r="E739" s="714"/>
      <c r="F739" s="715"/>
      <c r="G739" s="716"/>
      <c r="H739" s="717"/>
      <c r="I739" s="713"/>
      <c r="J739" s="718"/>
      <c r="K739" s="718"/>
      <c r="L739" s="718"/>
      <c r="M739" s="713"/>
      <c r="N739" s="718"/>
      <c r="O739" s="662"/>
      <c r="P739" s="662"/>
      <c r="Q739" s="718"/>
      <c r="R739" s="662"/>
      <c r="S739" s="672"/>
      <c r="T739" s="672"/>
      <c r="U739" s="672"/>
      <c r="V739" s="672"/>
    </row>
    <row r="740">
      <c r="A740" s="705"/>
      <c r="B740" s="706"/>
      <c r="C740" s="707"/>
      <c r="D740" s="708"/>
      <c r="E740" s="707"/>
      <c r="F740" s="708"/>
      <c r="G740" s="709"/>
      <c r="H740" s="710"/>
      <c r="I740" s="706"/>
      <c r="J740" s="711"/>
      <c r="K740" s="711"/>
      <c r="L740" s="711"/>
      <c r="M740" s="706"/>
      <c r="N740" s="711"/>
      <c r="O740" s="655"/>
      <c r="P740" s="655"/>
      <c r="Q740" s="711"/>
      <c r="R740" s="655"/>
      <c r="S740" s="674"/>
      <c r="T740" s="674"/>
      <c r="U740" s="674"/>
      <c r="V740" s="674"/>
    </row>
    <row r="741">
      <c r="A741" s="712"/>
      <c r="B741" s="713"/>
      <c r="C741" s="714"/>
      <c r="D741" s="715"/>
      <c r="E741" s="714"/>
      <c r="F741" s="715"/>
      <c r="G741" s="716"/>
      <c r="H741" s="717"/>
      <c r="I741" s="713"/>
      <c r="J741" s="718"/>
      <c r="K741" s="718"/>
      <c r="L741" s="718"/>
      <c r="M741" s="713"/>
      <c r="N741" s="718"/>
      <c r="O741" s="662"/>
      <c r="P741" s="662"/>
      <c r="Q741" s="718"/>
      <c r="R741" s="662"/>
      <c r="S741" s="672"/>
      <c r="T741" s="672"/>
      <c r="U741" s="672"/>
      <c r="V741" s="672"/>
    </row>
    <row r="742">
      <c r="A742" s="705"/>
      <c r="B742" s="706"/>
      <c r="C742" s="707"/>
      <c r="D742" s="708"/>
      <c r="E742" s="707"/>
      <c r="F742" s="708"/>
      <c r="G742" s="709"/>
      <c r="H742" s="710"/>
      <c r="I742" s="706"/>
      <c r="J742" s="711"/>
      <c r="K742" s="711"/>
      <c r="L742" s="711"/>
      <c r="M742" s="706"/>
      <c r="N742" s="711"/>
      <c r="O742" s="655"/>
      <c r="P742" s="655"/>
      <c r="Q742" s="711"/>
      <c r="R742" s="655"/>
      <c r="S742" s="674"/>
      <c r="T742" s="674"/>
      <c r="U742" s="674"/>
      <c r="V742" s="674"/>
    </row>
    <row r="743">
      <c r="A743" s="712"/>
      <c r="B743" s="713"/>
      <c r="C743" s="714"/>
      <c r="D743" s="715"/>
      <c r="E743" s="714"/>
      <c r="F743" s="715"/>
      <c r="G743" s="716"/>
      <c r="H743" s="717"/>
      <c r="I743" s="713"/>
      <c r="J743" s="718"/>
      <c r="K743" s="718"/>
      <c r="L743" s="718"/>
      <c r="M743" s="713"/>
      <c r="N743" s="718"/>
      <c r="O743" s="662"/>
      <c r="P743" s="662"/>
      <c r="Q743" s="718"/>
      <c r="R743" s="662"/>
      <c r="S743" s="672"/>
      <c r="T743" s="672"/>
      <c r="U743" s="672"/>
      <c r="V743" s="672"/>
    </row>
    <row r="744">
      <c r="A744" s="705"/>
      <c r="B744" s="706"/>
      <c r="C744" s="707"/>
      <c r="D744" s="708"/>
      <c r="E744" s="707"/>
      <c r="F744" s="708"/>
      <c r="G744" s="709"/>
      <c r="H744" s="710"/>
      <c r="I744" s="706"/>
      <c r="J744" s="711"/>
      <c r="K744" s="711"/>
      <c r="L744" s="711"/>
      <c r="M744" s="706"/>
      <c r="N744" s="711"/>
      <c r="O744" s="655"/>
      <c r="P744" s="655"/>
      <c r="Q744" s="711"/>
      <c r="R744" s="655"/>
      <c r="S744" s="674"/>
      <c r="T744" s="674"/>
      <c r="U744" s="674"/>
      <c r="V744" s="674"/>
    </row>
    <row r="745">
      <c r="A745" s="712"/>
      <c r="B745" s="713"/>
      <c r="C745" s="714"/>
      <c r="D745" s="715"/>
      <c r="E745" s="714"/>
      <c r="F745" s="715"/>
      <c r="G745" s="716"/>
      <c r="H745" s="717"/>
      <c r="I745" s="713"/>
      <c r="J745" s="718"/>
      <c r="K745" s="718"/>
      <c r="L745" s="718"/>
      <c r="M745" s="713"/>
      <c r="N745" s="718"/>
      <c r="O745" s="662"/>
      <c r="P745" s="662"/>
      <c r="Q745" s="718"/>
      <c r="R745" s="662"/>
      <c r="S745" s="672"/>
      <c r="T745" s="672"/>
      <c r="U745" s="672"/>
      <c r="V745" s="672"/>
    </row>
    <row r="746">
      <c r="A746" s="705"/>
      <c r="B746" s="706"/>
      <c r="C746" s="707"/>
      <c r="D746" s="708"/>
      <c r="E746" s="707"/>
      <c r="F746" s="708"/>
      <c r="G746" s="709"/>
      <c r="H746" s="710"/>
      <c r="I746" s="706"/>
      <c r="J746" s="711"/>
      <c r="K746" s="711"/>
      <c r="L746" s="711"/>
      <c r="M746" s="706"/>
      <c r="N746" s="711"/>
      <c r="O746" s="655"/>
      <c r="P746" s="655"/>
      <c r="Q746" s="711"/>
      <c r="R746" s="655"/>
      <c r="S746" s="674"/>
      <c r="T746" s="674"/>
      <c r="U746" s="674"/>
      <c r="V746" s="674"/>
    </row>
    <row r="747">
      <c r="A747" s="712"/>
      <c r="B747" s="713"/>
      <c r="C747" s="714"/>
      <c r="D747" s="715"/>
      <c r="E747" s="714"/>
      <c r="F747" s="715"/>
      <c r="G747" s="716"/>
      <c r="H747" s="717"/>
      <c r="I747" s="713"/>
      <c r="J747" s="718"/>
      <c r="K747" s="718"/>
      <c r="L747" s="718"/>
      <c r="M747" s="713"/>
      <c r="N747" s="718"/>
      <c r="O747" s="662"/>
      <c r="P747" s="662"/>
      <c r="Q747" s="718"/>
      <c r="R747" s="662"/>
      <c r="S747" s="672"/>
      <c r="T747" s="672"/>
      <c r="U747" s="672"/>
      <c r="V747" s="672"/>
    </row>
    <row r="748">
      <c r="A748" s="705"/>
      <c r="B748" s="706"/>
      <c r="C748" s="707"/>
      <c r="D748" s="708"/>
      <c r="E748" s="707"/>
      <c r="F748" s="708"/>
      <c r="G748" s="709"/>
      <c r="H748" s="710"/>
      <c r="I748" s="706"/>
      <c r="J748" s="711"/>
      <c r="K748" s="711"/>
      <c r="L748" s="711"/>
      <c r="M748" s="706"/>
      <c r="N748" s="711"/>
      <c r="O748" s="655"/>
      <c r="P748" s="655"/>
      <c r="Q748" s="711"/>
      <c r="R748" s="655"/>
      <c r="S748" s="674"/>
      <c r="T748" s="674"/>
      <c r="U748" s="674"/>
      <c r="V748" s="674"/>
    </row>
    <row r="749">
      <c r="A749" s="712"/>
      <c r="B749" s="713"/>
      <c r="C749" s="714"/>
      <c r="D749" s="715"/>
      <c r="E749" s="714"/>
      <c r="F749" s="715"/>
      <c r="G749" s="716"/>
      <c r="H749" s="717"/>
      <c r="I749" s="713"/>
      <c r="J749" s="718"/>
      <c r="K749" s="718"/>
      <c r="L749" s="718"/>
      <c r="M749" s="713"/>
      <c r="N749" s="718"/>
      <c r="O749" s="662"/>
      <c r="P749" s="662"/>
      <c r="Q749" s="718"/>
      <c r="R749" s="662"/>
      <c r="S749" s="672"/>
      <c r="T749" s="672"/>
      <c r="U749" s="672"/>
      <c r="V749" s="672"/>
    </row>
    <row r="750">
      <c r="A750" s="705"/>
      <c r="B750" s="706"/>
      <c r="C750" s="707"/>
      <c r="D750" s="708"/>
      <c r="E750" s="707"/>
      <c r="F750" s="708"/>
      <c r="G750" s="709"/>
      <c r="H750" s="710"/>
      <c r="I750" s="706"/>
      <c r="J750" s="711"/>
      <c r="K750" s="711"/>
      <c r="L750" s="711"/>
      <c r="M750" s="706"/>
      <c r="N750" s="711"/>
      <c r="O750" s="655"/>
      <c r="P750" s="655"/>
      <c r="Q750" s="711"/>
      <c r="R750" s="655"/>
      <c r="S750" s="674"/>
      <c r="T750" s="674"/>
      <c r="U750" s="674"/>
      <c r="V750" s="674"/>
    </row>
    <row r="751">
      <c r="A751" s="712"/>
      <c r="B751" s="713"/>
      <c r="C751" s="714"/>
      <c r="D751" s="715"/>
      <c r="E751" s="714"/>
      <c r="F751" s="715"/>
      <c r="G751" s="716"/>
      <c r="H751" s="717"/>
      <c r="I751" s="713"/>
      <c r="J751" s="718"/>
      <c r="K751" s="718"/>
      <c r="L751" s="718"/>
      <c r="M751" s="713"/>
      <c r="N751" s="718"/>
      <c r="O751" s="662"/>
      <c r="P751" s="662"/>
      <c r="Q751" s="718"/>
      <c r="R751" s="662"/>
      <c r="S751" s="672"/>
      <c r="T751" s="672"/>
      <c r="U751" s="672"/>
      <c r="V751" s="672"/>
    </row>
    <row r="752">
      <c r="A752" s="705"/>
      <c r="B752" s="706"/>
      <c r="C752" s="707"/>
      <c r="D752" s="708"/>
      <c r="E752" s="707"/>
      <c r="F752" s="708"/>
      <c r="G752" s="709"/>
      <c r="H752" s="710"/>
      <c r="I752" s="706"/>
      <c r="J752" s="711"/>
      <c r="K752" s="711"/>
      <c r="L752" s="711"/>
      <c r="M752" s="706"/>
      <c r="N752" s="711"/>
      <c r="O752" s="655"/>
      <c r="P752" s="655"/>
      <c r="Q752" s="711"/>
      <c r="R752" s="655"/>
      <c r="S752" s="674"/>
      <c r="T752" s="674"/>
      <c r="U752" s="674"/>
      <c r="V752" s="674"/>
    </row>
    <row r="753">
      <c r="A753" s="712"/>
      <c r="B753" s="713"/>
      <c r="C753" s="714"/>
      <c r="D753" s="715"/>
      <c r="E753" s="714"/>
      <c r="F753" s="715"/>
      <c r="G753" s="716"/>
      <c r="H753" s="717"/>
      <c r="I753" s="713"/>
      <c r="J753" s="718"/>
      <c r="K753" s="718"/>
      <c r="L753" s="718"/>
      <c r="M753" s="713"/>
      <c r="N753" s="718"/>
      <c r="O753" s="662"/>
      <c r="P753" s="662"/>
      <c r="Q753" s="718"/>
      <c r="R753" s="662"/>
      <c r="S753" s="672"/>
      <c r="T753" s="672"/>
      <c r="U753" s="672"/>
      <c r="V753" s="672"/>
    </row>
    <row r="754">
      <c r="A754" s="705"/>
      <c r="B754" s="706"/>
      <c r="C754" s="707"/>
      <c r="D754" s="708"/>
      <c r="E754" s="707"/>
      <c r="F754" s="708"/>
      <c r="G754" s="709"/>
      <c r="H754" s="710"/>
      <c r="I754" s="706"/>
      <c r="J754" s="711"/>
      <c r="K754" s="711"/>
      <c r="L754" s="711"/>
      <c r="M754" s="706"/>
      <c r="N754" s="711"/>
      <c r="O754" s="655"/>
      <c r="P754" s="655"/>
      <c r="Q754" s="711"/>
      <c r="R754" s="655"/>
      <c r="S754" s="674"/>
      <c r="T754" s="674"/>
      <c r="U754" s="674"/>
      <c r="V754" s="674"/>
    </row>
    <row r="755">
      <c r="A755" s="712"/>
      <c r="B755" s="713"/>
      <c r="C755" s="714"/>
      <c r="D755" s="715"/>
      <c r="E755" s="714"/>
      <c r="F755" s="715"/>
      <c r="G755" s="716"/>
      <c r="H755" s="717"/>
      <c r="I755" s="713"/>
      <c r="J755" s="718"/>
      <c r="K755" s="718"/>
      <c r="L755" s="718"/>
      <c r="M755" s="713"/>
      <c r="N755" s="718"/>
      <c r="O755" s="662"/>
      <c r="P755" s="662"/>
      <c r="Q755" s="718"/>
      <c r="R755" s="662"/>
      <c r="S755" s="672"/>
      <c r="T755" s="672"/>
      <c r="U755" s="672"/>
      <c r="V755" s="672"/>
    </row>
    <row r="756">
      <c r="A756" s="705"/>
      <c r="B756" s="706"/>
      <c r="C756" s="707"/>
      <c r="D756" s="708"/>
      <c r="E756" s="707"/>
      <c r="F756" s="708"/>
      <c r="G756" s="709"/>
      <c r="H756" s="710"/>
      <c r="I756" s="706"/>
      <c r="J756" s="711"/>
      <c r="K756" s="711"/>
      <c r="L756" s="711"/>
      <c r="M756" s="706"/>
      <c r="N756" s="711"/>
      <c r="O756" s="655"/>
      <c r="P756" s="655"/>
      <c r="Q756" s="711"/>
      <c r="R756" s="655"/>
      <c r="S756" s="674"/>
      <c r="T756" s="674"/>
      <c r="U756" s="674"/>
      <c r="V756" s="674"/>
    </row>
    <row r="757">
      <c r="A757" s="712"/>
      <c r="B757" s="713"/>
      <c r="C757" s="714"/>
      <c r="D757" s="715"/>
      <c r="E757" s="714"/>
      <c r="F757" s="715"/>
      <c r="G757" s="716"/>
      <c r="H757" s="717"/>
      <c r="I757" s="713"/>
      <c r="J757" s="718"/>
      <c r="K757" s="718"/>
      <c r="L757" s="718"/>
      <c r="M757" s="713"/>
      <c r="N757" s="718"/>
      <c r="O757" s="662"/>
      <c r="P757" s="662"/>
      <c r="Q757" s="718"/>
      <c r="R757" s="662"/>
      <c r="S757" s="672"/>
      <c r="T757" s="672"/>
      <c r="U757" s="672"/>
      <c r="V757" s="672"/>
    </row>
    <row r="758">
      <c r="A758" s="705"/>
      <c r="B758" s="706"/>
      <c r="C758" s="707"/>
      <c r="D758" s="708"/>
      <c r="E758" s="707"/>
      <c r="F758" s="708"/>
      <c r="G758" s="709"/>
      <c r="H758" s="710"/>
      <c r="I758" s="706"/>
      <c r="J758" s="711"/>
      <c r="K758" s="711"/>
      <c r="L758" s="711"/>
      <c r="M758" s="706"/>
      <c r="N758" s="711"/>
      <c r="O758" s="655"/>
      <c r="P758" s="655"/>
      <c r="Q758" s="711"/>
      <c r="R758" s="655"/>
      <c r="S758" s="674"/>
      <c r="T758" s="674"/>
      <c r="U758" s="674"/>
      <c r="V758" s="674"/>
    </row>
    <row r="759">
      <c r="A759" s="712"/>
      <c r="B759" s="713"/>
      <c r="C759" s="714"/>
      <c r="D759" s="715"/>
      <c r="E759" s="714"/>
      <c r="F759" s="715"/>
      <c r="G759" s="716"/>
      <c r="H759" s="717"/>
      <c r="I759" s="713"/>
      <c r="J759" s="718"/>
      <c r="K759" s="718"/>
      <c r="L759" s="718"/>
      <c r="M759" s="713"/>
      <c r="N759" s="718"/>
      <c r="O759" s="662"/>
      <c r="P759" s="662"/>
      <c r="Q759" s="718"/>
      <c r="R759" s="662"/>
      <c r="S759" s="672"/>
      <c r="T759" s="672"/>
      <c r="U759" s="672"/>
      <c r="V759" s="672"/>
    </row>
    <row r="760">
      <c r="A760" s="705"/>
      <c r="B760" s="706"/>
      <c r="C760" s="707"/>
      <c r="D760" s="708"/>
      <c r="E760" s="707"/>
      <c r="F760" s="708"/>
      <c r="G760" s="709"/>
      <c r="H760" s="710"/>
      <c r="I760" s="706"/>
      <c r="J760" s="711"/>
      <c r="K760" s="711"/>
      <c r="L760" s="711"/>
      <c r="M760" s="706"/>
      <c r="N760" s="711"/>
      <c r="O760" s="655"/>
      <c r="P760" s="655"/>
      <c r="Q760" s="711"/>
      <c r="R760" s="655"/>
      <c r="S760" s="674"/>
      <c r="T760" s="674"/>
      <c r="U760" s="674"/>
      <c r="V760" s="674"/>
    </row>
    <row r="761">
      <c r="A761" s="712"/>
      <c r="B761" s="713"/>
      <c r="C761" s="714"/>
      <c r="D761" s="715"/>
      <c r="E761" s="714"/>
      <c r="F761" s="715"/>
      <c r="G761" s="716"/>
      <c r="H761" s="717"/>
      <c r="I761" s="713"/>
      <c r="J761" s="718"/>
      <c r="K761" s="718"/>
      <c r="L761" s="718"/>
      <c r="M761" s="713"/>
      <c r="N761" s="718"/>
      <c r="O761" s="662"/>
      <c r="P761" s="662"/>
      <c r="Q761" s="718"/>
      <c r="R761" s="662"/>
      <c r="S761" s="672"/>
      <c r="T761" s="672"/>
      <c r="U761" s="672"/>
      <c r="V761" s="672"/>
    </row>
    <row r="762">
      <c r="A762" s="705"/>
      <c r="B762" s="706"/>
      <c r="C762" s="707"/>
      <c r="D762" s="708"/>
      <c r="E762" s="707"/>
      <c r="F762" s="708"/>
      <c r="G762" s="709"/>
      <c r="H762" s="710"/>
      <c r="I762" s="706"/>
      <c r="J762" s="711"/>
      <c r="K762" s="711"/>
      <c r="L762" s="711"/>
      <c r="M762" s="706"/>
      <c r="N762" s="711"/>
      <c r="O762" s="655"/>
      <c r="P762" s="655"/>
      <c r="Q762" s="711"/>
      <c r="R762" s="655"/>
      <c r="S762" s="674"/>
      <c r="T762" s="674"/>
      <c r="U762" s="674"/>
      <c r="V762" s="674"/>
    </row>
    <row r="763">
      <c r="A763" s="712"/>
      <c r="B763" s="713"/>
      <c r="C763" s="714"/>
      <c r="D763" s="715"/>
      <c r="E763" s="714"/>
      <c r="F763" s="715"/>
      <c r="G763" s="716"/>
      <c r="H763" s="717"/>
      <c r="I763" s="713"/>
      <c r="J763" s="718"/>
      <c r="K763" s="718"/>
      <c r="L763" s="718"/>
      <c r="M763" s="713"/>
      <c r="N763" s="718"/>
      <c r="O763" s="662"/>
      <c r="P763" s="662"/>
      <c r="Q763" s="718"/>
      <c r="R763" s="662"/>
      <c r="S763" s="672"/>
      <c r="T763" s="672"/>
      <c r="U763" s="672"/>
      <c r="V763" s="672"/>
    </row>
    <row r="764">
      <c r="A764" s="705"/>
      <c r="B764" s="706"/>
      <c r="C764" s="707"/>
      <c r="D764" s="708"/>
      <c r="E764" s="707"/>
      <c r="F764" s="708"/>
      <c r="G764" s="709"/>
      <c r="H764" s="710"/>
      <c r="I764" s="706"/>
      <c r="J764" s="711"/>
      <c r="K764" s="711"/>
      <c r="L764" s="711"/>
      <c r="M764" s="706"/>
      <c r="N764" s="711"/>
      <c r="O764" s="655"/>
      <c r="P764" s="655"/>
      <c r="Q764" s="711"/>
      <c r="R764" s="655"/>
      <c r="S764" s="674"/>
      <c r="T764" s="674"/>
      <c r="U764" s="674"/>
      <c r="V764" s="674"/>
    </row>
    <row r="765">
      <c r="A765" s="712"/>
      <c r="B765" s="713"/>
      <c r="C765" s="714"/>
      <c r="D765" s="715"/>
      <c r="E765" s="714"/>
      <c r="F765" s="715"/>
      <c r="G765" s="716"/>
      <c r="H765" s="717"/>
      <c r="I765" s="713"/>
      <c r="J765" s="718"/>
      <c r="K765" s="718"/>
      <c r="L765" s="718"/>
      <c r="M765" s="713"/>
      <c r="N765" s="718"/>
      <c r="O765" s="662"/>
      <c r="P765" s="662"/>
      <c r="Q765" s="718"/>
      <c r="R765" s="662"/>
      <c r="S765" s="672"/>
      <c r="T765" s="672"/>
      <c r="U765" s="672"/>
      <c r="V765" s="672"/>
    </row>
    <row r="766">
      <c r="A766" s="705"/>
      <c r="B766" s="706"/>
      <c r="C766" s="707"/>
      <c r="D766" s="708"/>
      <c r="E766" s="707"/>
      <c r="F766" s="708"/>
      <c r="G766" s="709"/>
      <c r="H766" s="710"/>
      <c r="I766" s="706"/>
      <c r="J766" s="711"/>
      <c r="K766" s="711"/>
      <c r="L766" s="711"/>
      <c r="M766" s="706"/>
      <c r="N766" s="711"/>
      <c r="O766" s="655"/>
      <c r="P766" s="655"/>
      <c r="Q766" s="711"/>
      <c r="R766" s="655"/>
      <c r="S766" s="674"/>
      <c r="T766" s="674"/>
      <c r="U766" s="674"/>
      <c r="V766" s="674"/>
    </row>
    <row r="767">
      <c r="A767" s="712"/>
      <c r="B767" s="713"/>
      <c r="C767" s="714"/>
      <c r="D767" s="715"/>
      <c r="E767" s="714"/>
      <c r="F767" s="715"/>
      <c r="G767" s="716"/>
      <c r="H767" s="717"/>
      <c r="I767" s="713"/>
      <c r="J767" s="718"/>
      <c r="K767" s="718"/>
      <c r="L767" s="718"/>
      <c r="M767" s="713"/>
      <c r="N767" s="718"/>
      <c r="O767" s="662"/>
      <c r="P767" s="662"/>
      <c r="Q767" s="718"/>
      <c r="R767" s="662"/>
      <c r="S767" s="672"/>
      <c r="T767" s="672"/>
      <c r="U767" s="672"/>
      <c r="V767" s="672"/>
    </row>
    <row r="768">
      <c r="A768" s="705"/>
      <c r="B768" s="706"/>
      <c r="C768" s="707"/>
      <c r="D768" s="708"/>
      <c r="E768" s="707"/>
      <c r="F768" s="708"/>
      <c r="G768" s="709"/>
      <c r="H768" s="710"/>
      <c r="I768" s="706"/>
      <c r="J768" s="711"/>
      <c r="K768" s="711"/>
      <c r="L768" s="711"/>
      <c r="M768" s="706"/>
      <c r="N768" s="711"/>
      <c r="O768" s="655"/>
      <c r="P768" s="655"/>
      <c r="Q768" s="711"/>
      <c r="R768" s="655"/>
      <c r="S768" s="674"/>
      <c r="T768" s="674"/>
      <c r="U768" s="674"/>
      <c r="V768" s="674"/>
    </row>
    <row r="769">
      <c r="A769" s="712"/>
      <c r="B769" s="713"/>
      <c r="C769" s="714"/>
      <c r="D769" s="715"/>
      <c r="E769" s="714"/>
      <c r="F769" s="715"/>
      <c r="G769" s="716"/>
      <c r="H769" s="717"/>
      <c r="I769" s="713"/>
      <c r="J769" s="718"/>
      <c r="K769" s="718"/>
      <c r="L769" s="718"/>
      <c r="M769" s="713"/>
      <c r="N769" s="718"/>
      <c r="O769" s="662"/>
      <c r="P769" s="662"/>
      <c r="Q769" s="718"/>
      <c r="R769" s="662"/>
      <c r="S769" s="672"/>
      <c r="T769" s="672"/>
      <c r="U769" s="672"/>
      <c r="V769" s="672"/>
    </row>
    <row r="770">
      <c r="A770" s="705"/>
      <c r="B770" s="706"/>
      <c r="C770" s="707"/>
      <c r="D770" s="708"/>
      <c r="E770" s="707"/>
      <c r="F770" s="708"/>
      <c r="G770" s="709"/>
      <c r="H770" s="710"/>
      <c r="I770" s="706"/>
      <c r="J770" s="711"/>
      <c r="K770" s="711"/>
      <c r="L770" s="711"/>
      <c r="M770" s="706"/>
      <c r="N770" s="711"/>
      <c r="O770" s="655"/>
      <c r="P770" s="655"/>
      <c r="Q770" s="711"/>
      <c r="R770" s="655"/>
      <c r="S770" s="674"/>
      <c r="T770" s="674"/>
      <c r="U770" s="674"/>
      <c r="V770" s="674"/>
    </row>
    <row r="771">
      <c r="A771" s="712"/>
      <c r="B771" s="713"/>
      <c r="C771" s="714"/>
      <c r="D771" s="715"/>
      <c r="E771" s="714"/>
      <c r="F771" s="715"/>
      <c r="G771" s="716"/>
      <c r="H771" s="717"/>
      <c r="I771" s="713"/>
      <c r="J771" s="718"/>
      <c r="K771" s="718"/>
      <c r="L771" s="718"/>
      <c r="M771" s="713"/>
      <c r="N771" s="718"/>
      <c r="O771" s="662"/>
      <c r="P771" s="662"/>
      <c r="Q771" s="718"/>
      <c r="R771" s="662"/>
      <c r="S771" s="672"/>
      <c r="T771" s="672"/>
      <c r="U771" s="672"/>
      <c r="V771" s="672"/>
    </row>
    <row r="772">
      <c r="A772" s="705"/>
      <c r="B772" s="706"/>
      <c r="C772" s="707"/>
      <c r="D772" s="708"/>
      <c r="E772" s="707"/>
      <c r="F772" s="708"/>
      <c r="G772" s="709"/>
      <c r="H772" s="710"/>
      <c r="I772" s="706"/>
      <c r="J772" s="711"/>
      <c r="K772" s="711"/>
      <c r="L772" s="711"/>
      <c r="M772" s="706"/>
      <c r="N772" s="711"/>
      <c r="O772" s="655"/>
      <c r="P772" s="655"/>
      <c r="Q772" s="711"/>
      <c r="R772" s="655"/>
      <c r="S772" s="674"/>
      <c r="T772" s="674"/>
      <c r="U772" s="674"/>
      <c r="V772" s="674"/>
    </row>
    <row r="773">
      <c r="A773" s="712"/>
      <c r="B773" s="713"/>
      <c r="C773" s="714"/>
      <c r="D773" s="715"/>
      <c r="E773" s="714"/>
      <c r="F773" s="715"/>
      <c r="G773" s="716"/>
      <c r="H773" s="717"/>
      <c r="I773" s="713"/>
      <c r="J773" s="718"/>
      <c r="K773" s="718"/>
      <c r="L773" s="718"/>
      <c r="M773" s="713"/>
      <c r="N773" s="718"/>
      <c r="O773" s="662"/>
      <c r="P773" s="662"/>
      <c r="Q773" s="718"/>
      <c r="R773" s="662"/>
      <c r="S773" s="672"/>
      <c r="T773" s="672"/>
      <c r="U773" s="672"/>
      <c r="V773" s="672"/>
    </row>
    <row r="774">
      <c r="A774" s="705"/>
      <c r="B774" s="706"/>
      <c r="C774" s="707"/>
      <c r="D774" s="708"/>
      <c r="E774" s="707"/>
      <c r="F774" s="708"/>
      <c r="G774" s="709"/>
      <c r="H774" s="710"/>
      <c r="I774" s="706"/>
      <c r="J774" s="711"/>
      <c r="K774" s="711"/>
      <c r="L774" s="711"/>
      <c r="M774" s="706"/>
      <c r="N774" s="711"/>
      <c r="O774" s="655"/>
      <c r="P774" s="655"/>
      <c r="Q774" s="711"/>
      <c r="R774" s="655"/>
      <c r="S774" s="674"/>
      <c r="T774" s="674"/>
      <c r="U774" s="674"/>
      <c r="V774" s="674"/>
    </row>
    <row r="775">
      <c r="A775" s="712"/>
      <c r="B775" s="713"/>
      <c r="C775" s="714"/>
      <c r="D775" s="715"/>
      <c r="E775" s="714"/>
      <c r="F775" s="715"/>
      <c r="G775" s="716"/>
      <c r="H775" s="717"/>
      <c r="I775" s="713"/>
      <c r="J775" s="718"/>
      <c r="K775" s="718"/>
      <c r="L775" s="718"/>
      <c r="M775" s="713"/>
      <c r="N775" s="718"/>
      <c r="O775" s="662"/>
      <c r="P775" s="662"/>
      <c r="Q775" s="718"/>
      <c r="R775" s="662"/>
      <c r="S775" s="672"/>
      <c r="T775" s="672"/>
      <c r="U775" s="672"/>
      <c r="V775" s="672"/>
    </row>
    <row r="776">
      <c r="A776" s="705"/>
      <c r="B776" s="706"/>
      <c r="C776" s="707"/>
      <c r="D776" s="708"/>
      <c r="E776" s="707"/>
      <c r="F776" s="708"/>
      <c r="G776" s="709"/>
      <c r="H776" s="710"/>
      <c r="I776" s="706"/>
      <c r="J776" s="711"/>
      <c r="K776" s="711"/>
      <c r="L776" s="711"/>
      <c r="M776" s="706"/>
      <c r="N776" s="711"/>
      <c r="O776" s="655"/>
      <c r="P776" s="655"/>
      <c r="Q776" s="711"/>
      <c r="R776" s="655"/>
      <c r="S776" s="674"/>
      <c r="T776" s="674"/>
      <c r="U776" s="674"/>
      <c r="V776" s="674"/>
    </row>
    <row r="777">
      <c r="A777" s="712"/>
      <c r="B777" s="713"/>
      <c r="C777" s="714"/>
      <c r="D777" s="715"/>
      <c r="E777" s="714"/>
      <c r="F777" s="715"/>
      <c r="G777" s="716"/>
      <c r="H777" s="717"/>
      <c r="I777" s="713"/>
      <c r="J777" s="718"/>
      <c r="K777" s="718"/>
      <c r="L777" s="718"/>
      <c r="M777" s="713"/>
      <c r="N777" s="718"/>
      <c r="O777" s="662"/>
      <c r="P777" s="662"/>
      <c r="Q777" s="718"/>
      <c r="R777" s="662"/>
      <c r="S777" s="672"/>
      <c r="T777" s="672"/>
      <c r="U777" s="672"/>
      <c r="V777" s="672"/>
    </row>
    <row r="778">
      <c r="A778" s="705"/>
      <c r="B778" s="706"/>
      <c r="C778" s="707"/>
      <c r="D778" s="708"/>
      <c r="E778" s="707"/>
      <c r="F778" s="708"/>
      <c r="G778" s="709"/>
      <c r="H778" s="710"/>
      <c r="I778" s="706"/>
      <c r="J778" s="711"/>
      <c r="K778" s="711"/>
      <c r="L778" s="711"/>
      <c r="M778" s="706"/>
      <c r="N778" s="711"/>
      <c r="O778" s="655"/>
      <c r="P778" s="655"/>
      <c r="Q778" s="711"/>
      <c r="R778" s="655"/>
      <c r="S778" s="674"/>
      <c r="T778" s="674"/>
      <c r="U778" s="674"/>
      <c r="V778" s="674"/>
    </row>
    <row r="779">
      <c r="A779" s="712"/>
      <c r="B779" s="713"/>
      <c r="C779" s="714"/>
      <c r="D779" s="715"/>
      <c r="E779" s="714"/>
      <c r="F779" s="715"/>
      <c r="G779" s="716"/>
      <c r="H779" s="717"/>
      <c r="I779" s="713"/>
      <c r="J779" s="718"/>
      <c r="K779" s="718"/>
      <c r="L779" s="718"/>
      <c r="M779" s="713"/>
      <c r="N779" s="718"/>
      <c r="O779" s="662"/>
      <c r="P779" s="662"/>
      <c r="Q779" s="718"/>
      <c r="R779" s="662"/>
      <c r="S779" s="672"/>
      <c r="T779" s="672"/>
      <c r="U779" s="672"/>
      <c r="V779" s="672"/>
    </row>
    <row r="780">
      <c r="A780" s="705"/>
      <c r="B780" s="706"/>
      <c r="C780" s="707"/>
      <c r="D780" s="708"/>
      <c r="E780" s="707"/>
      <c r="F780" s="708"/>
      <c r="G780" s="709"/>
      <c r="H780" s="710"/>
      <c r="I780" s="706"/>
      <c r="J780" s="711"/>
      <c r="K780" s="711"/>
      <c r="L780" s="711"/>
      <c r="M780" s="706"/>
      <c r="N780" s="711"/>
      <c r="O780" s="655"/>
      <c r="P780" s="655"/>
      <c r="Q780" s="711"/>
      <c r="R780" s="655"/>
      <c r="S780" s="674"/>
      <c r="T780" s="674"/>
      <c r="U780" s="674"/>
      <c r="V780" s="674"/>
    </row>
    <row r="781">
      <c r="A781" s="712"/>
      <c r="B781" s="713"/>
      <c r="C781" s="714"/>
      <c r="D781" s="715"/>
      <c r="E781" s="714"/>
      <c r="F781" s="715"/>
      <c r="G781" s="716"/>
      <c r="H781" s="717"/>
      <c r="I781" s="713"/>
      <c r="J781" s="718"/>
      <c r="K781" s="718"/>
      <c r="L781" s="718"/>
      <c r="M781" s="713"/>
      <c r="N781" s="718"/>
      <c r="O781" s="662"/>
      <c r="P781" s="662"/>
      <c r="Q781" s="718"/>
      <c r="R781" s="662"/>
      <c r="S781" s="672"/>
      <c r="T781" s="672"/>
      <c r="U781" s="672"/>
      <c r="V781" s="672"/>
    </row>
    <row r="782">
      <c r="A782" s="705"/>
      <c r="B782" s="706"/>
      <c r="C782" s="707"/>
      <c r="D782" s="708"/>
      <c r="E782" s="707"/>
      <c r="F782" s="708"/>
      <c r="G782" s="709"/>
      <c r="H782" s="710"/>
      <c r="I782" s="706"/>
      <c r="J782" s="711"/>
      <c r="K782" s="711"/>
      <c r="L782" s="711"/>
      <c r="M782" s="706"/>
      <c r="N782" s="711"/>
      <c r="O782" s="655"/>
      <c r="P782" s="655"/>
      <c r="Q782" s="711"/>
      <c r="R782" s="655"/>
      <c r="S782" s="674"/>
      <c r="T782" s="674"/>
      <c r="U782" s="674"/>
      <c r="V782" s="674"/>
    </row>
    <row r="783">
      <c r="A783" s="712"/>
      <c r="B783" s="713"/>
      <c r="C783" s="714"/>
      <c r="D783" s="715"/>
      <c r="E783" s="714"/>
      <c r="F783" s="715"/>
      <c r="G783" s="716"/>
      <c r="H783" s="717"/>
      <c r="I783" s="713"/>
      <c r="J783" s="718"/>
      <c r="K783" s="718"/>
      <c r="L783" s="718"/>
      <c r="M783" s="713"/>
      <c r="N783" s="718"/>
      <c r="O783" s="662"/>
      <c r="P783" s="662"/>
      <c r="Q783" s="718"/>
      <c r="R783" s="662"/>
      <c r="S783" s="672"/>
      <c r="T783" s="672"/>
      <c r="U783" s="672"/>
      <c r="V783" s="672"/>
    </row>
    <row r="784">
      <c r="A784" s="705"/>
      <c r="B784" s="706"/>
      <c r="C784" s="707"/>
      <c r="D784" s="708"/>
      <c r="E784" s="707"/>
      <c r="F784" s="708"/>
      <c r="G784" s="709"/>
      <c r="H784" s="710"/>
      <c r="I784" s="706"/>
      <c r="J784" s="711"/>
      <c r="K784" s="711"/>
      <c r="L784" s="711"/>
      <c r="M784" s="706"/>
      <c r="N784" s="711"/>
      <c r="O784" s="655"/>
      <c r="P784" s="655"/>
      <c r="Q784" s="711"/>
      <c r="R784" s="655"/>
      <c r="S784" s="674"/>
      <c r="T784" s="674"/>
      <c r="U784" s="674"/>
      <c r="V784" s="674"/>
    </row>
    <row r="785">
      <c r="A785" s="712"/>
      <c r="B785" s="713"/>
      <c r="C785" s="714"/>
      <c r="D785" s="715"/>
      <c r="E785" s="714"/>
      <c r="F785" s="715"/>
      <c r="G785" s="716"/>
      <c r="H785" s="717"/>
      <c r="I785" s="713"/>
      <c r="J785" s="718"/>
      <c r="K785" s="718"/>
      <c r="L785" s="718"/>
      <c r="M785" s="713"/>
      <c r="N785" s="718"/>
      <c r="O785" s="662"/>
      <c r="P785" s="662"/>
      <c r="Q785" s="718"/>
      <c r="R785" s="662"/>
      <c r="S785" s="672"/>
      <c r="T785" s="672"/>
      <c r="U785" s="672"/>
      <c r="V785" s="672"/>
    </row>
    <row r="786">
      <c r="A786" s="705"/>
      <c r="B786" s="706"/>
      <c r="C786" s="707"/>
      <c r="D786" s="708"/>
      <c r="E786" s="707"/>
      <c r="F786" s="708"/>
      <c r="G786" s="709"/>
      <c r="H786" s="710"/>
      <c r="I786" s="706"/>
      <c r="J786" s="711"/>
      <c r="K786" s="711"/>
      <c r="L786" s="711"/>
      <c r="M786" s="706"/>
      <c r="N786" s="711"/>
      <c r="O786" s="655"/>
      <c r="P786" s="655"/>
      <c r="Q786" s="711"/>
      <c r="R786" s="655"/>
      <c r="S786" s="674"/>
      <c r="T786" s="674"/>
      <c r="U786" s="674"/>
      <c r="V786" s="674"/>
    </row>
    <row r="787">
      <c r="A787" s="712"/>
      <c r="B787" s="713"/>
      <c r="C787" s="714"/>
      <c r="D787" s="715"/>
      <c r="E787" s="714"/>
      <c r="F787" s="715"/>
      <c r="G787" s="716"/>
      <c r="H787" s="717"/>
      <c r="I787" s="713"/>
      <c r="J787" s="718"/>
      <c r="K787" s="718"/>
      <c r="L787" s="718"/>
      <c r="M787" s="713"/>
      <c r="N787" s="718"/>
      <c r="O787" s="662"/>
      <c r="P787" s="662"/>
      <c r="Q787" s="718"/>
      <c r="R787" s="662"/>
      <c r="S787" s="672"/>
      <c r="T787" s="672"/>
      <c r="U787" s="672"/>
      <c r="V787" s="672"/>
    </row>
    <row r="788">
      <c r="A788" s="705"/>
      <c r="B788" s="706"/>
      <c r="C788" s="707"/>
      <c r="D788" s="708"/>
      <c r="E788" s="707"/>
      <c r="F788" s="708"/>
      <c r="G788" s="709"/>
      <c r="H788" s="710"/>
      <c r="I788" s="706"/>
      <c r="J788" s="711"/>
      <c r="K788" s="711"/>
      <c r="L788" s="711"/>
      <c r="M788" s="706"/>
      <c r="N788" s="711"/>
      <c r="O788" s="655"/>
      <c r="P788" s="655"/>
      <c r="Q788" s="711"/>
      <c r="R788" s="655"/>
      <c r="S788" s="674"/>
      <c r="T788" s="674"/>
      <c r="U788" s="674"/>
      <c r="V788" s="674"/>
    </row>
    <row r="789">
      <c r="A789" s="712"/>
      <c r="B789" s="713"/>
      <c r="C789" s="714"/>
      <c r="D789" s="715"/>
      <c r="E789" s="714"/>
      <c r="F789" s="715"/>
      <c r="G789" s="716"/>
      <c r="H789" s="717"/>
      <c r="I789" s="713"/>
      <c r="J789" s="718"/>
      <c r="K789" s="718"/>
      <c r="L789" s="718"/>
      <c r="M789" s="713"/>
      <c r="N789" s="718"/>
      <c r="O789" s="662"/>
      <c r="P789" s="662"/>
      <c r="Q789" s="718"/>
      <c r="R789" s="662"/>
      <c r="S789" s="672"/>
      <c r="T789" s="672"/>
      <c r="U789" s="672"/>
      <c r="V789" s="672"/>
    </row>
    <row r="790">
      <c r="A790" s="705"/>
      <c r="B790" s="706"/>
      <c r="C790" s="707"/>
      <c r="D790" s="708"/>
      <c r="E790" s="707"/>
      <c r="F790" s="708"/>
      <c r="G790" s="709"/>
      <c r="H790" s="710"/>
      <c r="I790" s="706"/>
      <c r="J790" s="711"/>
      <c r="K790" s="711"/>
      <c r="L790" s="711"/>
      <c r="M790" s="706"/>
      <c r="N790" s="711"/>
      <c r="O790" s="655"/>
      <c r="P790" s="655"/>
      <c r="Q790" s="711"/>
      <c r="R790" s="655"/>
      <c r="S790" s="674"/>
      <c r="T790" s="674"/>
      <c r="U790" s="674"/>
      <c r="V790" s="674"/>
    </row>
    <row r="791">
      <c r="A791" s="712"/>
      <c r="B791" s="713"/>
      <c r="C791" s="714"/>
      <c r="D791" s="715"/>
      <c r="E791" s="714"/>
      <c r="F791" s="715"/>
      <c r="G791" s="716"/>
      <c r="H791" s="717"/>
      <c r="I791" s="713"/>
      <c r="J791" s="718"/>
      <c r="K791" s="718"/>
      <c r="L791" s="718"/>
      <c r="M791" s="713"/>
      <c r="N791" s="718"/>
      <c r="O791" s="662"/>
      <c r="P791" s="662"/>
      <c r="Q791" s="718"/>
      <c r="R791" s="662"/>
      <c r="S791" s="672"/>
      <c r="T791" s="672"/>
      <c r="U791" s="672"/>
      <c r="V791" s="672"/>
    </row>
    <row r="792">
      <c r="A792" s="705"/>
      <c r="B792" s="706"/>
      <c r="C792" s="707"/>
      <c r="D792" s="708"/>
      <c r="E792" s="707"/>
      <c r="F792" s="708"/>
      <c r="G792" s="709"/>
      <c r="H792" s="710"/>
      <c r="I792" s="706"/>
      <c r="J792" s="711"/>
      <c r="K792" s="711"/>
      <c r="L792" s="711"/>
      <c r="M792" s="706"/>
      <c r="N792" s="711"/>
      <c r="O792" s="655"/>
      <c r="P792" s="655"/>
      <c r="Q792" s="711"/>
      <c r="R792" s="655"/>
      <c r="S792" s="674"/>
      <c r="T792" s="674"/>
      <c r="U792" s="674"/>
      <c r="V792" s="674"/>
    </row>
    <row r="793">
      <c r="A793" s="712"/>
      <c r="B793" s="713"/>
      <c r="C793" s="714"/>
      <c r="D793" s="715"/>
      <c r="E793" s="714"/>
      <c r="F793" s="715"/>
      <c r="G793" s="716"/>
      <c r="H793" s="717"/>
      <c r="I793" s="713"/>
      <c r="J793" s="718"/>
      <c r="K793" s="718"/>
      <c r="L793" s="718"/>
      <c r="M793" s="713"/>
      <c r="N793" s="718"/>
      <c r="O793" s="662"/>
      <c r="P793" s="662"/>
      <c r="Q793" s="718"/>
      <c r="R793" s="662"/>
      <c r="S793" s="672"/>
      <c r="T793" s="672"/>
      <c r="U793" s="672"/>
      <c r="V793" s="672"/>
    </row>
    <row r="794">
      <c r="A794" s="705"/>
      <c r="B794" s="706"/>
      <c r="C794" s="707"/>
      <c r="D794" s="708"/>
      <c r="E794" s="707"/>
      <c r="F794" s="708"/>
      <c r="G794" s="709"/>
      <c r="H794" s="710"/>
      <c r="I794" s="706"/>
      <c r="J794" s="711"/>
      <c r="K794" s="711"/>
      <c r="L794" s="711"/>
      <c r="M794" s="706"/>
      <c r="N794" s="711"/>
      <c r="O794" s="655"/>
      <c r="P794" s="655"/>
      <c r="Q794" s="711"/>
      <c r="R794" s="655"/>
      <c r="S794" s="674"/>
      <c r="T794" s="674"/>
      <c r="U794" s="674"/>
      <c r="V794" s="674"/>
    </row>
    <row r="795">
      <c r="A795" s="712"/>
      <c r="B795" s="713"/>
      <c r="C795" s="714"/>
      <c r="D795" s="715"/>
      <c r="E795" s="714"/>
      <c r="F795" s="715"/>
      <c r="G795" s="716"/>
      <c r="H795" s="717"/>
      <c r="I795" s="713"/>
      <c r="J795" s="718"/>
      <c r="K795" s="718"/>
      <c r="L795" s="718"/>
      <c r="M795" s="713"/>
      <c r="N795" s="718"/>
      <c r="O795" s="662"/>
      <c r="P795" s="662"/>
      <c r="Q795" s="718"/>
      <c r="R795" s="662"/>
      <c r="S795" s="672"/>
      <c r="T795" s="672"/>
      <c r="U795" s="672"/>
      <c r="V795" s="672"/>
    </row>
    <row r="796">
      <c r="A796" s="705"/>
      <c r="B796" s="706"/>
      <c r="C796" s="707"/>
      <c r="D796" s="708"/>
      <c r="E796" s="707"/>
      <c r="F796" s="708"/>
      <c r="G796" s="709"/>
      <c r="H796" s="710"/>
      <c r="I796" s="706"/>
      <c r="J796" s="711"/>
      <c r="K796" s="711"/>
      <c r="L796" s="711"/>
      <c r="M796" s="706"/>
      <c r="N796" s="711"/>
      <c r="O796" s="655"/>
      <c r="P796" s="655"/>
      <c r="Q796" s="711"/>
      <c r="R796" s="655"/>
      <c r="S796" s="674"/>
      <c r="T796" s="674"/>
      <c r="U796" s="674"/>
      <c r="V796" s="674"/>
    </row>
    <row r="797">
      <c r="A797" s="712"/>
      <c r="B797" s="713"/>
      <c r="C797" s="714"/>
      <c r="D797" s="715"/>
      <c r="E797" s="714"/>
      <c r="F797" s="715"/>
      <c r="G797" s="716"/>
      <c r="H797" s="717"/>
      <c r="I797" s="713"/>
      <c r="J797" s="718"/>
      <c r="K797" s="718"/>
      <c r="L797" s="718"/>
      <c r="M797" s="713"/>
      <c r="N797" s="718"/>
      <c r="O797" s="662"/>
      <c r="P797" s="662"/>
      <c r="Q797" s="718"/>
      <c r="R797" s="662"/>
      <c r="S797" s="672"/>
      <c r="T797" s="672"/>
      <c r="U797" s="672"/>
      <c r="V797" s="672"/>
    </row>
    <row r="798">
      <c r="A798" s="705"/>
      <c r="B798" s="706"/>
      <c r="C798" s="707"/>
      <c r="D798" s="708"/>
      <c r="E798" s="707"/>
      <c r="F798" s="708"/>
      <c r="G798" s="709"/>
      <c r="H798" s="710"/>
      <c r="I798" s="706"/>
      <c r="J798" s="711"/>
      <c r="K798" s="711"/>
      <c r="L798" s="711"/>
      <c r="M798" s="706"/>
      <c r="N798" s="711"/>
      <c r="O798" s="655"/>
      <c r="P798" s="655"/>
      <c r="Q798" s="711"/>
      <c r="R798" s="655"/>
      <c r="S798" s="674"/>
      <c r="T798" s="674"/>
      <c r="U798" s="674"/>
      <c r="V798" s="674"/>
    </row>
    <row r="799">
      <c r="A799" s="712"/>
      <c r="B799" s="713"/>
      <c r="C799" s="714"/>
      <c r="D799" s="715"/>
      <c r="E799" s="714"/>
      <c r="F799" s="715"/>
      <c r="G799" s="716"/>
      <c r="H799" s="717"/>
      <c r="I799" s="713"/>
      <c r="J799" s="718"/>
      <c r="K799" s="718"/>
      <c r="L799" s="718"/>
      <c r="M799" s="713"/>
      <c r="N799" s="718"/>
      <c r="O799" s="662"/>
      <c r="P799" s="662"/>
      <c r="Q799" s="718"/>
      <c r="R799" s="662"/>
      <c r="S799" s="672"/>
      <c r="T799" s="672"/>
      <c r="U799" s="672"/>
      <c r="V799" s="672"/>
    </row>
    <row r="800">
      <c r="A800" s="705"/>
      <c r="B800" s="706"/>
      <c r="C800" s="707"/>
      <c r="D800" s="708"/>
      <c r="E800" s="707"/>
      <c r="F800" s="708"/>
      <c r="G800" s="709"/>
      <c r="H800" s="710"/>
      <c r="I800" s="706"/>
      <c r="J800" s="711"/>
      <c r="K800" s="711"/>
      <c r="L800" s="711"/>
      <c r="M800" s="706"/>
      <c r="N800" s="711"/>
      <c r="O800" s="655"/>
      <c r="P800" s="655"/>
      <c r="Q800" s="711"/>
      <c r="R800" s="655"/>
      <c r="S800" s="674"/>
      <c r="T800" s="674"/>
      <c r="U800" s="674"/>
      <c r="V800" s="674"/>
    </row>
    <row r="801">
      <c r="A801" s="712"/>
      <c r="B801" s="713"/>
      <c r="C801" s="714"/>
      <c r="D801" s="715"/>
      <c r="E801" s="714"/>
      <c r="F801" s="715"/>
      <c r="G801" s="716"/>
      <c r="H801" s="717"/>
      <c r="I801" s="713"/>
      <c r="J801" s="718"/>
      <c r="K801" s="718"/>
      <c r="L801" s="718"/>
      <c r="M801" s="713"/>
      <c r="N801" s="718"/>
      <c r="O801" s="662"/>
      <c r="P801" s="662"/>
      <c r="Q801" s="718"/>
      <c r="R801" s="662"/>
      <c r="S801" s="672"/>
      <c r="T801" s="672"/>
      <c r="U801" s="672"/>
      <c r="V801" s="672"/>
    </row>
    <row r="802">
      <c r="A802" s="705"/>
      <c r="B802" s="706"/>
      <c r="C802" s="707"/>
      <c r="D802" s="708"/>
      <c r="E802" s="707"/>
      <c r="F802" s="708"/>
      <c r="G802" s="709"/>
      <c r="H802" s="710"/>
      <c r="I802" s="706"/>
      <c r="J802" s="711"/>
      <c r="K802" s="711"/>
      <c r="L802" s="711"/>
      <c r="M802" s="706"/>
      <c r="N802" s="711"/>
      <c r="O802" s="655"/>
      <c r="P802" s="655"/>
      <c r="Q802" s="711"/>
      <c r="R802" s="655"/>
      <c r="S802" s="674"/>
      <c r="T802" s="674"/>
      <c r="U802" s="674"/>
      <c r="V802" s="674"/>
    </row>
    <row r="803">
      <c r="A803" s="712"/>
      <c r="B803" s="713"/>
      <c r="C803" s="714"/>
      <c r="D803" s="715"/>
      <c r="E803" s="714"/>
      <c r="F803" s="715"/>
      <c r="G803" s="716"/>
      <c r="H803" s="717"/>
      <c r="I803" s="713"/>
      <c r="J803" s="718"/>
      <c r="K803" s="718"/>
      <c r="L803" s="718"/>
      <c r="M803" s="713"/>
      <c r="N803" s="718"/>
      <c r="O803" s="662"/>
      <c r="P803" s="662"/>
      <c r="Q803" s="718"/>
      <c r="R803" s="662"/>
      <c r="S803" s="672"/>
      <c r="T803" s="672"/>
      <c r="U803" s="672"/>
      <c r="V803" s="672"/>
    </row>
    <row r="804">
      <c r="A804" s="705"/>
      <c r="B804" s="706"/>
      <c r="C804" s="707"/>
      <c r="D804" s="708"/>
      <c r="E804" s="707"/>
      <c r="F804" s="708"/>
      <c r="G804" s="709"/>
      <c r="H804" s="710"/>
      <c r="I804" s="706"/>
      <c r="J804" s="711"/>
      <c r="K804" s="711"/>
      <c r="L804" s="711"/>
      <c r="M804" s="706"/>
      <c r="N804" s="711"/>
      <c r="O804" s="655"/>
      <c r="P804" s="655"/>
      <c r="Q804" s="711"/>
      <c r="R804" s="655"/>
      <c r="S804" s="674"/>
      <c r="T804" s="674"/>
      <c r="U804" s="674"/>
      <c r="V804" s="674"/>
    </row>
    <row r="805">
      <c r="A805" s="712"/>
      <c r="B805" s="713"/>
      <c r="C805" s="714"/>
      <c r="D805" s="715"/>
      <c r="E805" s="714"/>
      <c r="F805" s="715"/>
      <c r="G805" s="716"/>
      <c r="H805" s="717"/>
      <c r="I805" s="713"/>
      <c r="J805" s="718"/>
      <c r="K805" s="718"/>
      <c r="L805" s="718"/>
      <c r="M805" s="713"/>
      <c r="N805" s="718"/>
      <c r="O805" s="662"/>
      <c r="P805" s="662"/>
      <c r="Q805" s="718"/>
      <c r="R805" s="662"/>
      <c r="S805" s="672"/>
      <c r="T805" s="672"/>
      <c r="U805" s="672"/>
      <c r="V805" s="672"/>
    </row>
    <row r="806">
      <c r="A806" s="705"/>
      <c r="B806" s="706"/>
      <c r="C806" s="707"/>
      <c r="D806" s="708"/>
      <c r="E806" s="707"/>
      <c r="F806" s="708"/>
      <c r="G806" s="709"/>
      <c r="H806" s="710"/>
      <c r="I806" s="706"/>
      <c r="J806" s="711"/>
      <c r="K806" s="711"/>
      <c r="L806" s="711"/>
      <c r="M806" s="706"/>
      <c r="N806" s="711"/>
      <c r="O806" s="655"/>
      <c r="P806" s="655"/>
      <c r="Q806" s="711"/>
      <c r="R806" s="655"/>
      <c r="S806" s="674"/>
      <c r="T806" s="674"/>
      <c r="U806" s="674"/>
      <c r="V806" s="674"/>
    </row>
    <row r="807">
      <c r="A807" s="712"/>
      <c r="B807" s="713"/>
      <c r="C807" s="714"/>
      <c r="D807" s="715"/>
      <c r="E807" s="714"/>
      <c r="F807" s="715"/>
      <c r="G807" s="716"/>
      <c r="H807" s="717"/>
      <c r="I807" s="713"/>
      <c r="J807" s="718"/>
      <c r="K807" s="718"/>
      <c r="L807" s="718"/>
      <c r="M807" s="713"/>
      <c r="N807" s="718"/>
      <c r="O807" s="662"/>
      <c r="P807" s="662"/>
      <c r="Q807" s="718"/>
      <c r="R807" s="662"/>
      <c r="S807" s="672"/>
      <c r="T807" s="672"/>
      <c r="U807" s="672"/>
      <c r="V807" s="672"/>
    </row>
    <row r="808">
      <c r="A808" s="705"/>
      <c r="B808" s="706"/>
      <c r="C808" s="707"/>
      <c r="D808" s="708"/>
      <c r="E808" s="707"/>
      <c r="F808" s="708"/>
      <c r="G808" s="709"/>
      <c r="H808" s="710"/>
      <c r="I808" s="706"/>
      <c r="J808" s="711"/>
      <c r="K808" s="711"/>
      <c r="L808" s="711"/>
      <c r="M808" s="706"/>
      <c r="N808" s="711"/>
      <c r="O808" s="655"/>
      <c r="P808" s="655"/>
      <c r="Q808" s="711"/>
      <c r="R808" s="655"/>
      <c r="S808" s="674"/>
      <c r="T808" s="674"/>
      <c r="U808" s="674"/>
      <c r="V808" s="674"/>
    </row>
    <row r="809">
      <c r="A809" s="712"/>
      <c r="B809" s="713"/>
      <c r="C809" s="714"/>
      <c r="D809" s="715"/>
      <c r="E809" s="714"/>
      <c r="F809" s="715"/>
      <c r="G809" s="716"/>
      <c r="H809" s="717"/>
      <c r="I809" s="713"/>
      <c r="J809" s="718"/>
      <c r="K809" s="718"/>
      <c r="L809" s="718"/>
      <c r="M809" s="713"/>
      <c r="N809" s="718"/>
      <c r="O809" s="662"/>
      <c r="P809" s="662"/>
      <c r="Q809" s="718"/>
      <c r="R809" s="662"/>
      <c r="S809" s="672"/>
      <c r="T809" s="672"/>
      <c r="U809" s="672"/>
      <c r="V809" s="672"/>
    </row>
    <row r="810">
      <c r="A810" s="705"/>
      <c r="B810" s="706"/>
      <c r="C810" s="707"/>
      <c r="D810" s="708"/>
      <c r="E810" s="707"/>
      <c r="F810" s="708"/>
      <c r="G810" s="709"/>
      <c r="H810" s="710"/>
      <c r="I810" s="706"/>
      <c r="J810" s="711"/>
      <c r="K810" s="711"/>
      <c r="L810" s="711"/>
      <c r="M810" s="706"/>
      <c r="N810" s="711"/>
      <c r="O810" s="655"/>
      <c r="P810" s="655"/>
      <c r="Q810" s="711"/>
      <c r="R810" s="655"/>
      <c r="S810" s="674"/>
      <c r="T810" s="674"/>
      <c r="U810" s="674"/>
      <c r="V810" s="674"/>
    </row>
    <row r="811">
      <c r="A811" s="712"/>
      <c r="B811" s="713"/>
      <c r="C811" s="714"/>
      <c r="D811" s="715"/>
      <c r="E811" s="714"/>
      <c r="F811" s="715"/>
      <c r="G811" s="716"/>
      <c r="H811" s="717"/>
      <c r="I811" s="713"/>
      <c r="J811" s="718"/>
      <c r="K811" s="718"/>
      <c r="L811" s="718"/>
      <c r="M811" s="713"/>
      <c r="N811" s="718"/>
      <c r="O811" s="662"/>
      <c r="P811" s="662"/>
      <c r="Q811" s="718"/>
      <c r="R811" s="662"/>
      <c r="S811" s="672"/>
      <c r="T811" s="672"/>
      <c r="U811" s="672"/>
      <c r="V811" s="672"/>
    </row>
    <row r="812">
      <c r="A812" s="705"/>
      <c r="B812" s="706"/>
      <c r="C812" s="707"/>
      <c r="D812" s="708"/>
      <c r="E812" s="707"/>
      <c r="F812" s="708"/>
      <c r="G812" s="709"/>
      <c r="H812" s="710"/>
      <c r="I812" s="706"/>
      <c r="J812" s="711"/>
      <c r="K812" s="711"/>
      <c r="L812" s="711"/>
      <c r="M812" s="706"/>
      <c r="N812" s="711"/>
      <c r="O812" s="655"/>
      <c r="P812" s="655"/>
      <c r="Q812" s="711"/>
      <c r="R812" s="655"/>
      <c r="S812" s="674"/>
      <c r="T812" s="674"/>
      <c r="U812" s="674"/>
      <c r="V812" s="674"/>
    </row>
    <row r="813">
      <c r="A813" s="712"/>
      <c r="B813" s="713"/>
      <c r="C813" s="714"/>
      <c r="D813" s="715"/>
      <c r="E813" s="714"/>
      <c r="F813" s="715"/>
      <c r="G813" s="716"/>
      <c r="H813" s="717"/>
      <c r="I813" s="713"/>
      <c r="J813" s="718"/>
      <c r="K813" s="718"/>
      <c r="L813" s="718"/>
      <c r="M813" s="713"/>
      <c r="N813" s="718"/>
      <c r="O813" s="662"/>
      <c r="P813" s="662"/>
      <c r="Q813" s="718"/>
      <c r="R813" s="662"/>
      <c r="S813" s="672"/>
      <c r="T813" s="672"/>
      <c r="U813" s="672"/>
      <c r="V813" s="672"/>
    </row>
    <row r="814">
      <c r="A814" s="705"/>
      <c r="B814" s="706"/>
      <c r="C814" s="707"/>
      <c r="D814" s="708"/>
      <c r="E814" s="707"/>
      <c r="F814" s="708"/>
      <c r="G814" s="709"/>
      <c r="H814" s="710"/>
      <c r="I814" s="706"/>
      <c r="J814" s="711"/>
      <c r="K814" s="711"/>
      <c r="L814" s="711"/>
      <c r="M814" s="706"/>
      <c r="N814" s="711"/>
      <c r="O814" s="655"/>
      <c r="P814" s="655"/>
      <c r="Q814" s="711"/>
      <c r="R814" s="655"/>
      <c r="S814" s="674"/>
      <c r="T814" s="674"/>
      <c r="U814" s="674"/>
      <c r="V814" s="674"/>
    </row>
    <row r="815">
      <c r="A815" s="712"/>
      <c r="B815" s="713"/>
      <c r="C815" s="714"/>
      <c r="D815" s="715"/>
      <c r="E815" s="714"/>
      <c r="F815" s="715"/>
      <c r="G815" s="716"/>
      <c r="H815" s="717"/>
      <c r="I815" s="713"/>
      <c r="J815" s="718"/>
      <c r="K815" s="718"/>
      <c r="L815" s="718"/>
      <c r="M815" s="713"/>
      <c r="N815" s="718"/>
      <c r="O815" s="662"/>
      <c r="P815" s="662"/>
      <c r="Q815" s="718"/>
      <c r="R815" s="662"/>
      <c r="S815" s="672"/>
      <c r="T815" s="672"/>
      <c r="U815" s="672"/>
      <c r="V815" s="672"/>
    </row>
    <row r="816">
      <c r="A816" s="705"/>
      <c r="B816" s="706"/>
      <c r="C816" s="707"/>
      <c r="D816" s="708"/>
      <c r="E816" s="707"/>
      <c r="F816" s="708"/>
      <c r="G816" s="709"/>
      <c r="H816" s="710"/>
      <c r="I816" s="706"/>
      <c r="J816" s="711"/>
      <c r="K816" s="711"/>
      <c r="L816" s="711"/>
      <c r="M816" s="706"/>
      <c r="N816" s="711"/>
      <c r="O816" s="655"/>
      <c r="P816" s="655"/>
      <c r="Q816" s="711"/>
      <c r="R816" s="655"/>
      <c r="S816" s="674"/>
      <c r="T816" s="674"/>
      <c r="U816" s="674"/>
      <c r="V816" s="674"/>
    </row>
    <row r="817">
      <c r="A817" s="712"/>
      <c r="B817" s="713"/>
      <c r="C817" s="714"/>
      <c r="D817" s="715"/>
      <c r="E817" s="714"/>
      <c r="F817" s="715"/>
      <c r="G817" s="716"/>
      <c r="H817" s="717"/>
      <c r="I817" s="713"/>
      <c r="J817" s="718"/>
      <c r="K817" s="718"/>
      <c r="L817" s="718"/>
      <c r="M817" s="713"/>
      <c r="N817" s="718"/>
      <c r="O817" s="662"/>
      <c r="P817" s="662"/>
      <c r="Q817" s="718"/>
      <c r="R817" s="662"/>
      <c r="S817" s="672"/>
      <c r="T817" s="672"/>
      <c r="U817" s="672"/>
      <c r="V817" s="672"/>
    </row>
    <row r="818">
      <c r="A818" s="705"/>
      <c r="B818" s="706"/>
      <c r="C818" s="707"/>
      <c r="D818" s="708"/>
      <c r="E818" s="707"/>
      <c r="F818" s="708"/>
      <c r="G818" s="709"/>
      <c r="H818" s="710"/>
      <c r="I818" s="706"/>
      <c r="J818" s="711"/>
      <c r="K818" s="711"/>
      <c r="L818" s="711"/>
      <c r="M818" s="706"/>
      <c r="N818" s="711"/>
      <c r="O818" s="655"/>
      <c r="P818" s="655"/>
      <c r="Q818" s="711"/>
      <c r="R818" s="655"/>
      <c r="S818" s="674"/>
      <c r="T818" s="674"/>
      <c r="U818" s="674"/>
      <c r="V818" s="674"/>
    </row>
    <row r="819">
      <c r="A819" s="712"/>
      <c r="B819" s="713"/>
      <c r="C819" s="714"/>
      <c r="D819" s="715"/>
      <c r="E819" s="714"/>
      <c r="F819" s="715"/>
      <c r="G819" s="716"/>
      <c r="H819" s="717"/>
      <c r="I819" s="713"/>
      <c r="J819" s="718"/>
      <c r="K819" s="718"/>
      <c r="L819" s="718"/>
      <c r="M819" s="713"/>
      <c r="N819" s="718"/>
      <c r="O819" s="662"/>
      <c r="P819" s="662"/>
      <c r="Q819" s="718"/>
      <c r="R819" s="662"/>
      <c r="S819" s="672"/>
      <c r="T819" s="672"/>
      <c r="U819" s="672"/>
      <c r="V819" s="672"/>
    </row>
    <row r="820">
      <c r="A820" s="705"/>
      <c r="B820" s="706"/>
      <c r="C820" s="707"/>
      <c r="D820" s="708"/>
      <c r="E820" s="707"/>
      <c r="F820" s="708"/>
      <c r="G820" s="709"/>
      <c r="H820" s="710"/>
      <c r="I820" s="706"/>
      <c r="J820" s="711"/>
      <c r="K820" s="711"/>
      <c r="L820" s="711"/>
      <c r="M820" s="706"/>
      <c r="N820" s="711"/>
      <c r="O820" s="655"/>
      <c r="P820" s="655"/>
      <c r="Q820" s="711"/>
      <c r="R820" s="655"/>
      <c r="S820" s="674"/>
      <c r="T820" s="674"/>
      <c r="U820" s="674"/>
      <c r="V820" s="674"/>
    </row>
    <row r="821">
      <c r="A821" s="712"/>
      <c r="B821" s="713"/>
      <c r="C821" s="714"/>
      <c r="D821" s="715"/>
      <c r="E821" s="714"/>
      <c r="F821" s="715"/>
      <c r="G821" s="716"/>
      <c r="H821" s="717"/>
      <c r="I821" s="713"/>
      <c r="J821" s="718"/>
      <c r="K821" s="718"/>
      <c r="L821" s="718"/>
      <c r="M821" s="713"/>
      <c r="N821" s="718"/>
      <c r="O821" s="662"/>
      <c r="P821" s="662"/>
      <c r="Q821" s="718"/>
      <c r="R821" s="662"/>
      <c r="S821" s="672"/>
      <c r="T821" s="672"/>
      <c r="U821" s="672"/>
      <c r="V821" s="672"/>
    </row>
    <row r="822">
      <c r="A822" s="705"/>
      <c r="B822" s="706"/>
      <c r="C822" s="707"/>
      <c r="D822" s="708"/>
      <c r="E822" s="707"/>
      <c r="F822" s="708"/>
      <c r="G822" s="709"/>
      <c r="H822" s="710"/>
      <c r="I822" s="706"/>
      <c r="J822" s="711"/>
      <c r="K822" s="711"/>
      <c r="L822" s="711"/>
      <c r="M822" s="706"/>
      <c r="N822" s="711"/>
      <c r="O822" s="655"/>
      <c r="P822" s="655"/>
      <c r="Q822" s="711"/>
      <c r="R822" s="655"/>
      <c r="S822" s="674"/>
      <c r="T822" s="674"/>
      <c r="U822" s="674"/>
      <c r="V822" s="674"/>
    </row>
    <row r="823">
      <c r="A823" s="712"/>
      <c r="B823" s="713"/>
      <c r="C823" s="714"/>
      <c r="D823" s="715"/>
      <c r="E823" s="714"/>
      <c r="F823" s="715"/>
      <c r="G823" s="716"/>
      <c r="H823" s="717"/>
      <c r="I823" s="713"/>
      <c r="J823" s="718"/>
      <c r="K823" s="718"/>
      <c r="L823" s="718"/>
      <c r="M823" s="713"/>
      <c r="N823" s="718"/>
      <c r="O823" s="662"/>
      <c r="P823" s="662"/>
      <c r="Q823" s="718"/>
      <c r="R823" s="662"/>
      <c r="S823" s="672"/>
      <c r="T823" s="672"/>
      <c r="U823" s="672"/>
      <c r="V823" s="672"/>
    </row>
    <row r="824">
      <c r="A824" s="705"/>
      <c r="B824" s="706"/>
      <c r="C824" s="707"/>
      <c r="D824" s="708"/>
      <c r="E824" s="707"/>
      <c r="F824" s="708"/>
      <c r="G824" s="709"/>
      <c r="H824" s="710"/>
      <c r="I824" s="706"/>
      <c r="J824" s="711"/>
      <c r="K824" s="711"/>
      <c r="L824" s="711"/>
      <c r="M824" s="706"/>
      <c r="N824" s="711"/>
      <c r="O824" s="655"/>
      <c r="P824" s="655"/>
      <c r="Q824" s="711"/>
      <c r="R824" s="655"/>
      <c r="S824" s="674"/>
      <c r="T824" s="674"/>
      <c r="U824" s="674"/>
      <c r="V824" s="674"/>
    </row>
    <row r="825">
      <c r="A825" s="712"/>
      <c r="B825" s="713"/>
      <c r="C825" s="714"/>
      <c r="D825" s="715"/>
      <c r="E825" s="714"/>
      <c r="F825" s="715"/>
      <c r="G825" s="716"/>
      <c r="H825" s="717"/>
      <c r="I825" s="713"/>
      <c r="J825" s="718"/>
      <c r="K825" s="718"/>
      <c r="L825" s="718"/>
      <c r="M825" s="713"/>
      <c r="N825" s="718"/>
      <c r="O825" s="662"/>
      <c r="P825" s="662"/>
      <c r="Q825" s="718"/>
      <c r="R825" s="662"/>
      <c r="S825" s="672"/>
      <c r="T825" s="672"/>
      <c r="U825" s="672"/>
      <c r="V825" s="672"/>
    </row>
    <row r="826">
      <c r="A826" s="705"/>
      <c r="B826" s="706"/>
      <c r="C826" s="707"/>
      <c r="D826" s="708"/>
      <c r="E826" s="707"/>
      <c r="F826" s="708"/>
      <c r="G826" s="709"/>
      <c r="H826" s="710"/>
      <c r="I826" s="706"/>
      <c r="J826" s="711"/>
      <c r="K826" s="711"/>
      <c r="L826" s="711"/>
      <c r="M826" s="706"/>
      <c r="N826" s="711"/>
      <c r="O826" s="655"/>
      <c r="P826" s="655"/>
      <c r="Q826" s="711"/>
      <c r="R826" s="655"/>
      <c r="S826" s="674"/>
      <c r="T826" s="674"/>
      <c r="U826" s="674"/>
      <c r="V826" s="674"/>
    </row>
    <row r="827">
      <c r="A827" s="712"/>
      <c r="B827" s="713"/>
      <c r="C827" s="714"/>
      <c r="D827" s="715"/>
      <c r="E827" s="714"/>
      <c r="F827" s="715"/>
      <c r="G827" s="716"/>
      <c r="H827" s="717"/>
      <c r="I827" s="713"/>
      <c r="J827" s="718"/>
      <c r="K827" s="718"/>
      <c r="L827" s="718"/>
      <c r="M827" s="713"/>
      <c r="N827" s="718"/>
      <c r="O827" s="662"/>
      <c r="P827" s="662"/>
      <c r="Q827" s="718"/>
      <c r="R827" s="662"/>
      <c r="S827" s="672"/>
      <c r="T827" s="672"/>
      <c r="U827" s="672"/>
      <c r="V827" s="672"/>
    </row>
    <row r="828">
      <c r="A828" s="705"/>
      <c r="B828" s="706"/>
      <c r="C828" s="707"/>
      <c r="D828" s="708"/>
      <c r="E828" s="707"/>
      <c r="F828" s="708"/>
      <c r="G828" s="709"/>
      <c r="H828" s="710"/>
      <c r="I828" s="706"/>
      <c r="J828" s="711"/>
      <c r="K828" s="711"/>
      <c r="L828" s="711"/>
      <c r="M828" s="706"/>
      <c r="N828" s="711"/>
      <c r="O828" s="655"/>
      <c r="P828" s="655"/>
      <c r="Q828" s="711"/>
      <c r="R828" s="655"/>
      <c r="S828" s="674"/>
      <c r="T828" s="674"/>
      <c r="U828" s="674"/>
      <c r="V828" s="674"/>
    </row>
    <row r="829">
      <c r="A829" s="712"/>
      <c r="B829" s="713"/>
      <c r="C829" s="714"/>
      <c r="D829" s="715"/>
      <c r="E829" s="714"/>
      <c r="F829" s="715"/>
      <c r="G829" s="716"/>
      <c r="H829" s="717"/>
      <c r="I829" s="713"/>
      <c r="J829" s="718"/>
      <c r="K829" s="718"/>
      <c r="L829" s="718"/>
      <c r="M829" s="713"/>
      <c r="N829" s="718"/>
      <c r="O829" s="662"/>
      <c r="P829" s="662"/>
      <c r="Q829" s="718"/>
      <c r="R829" s="662"/>
      <c r="S829" s="672"/>
      <c r="T829" s="672"/>
      <c r="U829" s="672"/>
      <c r="V829" s="672"/>
    </row>
    <row r="830">
      <c r="A830" s="705"/>
      <c r="B830" s="706"/>
      <c r="C830" s="707"/>
      <c r="D830" s="708"/>
      <c r="E830" s="707"/>
      <c r="F830" s="708"/>
      <c r="G830" s="709"/>
      <c r="H830" s="710"/>
      <c r="I830" s="706"/>
      <c r="J830" s="711"/>
      <c r="K830" s="711"/>
      <c r="L830" s="711"/>
      <c r="M830" s="706"/>
      <c r="N830" s="711"/>
      <c r="O830" s="655"/>
      <c r="P830" s="655"/>
      <c r="Q830" s="711"/>
      <c r="R830" s="655"/>
      <c r="S830" s="674"/>
      <c r="T830" s="674"/>
      <c r="U830" s="674"/>
      <c r="V830" s="674"/>
    </row>
    <row r="831">
      <c r="A831" s="712"/>
      <c r="B831" s="713"/>
      <c r="C831" s="714"/>
      <c r="D831" s="715"/>
      <c r="E831" s="714"/>
      <c r="F831" s="715"/>
      <c r="G831" s="716"/>
      <c r="H831" s="717"/>
      <c r="I831" s="713"/>
      <c r="J831" s="718"/>
      <c r="K831" s="718"/>
      <c r="L831" s="718"/>
      <c r="M831" s="713"/>
      <c r="N831" s="718"/>
      <c r="O831" s="662"/>
      <c r="P831" s="662"/>
      <c r="Q831" s="718"/>
      <c r="R831" s="662"/>
      <c r="S831" s="672"/>
      <c r="T831" s="672"/>
      <c r="U831" s="672"/>
      <c r="V831" s="672"/>
    </row>
    <row r="832">
      <c r="A832" s="705"/>
      <c r="B832" s="706"/>
      <c r="C832" s="707"/>
      <c r="D832" s="708"/>
      <c r="E832" s="707"/>
      <c r="F832" s="708"/>
      <c r="G832" s="709"/>
      <c r="H832" s="710"/>
      <c r="I832" s="706"/>
      <c r="J832" s="711"/>
      <c r="K832" s="711"/>
      <c r="L832" s="711"/>
      <c r="M832" s="706"/>
      <c r="N832" s="711"/>
      <c r="O832" s="655"/>
      <c r="P832" s="655"/>
      <c r="Q832" s="711"/>
      <c r="R832" s="655"/>
      <c r="S832" s="674"/>
      <c r="T832" s="674"/>
      <c r="U832" s="674"/>
      <c r="V832" s="674"/>
    </row>
    <row r="833">
      <c r="A833" s="712"/>
      <c r="B833" s="713"/>
      <c r="C833" s="714"/>
      <c r="D833" s="715"/>
      <c r="E833" s="714"/>
      <c r="F833" s="715"/>
      <c r="G833" s="716"/>
      <c r="H833" s="717"/>
      <c r="I833" s="713"/>
      <c r="J833" s="718"/>
      <c r="K833" s="718"/>
      <c r="L833" s="718"/>
      <c r="M833" s="713"/>
      <c r="N833" s="718"/>
      <c r="O833" s="662"/>
      <c r="P833" s="662"/>
      <c r="Q833" s="718"/>
      <c r="R833" s="662"/>
      <c r="S833" s="672"/>
      <c r="T833" s="672"/>
      <c r="U833" s="672"/>
      <c r="V833" s="672"/>
    </row>
    <row r="834">
      <c r="A834" s="705"/>
      <c r="B834" s="706"/>
      <c r="C834" s="707"/>
      <c r="D834" s="708"/>
      <c r="E834" s="707"/>
      <c r="F834" s="708"/>
      <c r="G834" s="709"/>
      <c r="H834" s="710"/>
      <c r="I834" s="706"/>
      <c r="J834" s="711"/>
      <c r="K834" s="711"/>
      <c r="L834" s="711"/>
      <c r="M834" s="706"/>
      <c r="N834" s="711"/>
      <c r="O834" s="655"/>
      <c r="P834" s="655"/>
      <c r="Q834" s="711"/>
      <c r="R834" s="655"/>
      <c r="S834" s="674"/>
      <c r="T834" s="674"/>
      <c r="U834" s="674"/>
      <c r="V834" s="674"/>
    </row>
    <row r="835">
      <c r="A835" s="712"/>
      <c r="B835" s="713"/>
      <c r="C835" s="714"/>
      <c r="D835" s="715"/>
      <c r="E835" s="714"/>
      <c r="F835" s="715"/>
      <c r="G835" s="716"/>
      <c r="H835" s="717"/>
      <c r="I835" s="713"/>
      <c r="J835" s="718"/>
      <c r="K835" s="718"/>
      <c r="L835" s="718"/>
      <c r="M835" s="713"/>
      <c r="N835" s="718"/>
      <c r="O835" s="662"/>
      <c r="P835" s="662"/>
      <c r="Q835" s="718"/>
      <c r="R835" s="662"/>
      <c r="S835" s="672"/>
      <c r="T835" s="672"/>
      <c r="U835" s="672"/>
      <c r="V835" s="672"/>
    </row>
    <row r="836">
      <c r="A836" s="705"/>
      <c r="B836" s="706"/>
      <c r="C836" s="707"/>
      <c r="D836" s="708"/>
      <c r="E836" s="707"/>
      <c r="F836" s="708"/>
      <c r="G836" s="709"/>
      <c r="H836" s="710"/>
      <c r="I836" s="706"/>
      <c r="J836" s="711"/>
      <c r="K836" s="711"/>
      <c r="L836" s="711"/>
      <c r="M836" s="706"/>
      <c r="N836" s="711"/>
      <c r="O836" s="655"/>
      <c r="P836" s="655"/>
      <c r="Q836" s="711"/>
      <c r="R836" s="655"/>
      <c r="S836" s="674"/>
      <c r="T836" s="674"/>
      <c r="U836" s="674"/>
      <c r="V836" s="674"/>
    </row>
    <row r="837">
      <c r="A837" s="712"/>
      <c r="B837" s="713"/>
      <c r="C837" s="714"/>
      <c r="D837" s="715"/>
      <c r="E837" s="714"/>
      <c r="F837" s="715"/>
      <c r="G837" s="716"/>
      <c r="H837" s="717"/>
      <c r="I837" s="713"/>
      <c r="J837" s="718"/>
      <c r="K837" s="718"/>
      <c r="L837" s="718"/>
      <c r="M837" s="713"/>
      <c r="N837" s="718"/>
      <c r="O837" s="662"/>
      <c r="P837" s="662"/>
      <c r="Q837" s="718"/>
      <c r="R837" s="662"/>
      <c r="S837" s="672"/>
      <c r="T837" s="672"/>
      <c r="U837" s="672"/>
      <c r="V837" s="672"/>
    </row>
    <row r="838">
      <c r="A838" s="705"/>
      <c r="B838" s="706"/>
      <c r="C838" s="707"/>
      <c r="D838" s="708"/>
      <c r="E838" s="707"/>
      <c r="F838" s="708"/>
      <c r="G838" s="709"/>
      <c r="H838" s="710"/>
      <c r="I838" s="706"/>
      <c r="J838" s="711"/>
      <c r="K838" s="711"/>
      <c r="L838" s="711"/>
      <c r="M838" s="706"/>
      <c r="N838" s="711"/>
      <c r="O838" s="655"/>
      <c r="P838" s="655"/>
      <c r="Q838" s="711"/>
      <c r="R838" s="655"/>
      <c r="S838" s="674"/>
      <c r="T838" s="674"/>
      <c r="U838" s="674"/>
      <c r="V838" s="674"/>
    </row>
    <row r="839">
      <c r="A839" s="712"/>
      <c r="B839" s="713"/>
      <c r="C839" s="714"/>
      <c r="D839" s="715"/>
      <c r="E839" s="714"/>
      <c r="F839" s="715"/>
      <c r="G839" s="716"/>
      <c r="H839" s="717"/>
      <c r="I839" s="713"/>
      <c r="J839" s="718"/>
      <c r="K839" s="718"/>
      <c r="L839" s="718"/>
      <c r="M839" s="713"/>
      <c r="N839" s="718"/>
      <c r="O839" s="662"/>
      <c r="P839" s="662"/>
      <c r="Q839" s="718"/>
      <c r="R839" s="662"/>
      <c r="S839" s="672"/>
      <c r="T839" s="672"/>
      <c r="U839" s="672"/>
      <c r="V839" s="672"/>
    </row>
    <row r="840">
      <c r="A840" s="705"/>
      <c r="B840" s="706"/>
      <c r="C840" s="707"/>
      <c r="D840" s="708"/>
      <c r="E840" s="707"/>
      <c r="F840" s="708"/>
      <c r="G840" s="709"/>
      <c r="H840" s="710"/>
      <c r="I840" s="706"/>
      <c r="J840" s="711"/>
      <c r="K840" s="711"/>
      <c r="L840" s="711"/>
      <c r="M840" s="706"/>
      <c r="N840" s="711"/>
      <c r="O840" s="655"/>
      <c r="P840" s="655"/>
      <c r="Q840" s="711"/>
      <c r="R840" s="655"/>
      <c r="S840" s="674"/>
      <c r="T840" s="674"/>
      <c r="U840" s="674"/>
      <c r="V840" s="674"/>
    </row>
    <row r="841">
      <c r="A841" s="712"/>
      <c r="B841" s="713"/>
      <c r="C841" s="714"/>
      <c r="D841" s="715"/>
      <c r="E841" s="714"/>
      <c r="F841" s="715"/>
      <c r="G841" s="716"/>
      <c r="H841" s="717"/>
      <c r="I841" s="713"/>
      <c r="J841" s="718"/>
      <c r="K841" s="718"/>
      <c r="L841" s="718"/>
      <c r="M841" s="713"/>
      <c r="N841" s="718"/>
      <c r="O841" s="662"/>
      <c r="P841" s="662"/>
      <c r="Q841" s="718"/>
      <c r="R841" s="662"/>
      <c r="S841" s="672"/>
      <c r="T841" s="672"/>
      <c r="U841" s="672"/>
      <c r="V841" s="672"/>
    </row>
    <row r="842">
      <c r="A842" s="705"/>
      <c r="B842" s="706"/>
      <c r="C842" s="707"/>
      <c r="D842" s="708"/>
      <c r="E842" s="707"/>
      <c r="F842" s="708"/>
      <c r="G842" s="709"/>
      <c r="H842" s="710"/>
      <c r="I842" s="706"/>
      <c r="J842" s="711"/>
      <c r="K842" s="711"/>
      <c r="L842" s="711"/>
      <c r="M842" s="706"/>
      <c r="N842" s="711"/>
      <c r="O842" s="655"/>
      <c r="P842" s="655"/>
      <c r="Q842" s="711"/>
      <c r="R842" s="655"/>
      <c r="S842" s="674"/>
      <c r="T842" s="674"/>
      <c r="U842" s="674"/>
      <c r="V842" s="674"/>
    </row>
    <row r="843">
      <c r="A843" s="712"/>
      <c r="B843" s="713"/>
      <c r="C843" s="714"/>
      <c r="D843" s="715"/>
      <c r="E843" s="714"/>
      <c r="F843" s="715"/>
      <c r="G843" s="716"/>
      <c r="H843" s="717"/>
      <c r="I843" s="713"/>
      <c r="J843" s="718"/>
      <c r="K843" s="718"/>
      <c r="L843" s="718"/>
      <c r="M843" s="713"/>
      <c r="N843" s="718"/>
      <c r="O843" s="662"/>
      <c r="P843" s="662"/>
      <c r="Q843" s="718"/>
      <c r="R843" s="662"/>
      <c r="S843" s="672"/>
      <c r="T843" s="672"/>
      <c r="U843" s="672"/>
      <c r="V843" s="672"/>
    </row>
    <row r="844">
      <c r="A844" s="705"/>
      <c r="B844" s="706"/>
      <c r="C844" s="707"/>
      <c r="D844" s="708"/>
      <c r="E844" s="707"/>
      <c r="F844" s="708"/>
      <c r="G844" s="709"/>
      <c r="H844" s="710"/>
      <c r="I844" s="706"/>
      <c r="J844" s="711"/>
      <c r="K844" s="711"/>
      <c r="L844" s="711"/>
      <c r="M844" s="706"/>
      <c r="N844" s="711"/>
      <c r="O844" s="655"/>
      <c r="P844" s="655"/>
      <c r="Q844" s="711"/>
      <c r="R844" s="655"/>
      <c r="S844" s="674"/>
      <c r="T844" s="674"/>
      <c r="U844" s="674"/>
      <c r="V844" s="674"/>
    </row>
    <row r="845">
      <c r="A845" s="712"/>
      <c r="B845" s="713"/>
      <c r="C845" s="714"/>
      <c r="D845" s="715"/>
      <c r="E845" s="714"/>
      <c r="F845" s="715"/>
      <c r="G845" s="716"/>
      <c r="H845" s="717"/>
      <c r="I845" s="713"/>
      <c r="J845" s="718"/>
      <c r="K845" s="718"/>
      <c r="L845" s="718"/>
      <c r="M845" s="713"/>
      <c r="N845" s="718"/>
      <c r="O845" s="662"/>
      <c r="P845" s="662"/>
      <c r="Q845" s="718"/>
      <c r="R845" s="662"/>
      <c r="S845" s="672"/>
      <c r="T845" s="672"/>
      <c r="U845" s="672"/>
      <c r="V845" s="672"/>
    </row>
    <row r="846">
      <c r="A846" s="705"/>
      <c r="B846" s="706"/>
      <c r="C846" s="707"/>
      <c r="D846" s="708"/>
      <c r="E846" s="707"/>
      <c r="F846" s="708"/>
      <c r="G846" s="709"/>
      <c r="H846" s="710"/>
      <c r="I846" s="706"/>
      <c r="J846" s="711"/>
      <c r="K846" s="711"/>
      <c r="L846" s="711"/>
      <c r="M846" s="706"/>
      <c r="N846" s="711"/>
      <c r="O846" s="655"/>
      <c r="P846" s="655"/>
      <c r="Q846" s="711"/>
      <c r="R846" s="655"/>
      <c r="S846" s="674"/>
      <c r="T846" s="674"/>
      <c r="U846" s="674"/>
      <c r="V846" s="674"/>
    </row>
    <row r="847">
      <c r="A847" s="712"/>
      <c r="B847" s="713"/>
      <c r="C847" s="714"/>
      <c r="D847" s="715"/>
      <c r="E847" s="714"/>
      <c r="F847" s="715"/>
      <c r="G847" s="716"/>
      <c r="H847" s="717"/>
      <c r="I847" s="713"/>
      <c r="J847" s="718"/>
      <c r="K847" s="718"/>
      <c r="L847" s="718"/>
      <c r="M847" s="713"/>
      <c r="N847" s="718"/>
      <c r="O847" s="662"/>
      <c r="P847" s="662"/>
      <c r="Q847" s="718"/>
      <c r="R847" s="662"/>
      <c r="S847" s="672"/>
      <c r="T847" s="672"/>
      <c r="U847" s="672"/>
      <c r="V847" s="672"/>
    </row>
    <row r="848">
      <c r="A848" s="705"/>
      <c r="B848" s="706"/>
      <c r="C848" s="707"/>
      <c r="D848" s="708"/>
      <c r="E848" s="707"/>
      <c r="F848" s="708"/>
      <c r="G848" s="709"/>
      <c r="H848" s="710"/>
      <c r="I848" s="706"/>
      <c r="J848" s="711"/>
      <c r="K848" s="711"/>
      <c r="L848" s="711"/>
      <c r="M848" s="706"/>
      <c r="N848" s="711"/>
      <c r="O848" s="655"/>
      <c r="P848" s="655"/>
      <c r="Q848" s="711"/>
      <c r="R848" s="655"/>
      <c r="S848" s="674"/>
      <c r="T848" s="674"/>
      <c r="U848" s="674"/>
      <c r="V848" s="674"/>
    </row>
    <row r="849">
      <c r="A849" s="712"/>
      <c r="B849" s="713"/>
      <c r="C849" s="714"/>
      <c r="D849" s="715"/>
      <c r="E849" s="714"/>
      <c r="F849" s="715"/>
      <c r="G849" s="716"/>
      <c r="H849" s="717"/>
      <c r="I849" s="713"/>
      <c r="J849" s="718"/>
      <c r="K849" s="718"/>
      <c r="L849" s="718"/>
      <c r="M849" s="713"/>
      <c r="N849" s="718"/>
      <c r="O849" s="662"/>
      <c r="P849" s="662"/>
      <c r="Q849" s="718"/>
      <c r="R849" s="662"/>
      <c r="S849" s="672"/>
      <c r="T849" s="672"/>
      <c r="U849" s="672"/>
      <c r="V849" s="672"/>
    </row>
    <row r="850">
      <c r="A850" s="705"/>
      <c r="B850" s="706"/>
      <c r="C850" s="707"/>
      <c r="D850" s="708"/>
      <c r="E850" s="707"/>
      <c r="F850" s="708"/>
      <c r="G850" s="709"/>
      <c r="H850" s="710"/>
      <c r="I850" s="706"/>
      <c r="J850" s="711"/>
      <c r="K850" s="711"/>
      <c r="L850" s="711"/>
      <c r="M850" s="706"/>
      <c r="N850" s="711"/>
      <c r="O850" s="655"/>
      <c r="P850" s="655"/>
      <c r="Q850" s="711"/>
      <c r="R850" s="655"/>
      <c r="S850" s="674"/>
      <c r="T850" s="674"/>
      <c r="U850" s="674"/>
      <c r="V850" s="674"/>
    </row>
    <row r="851">
      <c r="A851" s="712"/>
      <c r="B851" s="713"/>
      <c r="C851" s="714"/>
      <c r="D851" s="715"/>
      <c r="E851" s="714"/>
      <c r="F851" s="715"/>
      <c r="G851" s="716"/>
      <c r="H851" s="717"/>
      <c r="I851" s="713"/>
      <c r="J851" s="718"/>
      <c r="K851" s="718"/>
      <c r="L851" s="718"/>
      <c r="M851" s="713"/>
      <c r="N851" s="718"/>
      <c r="O851" s="662"/>
      <c r="P851" s="662"/>
      <c r="Q851" s="718"/>
      <c r="R851" s="662"/>
      <c r="S851" s="672"/>
      <c r="T851" s="672"/>
      <c r="U851" s="672"/>
      <c r="V851" s="672"/>
    </row>
    <row r="852">
      <c r="A852" s="705"/>
      <c r="B852" s="706"/>
      <c r="C852" s="707"/>
      <c r="D852" s="708"/>
      <c r="E852" s="707"/>
      <c r="F852" s="708"/>
      <c r="G852" s="709"/>
      <c r="H852" s="710"/>
      <c r="I852" s="706"/>
      <c r="J852" s="711"/>
      <c r="K852" s="711"/>
      <c r="L852" s="711"/>
      <c r="M852" s="706"/>
      <c r="N852" s="711"/>
      <c r="O852" s="655"/>
      <c r="P852" s="655"/>
      <c r="Q852" s="711"/>
      <c r="R852" s="655"/>
      <c r="S852" s="674"/>
      <c r="T852" s="674"/>
      <c r="U852" s="674"/>
      <c r="V852" s="674"/>
    </row>
    <row r="853">
      <c r="A853" s="712"/>
      <c r="B853" s="713"/>
      <c r="C853" s="714"/>
      <c r="D853" s="715"/>
      <c r="E853" s="714"/>
      <c r="F853" s="715"/>
      <c r="G853" s="716"/>
      <c r="H853" s="717"/>
      <c r="I853" s="713"/>
      <c r="J853" s="718"/>
      <c r="K853" s="718"/>
      <c r="L853" s="718"/>
      <c r="M853" s="713"/>
      <c r="N853" s="718"/>
      <c r="O853" s="662"/>
      <c r="P853" s="662"/>
      <c r="Q853" s="718"/>
      <c r="R853" s="662"/>
      <c r="S853" s="672"/>
      <c r="T853" s="672"/>
      <c r="U853" s="672"/>
      <c r="V853" s="672"/>
    </row>
    <row r="854">
      <c r="A854" s="705"/>
      <c r="B854" s="706"/>
      <c r="C854" s="707"/>
      <c r="D854" s="708"/>
      <c r="E854" s="707"/>
      <c r="F854" s="708"/>
      <c r="G854" s="709"/>
      <c r="H854" s="710"/>
      <c r="I854" s="706"/>
      <c r="J854" s="711"/>
      <c r="K854" s="711"/>
      <c r="L854" s="711"/>
      <c r="M854" s="706"/>
      <c r="N854" s="711"/>
      <c r="O854" s="655"/>
      <c r="P854" s="655"/>
      <c r="Q854" s="711"/>
      <c r="R854" s="655"/>
      <c r="S854" s="674"/>
      <c r="T854" s="674"/>
      <c r="U854" s="674"/>
      <c r="V854" s="674"/>
    </row>
    <row r="855">
      <c r="A855" s="712"/>
      <c r="B855" s="713"/>
      <c r="C855" s="714"/>
      <c r="D855" s="715"/>
      <c r="E855" s="714"/>
      <c r="F855" s="715"/>
      <c r="G855" s="716"/>
      <c r="H855" s="717"/>
      <c r="I855" s="713"/>
      <c r="J855" s="718"/>
      <c r="K855" s="718"/>
      <c r="L855" s="718"/>
      <c r="M855" s="713"/>
      <c r="N855" s="718"/>
      <c r="O855" s="662"/>
      <c r="P855" s="662"/>
      <c r="Q855" s="718"/>
      <c r="R855" s="662"/>
      <c r="S855" s="672"/>
      <c r="T855" s="672"/>
      <c r="U855" s="672"/>
      <c r="V855" s="672"/>
    </row>
    <row r="856">
      <c r="A856" s="705"/>
      <c r="B856" s="706"/>
      <c r="C856" s="707"/>
      <c r="D856" s="708"/>
      <c r="E856" s="707"/>
      <c r="F856" s="708"/>
      <c r="G856" s="709"/>
      <c r="H856" s="710"/>
      <c r="I856" s="706"/>
      <c r="J856" s="711"/>
      <c r="K856" s="711"/>
      <c r="L856" s="711"/>
      <c r="M856" s="706"/>
      <c r="N856" s="711"/>
      <c r="O856" s="655"/>
      <c r="P856" s="655"/>
      <c r="Q856" s="711"/>
      <c r="R856" s="655"/>
      <c r="S856" s="674"/>
      <c r="T856" s="674"/>
      <c r="U856" s="674"/>
      <c r="V856" s="674"/>
    </row>
    <row r="857">
      <c r="A857" s="712"/>
      <c r="B857" s="713"/>
      <c r="C857" s="714"/>
      <c r="D857" s="715"/>
      <c r="E857" s="714"/>
      <c r="F857" s="715"/>
      <c r="G857" s="716"/>
      <c r="H857" s="717"/>
      <c r="I857" s="713"/>
      <c r="J857" s="718"/>
      <c r="K857" s="718"/>
      <c r="L857" s="718"/>
      <c r="M857" s="713"/>
      <c r="N857" s="718"/>
      <c r="O857" s="662"/>
      <c r="P857" s="662"/>
      <c r="Q857" s="718"/>
      <c r="R857" s="662"/>
      <c r="S857" s="672"/>
      <c r="T857" s="672"/>
      <c r="U857" s="672"/>
      <c r="V857" s="672"/>
    </row>
    <row r="858">
      <c r="A858" s="705"/>
      <c r="B858" s="706"/>
      <c r="C858" s="707"/>
      <c r="D858" s="708"/>
      <c r="E858" s="707"/>
      <c r="F858" s="708"/>
      <c r="G858" s="709"/>
      <c r="H858" s="710"/>
      <c r="I858" s="706"/>
      <c r="J858" s="711"/>
      <c r="K858" s="711"/>
      <c r="L858" s="711"/>
      <c r="M858" s="706"/>
      <c r="N858" s="711"/>
      <c r="O858" s="655"/>
      <c r="P858" s="655"/>
      <c r="Q858" s="711"/>
      <c r="R858" s="655"/>
      <c r="S858" s="674"/>
      <c r="T858" s="674"/>
      <c r="U858" s="674"/>
      <c r="V858" s="674"/>
    </row>
    <row r="859">
      <c r="A859" s="712"/>
      <c r="B859" s="713"/>
      <c r="C859" s="714"/>
      <c r="D859" s="715"/>
      <c r="E859" s="714"/>
      <c r="F859" s="715"/>
      <c r="G859" s="716"/>
      <c r="H859" s="717"/>
      <c r="I859" s="713"/>
      <c r="J859" s="718"/>
      <c r="K859" s="718"/>
      <c r="L859" s="718"/>
      <c r="M859" s="713"/>
      <c r="N859" s="718"/>
      <c r="O859" s="662"/>
      <c r="P859" s="662"/>
      <c r="Q859" s="718"/>
      <c r="R859" s="662"/>
      <c r="S859" s="672"/>
      <c r="T859" s="672"/>
      <c r="U859" s="672"/>
      <c r="V859" s="672"/>
    </row>
    <row r="860">
      <c r="A860" s="705"/>
      <c r="B860" s="706"/>
      <c r="C860" s="707"/>
      <c r="D860" s="708"/>
      <c r="E860" s="707"/>
      <c r="F860" s="708"/>
      <c r="G860" s="709"/>
      <c r="H860" s="710"/>
      <c r="I860" s="706"/>
      <c r="J860" s="711"/>
      <c r="K860" s="711"/>
      <c r="L860" s="711"/>
      <c r="M860" s="706"/>
      <c r="N860" s="711"/>
      <c r="O860" s="655"/>
      <c r="P860" s="655"/>
      <c r="Q860" s="711"/>
      <c r="R860" s="655"/>
      <c r="S860" s="674"/>
      <c r="T860" s="674"/>
      <c r="U860" s="674"/>
      <c r="V860" s="674"/>
    </row>
    <row r="861">
      <c r="A861" s="712"/>
      <c r="B861" s="713"/>
      <c r="C861" s="714"/>
      <c r="D861" s="715"/>
      <c r="E861" s="714"/>
      <c r="F861" s="715"/>
      <c r="G861" s="716"/>
      <c r="H861" s="717"/>
      <c r="I861" s="713"/>
      <c r="J861" s="718"/>
      <c r="K861" s="718"/>
      <c r="L861" s="718"/>
      <c r="M861" s="713"/>
      <c r="N861" s="718"/>
      <c r="O861" s="662"/>
      <c r="P861" s="662"/>
      <c r="Q861" s="718"/>
      <c r="R861" s="662"/>
      <c r="S861" s="672"/>
      <c r="T861" s="672"/>
      <c r="U861" s="672"/>
      <c r="V861" s="672"/>
    </row>
    <row r="862">
      <c r="A862" s="705"/>
      <c r="B862" s="706"/>
      <c r="C862" s="707"/>
      <c r="D862" s="708"/>
      <c r="E862" s="707"/>
      <c r="F862" s="708"/>
      <c r="G862" s="709"/>
      <c r="H862" s="710"/>
      <c r="I862" s="706"/>
      <c r="J862" s="711"/>
      <c r="K862" s="711"/>
      <c r="L862" s="711"/>
      <c r="M862" s="706"/>
      <c r="N862" s="711"/>
      <c r="O862" s="655"/>
      <c r="P862" s="655"/>
      <c r="Q862" s="711"/>
      <c r="R862" s="655"/>
      <c r="S862" s="674"/>
      <c r="T862" s="674"/>
      <c r="U862" s="674"/>
      <c r="V862" s="674"/>
    </row>
    <row r="863">
      <c r="A863" s="712"/>
      <c r="B863" s="713"/>
      <c r="C863" s="714"/>
      <c r="D863" s="715"/>
      <c r="E863" s="714"/>
      <c r="F863" s="715"/>
      <c r="G863" s="716"/>
      <c r="H863" s="717"/>
      <c r="I863" s="713"/>
      <c r="J863" s="718"/>
      <c r="K863" s="718"/>
      <c r="L863" s="718"/>
      <c r="M863" s="713"/>
      <c r="N863" s="718"/>
      <c r="O863" s="662"/>
      <c r="P863" s="662"/>
      <c r="Q863" s="718"/>
      <c r="R863" s="662"/>
      <c r="S863" s="672"/>
      <c r="T863" s="672"/>
      <c r="U863" s="672"/>
      <c r="V863" s="672"/>
    </row>
    <row r="864">
      <c r="A864" s="705"/>
      <c r="B864" s="706"/>
      <c r="C864" s="707"/>
      <c r="D864" s="708"/>
      <c r="E864" s="707"/>
      <c r="F864" s="708"/>
      <c r="G864" s="709"/>
      <c r="H864" s="710"/>
      <c r="I864" s="706"/>
      <c r="J864" s="711"/>
      <c r="K864" s="711"/>
      <c r="L864" s="711"/>
      <c r="M864" s="706"/>
      <c r="N864" s="711"/>
      <c r="O864" s="655"/>
      <c r="P864" s="655"/>
      <c r="Q864" s="711"/>
      <c r="R864" s="655"/>
      <c r="S864" s="674"/>
      <c r="T864" s="674"/>
      <c r="U864" s="674"/>
      <c r="V864" s="674"/>
    </row>
    <row r="865">
      <c r="A865" s="712"/>
      <c r="B865" s="713"/>
      <c r="C865" s="714"/>
      <c r="D865" s="715"/>
      <c r="E865" s="714"/>
      <c r="F865" s="715"/>
      <c r="G865" s="716"/>
      <c r="H865" s="717"/>
      <c r="I865" s="713"/>
      <c r="J865" s="718"/>
      <c r="K865" s="718"/>
      <c r="L865" s="718"/>
      <c r="M865" s="713"/>
      <c r="N865" s="718"/>
      <c r="O865" s="662"/>
      <c r="P865" s="662"/>
      <c r="Q865" s="718"/>
      <c r="R865" s="662"/>
      <c r="S865" s="672"/>
      <c r="T865" s="672"/>
      <c r="U865" s="672"/>
      <c r="V865" s="672"/>
    </row>
    <row r="866">
      <c r="A866" s="705"/>
      <c r="B866" s="706"/>
      <c r="C866" s="707"/>
      <c r="D866" s="708"/>
      <c r="E866" s="707"/>
      <c r="F866" s="708"/>
      <c r="G866" s="709"/>
      <c r="H866" s="710"/>
      <c r="I866" s="706"/>
      <c r="J866" s="711"/>
      <c r="K866" s="711"/>
      <c r="L866" s="711"/>
      <c r="M866" s="706"/>
      <c r="N866" s="711"/>
      <c r="O866" s="655"/>
      <c r="P866" s="655"/>
      <c r="Q866" s="711"/>
      <c r="R866" s="655"/>
      <c r="S866" s="674"/>
      <c r="T866" s="674"/>
      <c r="U866" s="674"/>
      <c r="V866" s="674"/>
    </row>
    <row r="867">
      <c r="A867" s="712"/>
      <c r="B867" s="713"/>
      <c r="C867" s="714"/>
      <c r="D867" s="715"/>
      <c r="E867" s="714"/>
      <c r="F867" s="715"/>
      <c r="G867" s="716"/>
      <c r="H867" s="717"/>
      <c r="I867" s="713"/>
      <c r="J867" s="718"/>
      <c r="K867" s="718"/>
      <c r="L867" s="718"/>
      <c r="M867" s="713"/>
      <c r="N867" s="718"/>
      <c r="O867" s="662"/>
      <c r="P867" s="662"/>
      <c r="Q867" s="718"/>
      <c r="R867" s="662"/>
      <c r="S867" s="672"/>
      <c r="T867" s="672"/>
      <c r="U867" s="672"/>
      <c r="V867" s="672"/>
    </row>
    <row r="868">
      <c r="A868" s="705"/>
      <c r="B868" s="706"/>
      <c r="C868" s="707"/>
      <c r="D868" s="708"/>
      <c r="E868" s="707"/>
      <c r="F868" s="708"/>
      <c r="G868" s="709"/>
      <c r="H868" s="710"/>
      <c r="I868" s="706"/>
      <c r="J868" s="711"/>
      <c r="K868" s="711"/>
      <c r="L868" s="711"/>
      <c r="M868" s="706"/>
      <c r="N868" s="711"/>
      <c r="O868" s="655"/>
      <c r="P868" s="655"/>
      <c r="Q868" s="711"/>
      <c r="R868" s="655"/>
      <c r="S868" s="674"/>
      <c r="T868" s="674"/>
      <c r="U868" s="674"/>
      <c r="V868" s="674"/>
    </row>
    <row r="869">
      <c r="A869" s="712"/>
      <c r="B869" s="713"/>
      <c r="C869" s="714"/>
      <c r="D869" s="715"/>
      <c r="E869" s="714"/>
      <c r="F869" s="715"/>
      <c r="G869" s="716"/>
      <c r="H869" s="717"/>
      <c r="I869" s="713"/>
      <c r="J869" s="718"/>
      <c r="K869" s="718"/>
      <c r="L869" s="718"/>
      <c r="M869" s="713"/>
      <c r="N869" s="718"/>
      <c r="O869" s="662"/>
      <c r="P869" s="662"/>
      <c r="Q869" s="718"/>
      <c r="R869" s="662"/>
      <c r="S869" s="672"/>
      <c r="T869" s="672"/>
      <c r="U869" s="672"/>
      <c r="V869" s="672"/>
    </row>
    <row r="870">
      <c r="A870" s="705"/>
      <c r="B870" s="706"/>
      <c r="C870" s="707"/>
      <c r="D870" s="708"/>
      <c r="E870" s="707"/>
      <c r="F870" s="708"/>
      <c r="G870" s="709"/>
      <c r="H870" s="710"/>
      <c r="I870" s="706"/>
      <c r="J870" s="711"/>
      <c r="K870" s="711"/>
      <c r="L870" s="711"/>
      <c r="M870" s="706"/>
      <c r="N870" s="711"/>
      <c r="O870" s="655"/>
      <c r="P870" s="655"/>
      <c r="Q870" s="711"/>
      <c r="R870" s="655"/>
      <c r="S870" s="674"/>
      <c r="T870" s="674"/>
      <c r="U870" s="674"/>
      <c r="V870" s="674"/>
    </row>
    <row r="871">
      <c r="A871" s="712"/>
      <c r="B871" s="713"/>
      <c r="C871" s="714"/>
      <c r="D871" s="715"/>
      <c r="E871" s="714"/>
      <c r="F871" s="715"/>
      <c r="G871" s="716"/>
      <c r="H871" s="717"/>
      <c r="I871" s="713"/>
      <c r="J871" s="718"/>
      <c r="K871" s="718"/>
      <c r="L871" s="718"/>
      <c r="M871" s="713"/>
      <c r="N871" s="718"/>
      <c r="O871" s="662"/>
      <c r="P871" s="662"/>
      <c r="Q871" s="718"/>
      <c r="R871" s="662"/>
      <c r="S871" s="672"/>
      <c r="T871" s="672"/>
      <c r="U871" s="672"/>
      <c r="V871" s="672"/>
    </row>
    <row r="872">
      <c r="A872" s="705"/>
      <c r="B872" s="706"/>
      <c r="C872" s="707"/>
      <c r="D872" s="708"/>
      <c r="E872" s="707"/>
      <c r="F872" s="708"/>
      <c r="G872" s="709"/>
      <c r="H872" s="710"/>
      <c r="I872" s="706"/>
      <c r="J872" s="711"/>
      <c r="K872" s="711"/>
      <c r="L872" s="711"/>
      <c r="M872" s="706"/>
      <c r="N872" s="711"/>
      <c r="O872" s="655"/>
      <c r="P872" s="655"/>
      <c r="Q872" s="711"/>
      <c r="R872" s="655"/>
      <c r="S872" s="674"/>
      <c r="T872" s="674"/>
      <c r="U872" s="674"/>
      <c r="V872" s="674"/>
    </row>
    <row r="873">
      <c r="A873" s="712"/>
      <c r="B873" s="713"/>
      <c r="C873" s="714"/>
      <c r="D873" s="715"/>
      <c r="E873" s="714"/>
      <c r="F873" s="715"/>
      <c r="G873" s="716"/>
      <c r="H873" s="717"/>
      <c r="I873" s="713"/>
      <c r="J873" s="718"/>
      <c r="K873" s="718"/>
      <c r="L873" s="718"/>
      <c r="M873" s="713"/>
      <c r="N873" s="718"/>
      <c r="O873" s="662"/>
      <c r="P873" s="662"/>
      <c r="Q873" s="718"/>
      <c r="R873" s="662"/>
      <c r="S873" s="672"/>
      <c r="T873" s="672"/>
      <c r="U873" s="672"/>
      <c r="V873" s="672"/>
    </row>
    <row r="874">
      <c r="A874" s="705"/>
      <c r="B874" s="706"/>
      <c r="C874" s="707"/>
      <c r="D874" s="708"/>
      <c r="E874" s="707"/>
      <c r="F874" s="708"/>
      <c r="G874" s="709"/>
      <c r="H874" s="710"/>
      <c r="I874" s="706"/>
      <c r="J874" s="711"/>
      <c r="K874" s="711"/>
      <c r="L874" s="711"/>
      <c r="M874" s="706"/>
      <c r="N874" s="711"/>
      <c r="O874" s="655"/>
      <c r="P874" s="655"/>
      <c r="Q874" s="711"/>
      <c r="R874" s="655"/>
      <c r="S874" s="674"/>
      <c r="T874" s="674"/>
      <c r="U874" s="674"/>
      <c r="V874" s="674"/>
    </row>
    <row r="875">
      <c r="A875" s="712"/>
      <c r="B875" s="713"/>
      <c r="C875" s="714"/>
      <c r="D875" s="715"/>
      <c r="E875" s="714"/>
      <c r="F875" s="715"/>
      <c r="G875" s="716"/>
      <c r="H875" s="717"/>
      <c r="I875" s="713"/>
      <c r="J875" s="718"/>
      <c r="K875" s="718"/>
      <c r="L875" s="718"/>
      <c r="M875" s="713"/>
      <c r="N875" s="718"/>
      <c r="O875" s="662"/>
      <c r="P875" s="662"/>
      <c r="Q875" s="718"/>
      <c r="R875" s="662"/>
      <c r="S875" s="672"/>
      <c r="T875" s="672"/>
      <c r="U875" s="672"/>
      <c r="V875" s="672"/>
    </row>
    <row r="876">
      <c r="A876" s="705"/>
      <c r="B876" s="706"/>
      <c r="C876" s="707"/>
      <c r="D876" s="708"/>
      <c r="E876" s="707"/>
      <c r="F876" s="708"/>
      <c r="G876" s="709"/>
      <c r="H876" s="710"/>
      <c r="I876" s="706"/>
      <c r="J876" s="711"/>
      <c r="K876" s="711"/>
      <c r="L876" s="711"/>
      <c r="M876" s="706"/>
      <c r="N876" s="711"/>
      <c r="O876" s="655"/>
      <c r="P876" s="655"/>
      <c r="Q876" s="711"/>
      <c r="R876" s="655"/>
      <c r="S876" s="674"/>
      <c r="T876" s="674"/>
      <c r="U876" s="674"/>
      <c r="V876" s="674"/>
    </row>
    <row r="877">
      <c r="A877" s="712"/>
      <c r="B877" s="713"/>
      <c r="C877" s="714"/>
      <c r="D877" s="715"/>
      <c r="E877" s="714"/>
      <c r="F877" s="715"/>
      <c r="G877" s="716"/>
      <c r="H877" s="717"/>
      <c r="I877" s="713"/>
      <c r="J877" s="718"/>
      <c r="K877" s="718"/>
      <c r="L877" s="718"/>
      <c r="M877" s="713"/>
      <c r="N877" s="718"/>
      <c r="O877" s="662"/>
      <c r="P877" s="662"/>
      <c r="Q877" s="718"/>
      <c r="R877" s="662"/>
      <c r="S877" s="672"/>
      <c r="T877" s="672"/>
      <c r="U877" s="672"/>
      <c r="V877" s="672"/>
    </row>
    <row r="878">
      <c r="A878" s="705"/>
      <c r="B878" s="706"/>
      <c r="C878" s="707"/>
      <c r="D878" s="708"/>
      <c r="E878" s="707"/>
      <c r="F878" s="708"/>
      <c r="G878" s="709"/>
      <c r="H878" s="710"/>
      <c r="I878" s="706"/>
      <c r="J878" s="711"/>
      <c r="K878" s="711"/>
      <c r="L878" s="711"/>
      <c r="M878" s="706"/>
      <c r="N878" s="711"/>
      <c r="O878" s="655"/>
      <c r="P878" s="655"/>
      <c r="Q878" s="711"/>
      <c r="R878" s="655"/>
      <c r="S878" s="674"/>
      <c r="T878" s="674"/>
      <c r="U878" s="674"/>
      <c r="V878" s="674"/>
    </row>
    <row r="879">
      <c r="A879" s="712"/>
      <c r="B879" s="713"/>
      <c r="C879" s="714"/>
      <c r="D879" s="715"/>
      <c r="E879" s="714"/>
      <c r="F879" s="715"/>
      <c r="G879" s="716"/>
      <c r="H879" s="717"/>
      <c r="I879" s="713"/>
      <c r="J879" s="718"/>
      <c r="K879" s="718"/>
      <c r="L879" s="718"/>
      <c r="M879" s="713"/>
      <c r="N879" s="718"/>
      <c r="O879" s="662"/>
      <c r="P879" s="662"/>
      <c r="Q879" s="718"/>
      <c r="R879" s="662"/>
      <c r="S879" s="672"/>
      <c r="T879" s="672"/>
      <c r="U879" s="672"/>
      <c r="V879" s="672"/>
    </row>
    <row r="880">
      <c r="A880" s="705"/>
      <c r="B880" s="706"/>
      <c r="C880" s="707"/>
      <c r="D880" s="708"/>
      <c r="E880" s="707"/>
      <c r="F880" s="708"/>
      <c r="G880" s="709"/>
      <c r="H880" s="710"/>
      <c r="I880" s="706"/>
      <c r="J880" s="711"/>
      <c r="K880" s="711"/>
      <c r="L880" s="711"/>
      <c r="M880" s="706"/>
      <c r="N880" s="711"/>
      <c r="O880" s="655"/>
      <c r="P880" s="655"/>
      <c r="Q880" s="711"/>
      <c r="R880" s="655"/>
      <c r="S880" s="674"/>
      <c r="T880" s="674"/>
      <c r="U880" s="674"/>
      <c r="V880" s="674"/>
    </row>
    <row r="881">
      <c r="A881" s="712"/>
      <c r="B881" s="713"/>
      <c r="C881" s="714"/>
      <c r="D881" s="715"/>
      <c r="E881" s="714"/>
      <c r="F881" s="715"/>
      <c r="G881" s="716"/>
      <c r="H881" s="717"/>
      <c r="I881" s="713"/>
      <c r="J881" s="718"/>
      <c r="K881" s="718"/>
      <c r="L881" s="718"/>
      <c r="M881" s="713"/>
      <c r="N881" s="718"/>
      <c r="O881" s="662"/>
      <c r="P881" s="662"/>
      <c r="Q881" s="718"/>
      <c r="R881" s="662"/>
      <c r="S881" s="672"/>
      <c r="T881" s="672"/>
      <c r="U881" s="672"/>
      <c r="V881" s="672"/>
    </row>
    <row r="882">
      <c r="A882" s="705"/>
      <c r="B882" s="706"/>
      <c r="C882" s="707"/>
      <c r="D882" s="708"/>
      <c r="E882" s="707"/>
      <c r="F882" s="708"/>
      <c r="G882" s="709"/>
      <c r="H882" s="710"/>
      <c r="I882" s="706"/>
      <c r="J882" s="711"/>
      <c r="K882" s="711"/>
      <c r="L882" s="711"/>
      <c r="M882" s="706"/>
      <c r="N882" s="711"/>
      <c r="O882" s="655"/>
      <c r="P882" s="655"/>
      <c r="Q882" s="711"/>
      <c r="R882" s="655"/>
      <c r="S882" s="674"/>
      <c r="T882" s="674"/>
      <c r="U882" s="674"/>
      <c r="V882" s="674"/>
    </row>
    <row r="883">
      <c r="A883" s="712"/>
      <c r="B883" s="713"/>
      <c r="C883" s="714"/>
      <c r="D883" s="715"/>
      <c r="E883" s="714"/>
      <c r="F883" s="715"/>
      <c r="G883" s="716"/>
      <c r="H883" s="717"/>
      <c r="I883" s="713"/>
      <c r="J883" s="718"/>
      <c r="K883" s="718"/>
      <c r="L883" s="718"/>
      <c r="M883" s="713"/>
      <c r="N883" s="718"/>
      <c r="O883" s="662"/>
      <c r="P883" s="662"/>
      <c r="Q883" s="718"/>
      <c r="R883" s="662"/>
      <c r="S883" s="672"/>
      <c r="T883" s="672"/>
      <c r="U883" s="672"/>
      <c r="V883" s="672"/>
    </row>
    <row r="884">
      <c r="A884" s="705"/>
      <c r="B884" s="706"/>
      <c r="C884" s="707"/>
      <c r="D884" s="708"/>
      <c r="E884" s="707"/>
      <c r="F884" s="708"/>
      <c r="G884" s="709"/>
      <c r="H884" s="710"/>
      <c r="I884" s="706"/>
      <c r="J884" s="711"/>
      <c r="K884" s="711"/>
      <c r="L884" s="711"/>
      <c r="M884" s="706"/>
      <c r="N884" s="711"/>
      <c r="O884" s="655"/>
      <c r="P884" s="655"/>
      <c r="Q884" s="711"/>
      <c r="R884" s="655"/>
      <c r="S884" s="674"/>
      <c r="T884" s="674"/>
      <c r="U884" s="674"/>
      <c r="V884" s="674"/>
    </row>
    <row r="885">
      <c r="A885" s="712"/>
      <c r="B885" s="713"/>
      <c r="C885" s="714"/>
      <c r="D885" s="715"/>
      <c r="E885" s="714"/>
      <c r="F885" s="715"/>
      <c r="G885" s="716"/>
      <c r="H885" s="717"/>
      <c r="I885" s="713"/>
      <c r="J885" s="718"/>
      <c r="K885" s="718"/>
      <c r="L885" s="718"/>
      <c r="M885" s="713"/>
      <c r="N885" s="718"/>
      <c r="O885" s="662"/>
      <c r="P885" s="662"/>
      <c r="Q885" s="718"/>
      <c r="R885" s="662"/>
      <c r="S885" s="672"/>
      <c r="T885" s="672"/>
      <c r="U885" s="672"/>
      <c r="V885" s="672"/>
    </row>
    <row r="886">
      <c r="A886" s="705"/>
      <c r="B886" s="706"/>
      <c r="C886" s="707"/>
      <c r="D886" s="708"/>
      <c r="E886" s="707"/>
      <c r="F886" s="708"/>
      <c r="G886" s="709"/>
      <c r="H886" s="710"/>
      <c r="I886" s="706"/>
      <c r="J886" s="711"/>
      <c r="K886" s="711"/>
      <c r="L886" s="711"/>
      <c r="M886" s="706"/>
      <c r="N886" s="711"/>
      <c r="O886" s="655"/>
      <c r="P886" s="655"/>
      <c r="Q886" s="711"/>
      <c r="R886" s="655"/>
      <c r="S886" s="674"/>
      <c r="T886" s="674"/>
      <c r="U886" s="674"/>
      <c r="V886" s="674"/>
    </row>
    <row r="887">
      <c r="A887" s="712"/>
      <c r="B887" s="713"/>
      <c r="C887" s="714"/>
      <c r="D887" s="715"/>
      <c r="E887" s="714"/>
      <c r="F887" s="715"/>
      <c r="G887" s="716"/>
      <c r="H887" s="717"/>
      <c r="I887" s="713"/>
      <c r="J887" s="718"/>
      <c r="K887" s="718"/>
      <c r="L887" s="718"/>
      <c r="M887" s="713"/>
      <c r="N887" s="718"/>
      <c r="O887" s="662"/>
      <c r="P887" s="662"/>
      <c r="Q887" s="718"/>
      <c r="R887" s="662"/>
      <c r="S887" s="672"/>
      <c r="T887" s="672"/>
      <c r="U887" s="672"/>
      <c r="V887" s="672"/>
    </row>
    <row r="888">
      <c r="A888" s="705"/>
      <c r="B888" s="706"/>
      <c r="C888" s="707"/>
      <c r="D888" s="708"/>
      <c r="E888" s="707"/>
      <c r="F888" s="708"/>
      <c r="G888" s="709"/>
      <c r="H888" s="710"/>
      <c r="I888" s="706"/>
      <c r="J888" s="711"/>
      <c r="K888" s="711"/>
      <c r="L888" s="711"/>
      <c r="M888" s="706"/>
      <c r="N888" s="711"/>
      <c r="O888" s="655"/>
      <c r="P888" s="655"/>
      <c r="Q888" s="711"/>
      <c r="R888" s="655"/>
      <c r="S888" s="674"/>
      <c r="T888" s="674"/>
      <c r="U888" s="674"/>
      <c r="V888" s="674"/>
    </row>
    <row r="889">
      <c r="A889" s="712"/>
      <c r="B889" s="713"/>
      <c r="C889" s="714"/>
      <c r="D889" s="715"/>
      <c r="E889" s="714"/>
      <c r="F889" s="715"/>
      <c r="G889" s="716"/>
      <c r="H889" s="717"/>
      <c r="I889" s="713"/>
      <c r="J889" s="718"/>
      <c r="K889" s="718"/>
      <c r="L889" s="718"/>
      <c r="M889" s="713"/>
      <c r="N889" s="718"/>
      <c r="O889" s="662"/>
      <c r="P889" s="662"/>
      <c r="Q889" s="718"/>
      <c r="R889" s="662"/>
      <c r="S889" s="672"/>
      <c r="T889" s="672"/>
      <c r="U889" s="672"/>
      <c r="V889" s="672"/>
    </row>
    <row r="890">
      <c r="A890" s="705"/>
      <c r="B890" s="706"/>
      <c r="C890" s="707"/>
      <c r="D890" s="708"/>
      <c r="E890" s="707"/>
      <c r="F890" s="708"/>
      <c r="G890" s="709"/>
      <c r="H890" s="710"/>
      <c r="I890" s="706"/>
      <c r="J890" s="711"/>
      <c r="K890" s="711"/>
      <c r="L890" s="711"/>
      <c r="M890" s="706"/>
      <c r="N890" s="711"/>
      <c r="O890" s="655"/>
      <c r="P890" s="655"/>
      <c r="Q890" s="711"/>
      <c r="R890" s="655"/>
      <c r="S890" s="674"/>
      <c r="T890" s="674"/>
      <c r="U890" s="674"/>
      <c r="V890" s="674"/>
    </row>
    <row r="891">
      <c r="A891" s="712"/>
      <c r="B891" s="713"/>
      <c r="C891" s="714"/>
      <c r="D891" s="715"/>
      <c r="E891" s="714"/>
      <c r="F891" s="715"/>
      <c r="G891" s="716"/>
      <c r="H891" s="717"/>
      <c r="I891" s="713"/>
      <c r="J891" s="718"/>
      <c r="K891" s="718"/>
      <c r="L891" s="718"/>
      <c r="M891" s="713"/>
      <c r="N891" s="718"/>
      <c r="O891" s="662"/>
      <c r="P891" s="662"/>
      <c r="Q891" s="718"/>
      <c r="R891" s="662"/>
      <c r="S891" s="672"/>
      <c r="T891" s="672"/>
      <c r="U891" s="672"/>
      <c r="V891" s="672"/>
    </row>
    <row r="892">
      <c r="A892" s="705"/>
      <c r="B892" s="706"/>
      <c r="C892" s="707"/>
      <c r="D892" s="708"/>
      <c r="E892" s="707"/>
      <c r="F892" s="708"/>
      <c r="G892" s="709"/>
      <c r="H892" s="710"/>
      <c r="I892" s="706"/>
      <c r="J892" s="711"/>
      <c r="K892" s="711"/>
      <c r="L892" s="711"/>
      <c r="M892" s="706"/>
      <c r="N892" s="711"/>
      <c r="O892" s="655"/>
      <c r="P892" s="655"/>
      <c r="Q892" s="711"/>
      <c r="R892" s="655"/>
      <c r="S892" s="674"/>
      <c r="T892" s="674"/>
      <c r="U892" s="674"/>
      <c r="V892" s="674"/>
    </row>
    <row r="893">
      <c r="A893" s="712"/>
      <c r="B893" s="713"/>
      <c r="C893" s="714"/>
      <c r="D893" s="715"/>
      <c r="E893" s="714"/>
      <c r="F893" s="715"/>
      <c r="G893" s="716"/>
      <c r="H893" s="717"/>
      <c r="I893" s="713"/>
      <c r="J893" s="718"/>
      <c r="K893" s="718"/>
      <c r="L893" s="718"/>
      <c r="M893" s="713"/>
      <c r="N893" s="718"/>
      <c r="O893" s="662"/>
      <c r="P893" s="662"/>
      <c r="Q893" s="718"/>
      <c r="R893" s="662"/>
      <c r="S893" s="672"/>
      <c r="T893" s="672"/>
      <c r="U893" s="672"/>
      <c r="V893" s="672"/>
    </row>
    <row r="894">
      <c r="A894" s="705"/>
      <c r="B894" s="706"/>
      <c r="C894" s="707"/>
      <c r="D894" s="708"/>
      <c r="E894" s="707"/>
      <c r="F894" s="708"/>
      <c r="G894" s="709"/>
      <c r="H894" s="710"/>
      <c r="I894" s="706"/>
      <c r="J894" s="711"/>
      <c r="K894" s="711"/>
      <c r="L894" s="711"/>
      <c r="M894" s="706"/>
      <c r="N894" s="711"/>
      <c r="O894" s="655"/>
      <c r="P894" s="655"/>
      <c r="Q894" s="711"/>
      <c r="R894" s="655"/>
      <c r="S894" s="674"/>
      <c r="T894" s="674"/>
      <c r="U894" s="674"/>
      <c r="V894" s="674"/>
    </row>
    <row r="895">
      <c r="A895" s="712"/>
      <c r="B895" s="713"/>
      <c r="C895" s="714"/>
      <c r="D895" s="715"/>
      <c r="E895" s="714"/>
      <c r="F895" s="715"/>
      <c r="G895" s="716"/>
      <c r="H895" s="717"/>
      <c r="I895" s="713"/>
      <c r="J895" s="718"/>
      <c r="K895" s="718"/>
      <c r="L895" s="718"/>
      <c r="M895" s="713"/>
      <c r="N895" s="718"/>
      <c r="O895" s="662"/>
      <c r="P895" s="662"/>
      <c r="Q895" s="718"/>
      <c r="R895" s="662"/>
      <c r="S895" s="672"/>
      <c r="T895" s="672"/>
      <c r="U895" s="672"/>
      <c r="V895" s="672"/>
    </row>
    <row r="896">
      <c r="A896" s="705"/>
      <c r="B896" s="706"/>
      <c r="C896" s="707"/>
      <c r="D896" s="708"/>
      <c r="E896" s="707"/>
      <c r="F896" s="708"/>
      <c r="G896" s="709"/>
      <c r="H896" s="710"/>
      <c r="I896" s="706"/>
      <c r="J896" s="711"/>
      <c r="K896" s="711"/>
      <c r="L896" s="711"/>
      <c r="M896" s="706"/>
      <c r="N896" s="711"/>
      <c r="O896" s="655"/>
      <c r="P896" s="655"/>
      <c r="Q896" s="711"/>
      <c r="R896" s="655"/>
      <c r="S896" s="674"/>
      <c r="T896" s="674"/>
      <c r="U896" s="674"/>
      <c r="V896" s="674"/>
    </row>
    <row r="897">
      <c r="A897" s="712"/>
      <c r="B897" s="713"/>
      <c r="C897" s="714"/>
      <c r="D897" s="715"/>
      <c r="E897" s="714"/>
      <c r="F897" s="715"/>
      <c r="G897" s="716"/>
      <c r="H897" s="717"/>
      <c r="I897" s="713"/>
      <c r="J897" s="718"/>
      <c r="K897" s="718"/>
      <c r="L897" s="718"/>
      <c r="M897" s="713"/>
      <c r="N897" s="718"/>
      <c r="O897" s="662"/>
      <c r="P897" s="662"/>
      <c r="Q897" s="718"/>
      <c r="R897" s="662"/>
      <c r="S897" s="672"/>
      <c r="T897" s="672"/>
      <c r="U897" s="672"/>
      <c r="V897" s="672"/>
    </row>
    <row r="898">
      <c r="A898" s="705"/>
      <c r="B898" s="706"/>
      <c r="C898" s="707"/>
      <c r="D898" s="708"/>
      <c r="E898" s="707"/>
      <c r="F898" s="708"/>
      <c r="G898" s="709"/>
      <c r="H898" s="710"/>
      <c r="I898" s="706"/>
      <c r="J898" s="711"/>
      <c r="K898" s="711"/>
      <c r="L898" s="711"/>
      <c r="M898" s="706"/>
      <c r="N898" s="711"/>
      <c r="O898" s="655"/>
      <c r="P898" s="655"/>
      <c r="Q898" s="711"/>
      <c r="R898" s="655"/>
      <c r="S898" s="674"/>
      <c r="T898" s="674"/>
      <c r="U898" s="674"/>
      <c r="V898" s="674"/>
    </row>
    <row r="899">
      <c r="A899" s="712"/>
      <c r="B899" s="713"/>
      <c r="C899" s="714"/>
      <c r="D899" s="715"/>
      <c r="E899" s="714"/>
      <c r="F899" s="715"/>
      <c r="G899" s="716"/>
      <c r="H899" s="717"/>
      <c r="I899" s="713"/>
      <c r="J899" s="718"/>
      <c r="K899" s="718"/>
      <c r="L899" s="718"/>
      <c r="M899" s="713"/>
      <c r="N899" s="718"/>
      <c r="O899" s="662"/>
      <c r="P899" s="662"/>
      <c r="Q899" s="718"/>
      <c r="R899" s="662"/>
      <c r="S899" s="672"/>
      <c r="T899" s="672"/>
      <c r="U899" s="672"/>
      <c r="V899" s="672"/>
    </row>
    <row r="900">
      <c r="A900" s="705"/>
      <c r="B900" s="706"/>
      <c r="C900" s="707"/>
      <c r="D900" s="708"/>
      <c r="E900" s="707"/>
      <c r="F900" s="708"/>
      <c r="G900" s="709"/>
      <c r="H900" s="710"/>
      <c r="I900" s="706"/>
      <c r="J900" s="711"/>
      <c r="K900" s="711"/>
      <c r="L900" s="711"/>
      <c r="M900" s="706"/>
      <c r="N900" s="711"/>
      <c r="O900" s="655"/>
      <c r="P900" s="655"/>
      <c r="Q900" s="711"/>
      <c r="R900" s="655"/>
      <c r="S900" s="674"/>
      <c r="T900" s="674"/>
      <c r="U900" s="674"/>
      <c r="V900" s="674"/>
    </row>
    <row r="901">
      <c r="A901" s="712"/>
      <c r="B901" s="713"/>
      <c r="C901" s="714"/>
      <c r="D901" s="715"/>
      <c r="E901" s="714"/>
      <c r="F901" s="715"/>
      <c r="G901" s="716"/>
      <c r="H901" s="717"/>
      <c r="I901" s="713"/>
      <c r="J901" s="718"/>
      <c r="K901" s="718"/>
      <c r="L901" s="718"/>
      <c r="M901" s="713"/>
      <c r="N901" s="718"/>
      <c r="O901" s="662"/>
      <c r="P901" s="662"/>
      <c r="Q901" s="718"/>
      <c r="R901" s="662"/>
      <c r="S901" s="672"/>
      <c r="T901" s="672"/>
      <c r="U901" s="672"/>
      <c r="V901" s="672"/>
    </row>
    <row r="902">
      <c r="A902" s="705"/>
      <c r="B902" s="706"/>
      <c r="C902" s="707"/>
      <c r="D902" s="708"/>
      <c r="E902" s="707"/>
      <c r="F902" s="708"/>
      <c r="G902" s="709"/>
      <c r="H902" s="710"/>
      <c r="I902" s="706"/>
      <c r="J902" s="711"/>
      <c r="K902" s="711"/>
      <c r="L902" s="711"/>
      <c r="M902" s="706"/>
      <c r="N902" s="711"/>
      <c r="O902" s="655"/>
      <c r="P902" s="655"/>
      <c r="Q902" s="711"/>
      <c r="R902" s="655"/>
      <c r="S902" s="674"/>
      <c r="T902" s="674"/>
      <c r="U902" s="674"/>
      <c r="V902" s="674"/>
    </row>
    <row r="903">
      <c r="A903" s="712"/>
      <c r="B903" s="713"/>
      <c r="C903" s="714"/>
      <c r="D903" s="715"/>
      <c r="E903" s="714"/>
      <c r="F903" s="715"/>
      <c r="G903" s="716"/>
      <c r="H903" s="717"/>
      <c r="I903" s="713"/>
      <c r="J903" s="718"/>
      <c r="K903" s="718"/>
      <c r="L903" s="718"/>
      <c r="M903" s="713"/>
      <c r="N903" s="718"/>
      <c r="O903" s="662"/>
      <c r="P903" s="662"/>
      <c r="Q903" s="718"/>
      <c r="R903" s="662"/>
      <c r="S903" s="672"/>
      <c r="T903" s="672"/>
      <c r="U903" s="672"/>
      <c r="V903" s="672"/>
    </row>
    <row r="904">
      <c r="A904" s="705"/>
      <c r="B904" s="706"/>
      <c r="C904" s="707"/>
      <c r="D904" s="708"/>
      <c r="E904" s="707"/>
      <c r="F904" s="708"/>
      <c r="G904" s="709"/>
      <c r="H904" s="710"/>
      <c r="I904" s="706"/>
      <c r="J904" s="711"/>
      <c r="K904" s="711"/>
      <c r="L904" s="711"/>
      <c r="M904" s="706"/>
      <c r="N904" s="711"/>
      <c r="O904" s="655"/>
      <c r="P904" s="655"/>
      <c r="Q904" s="711"/>
      <c r="R904" s="655"/>
      <c r="S904" s="674"/>
      <c r="T904" s="674"/>
      <c r="U904" s="674"/>
      <c r="V904" s="674"/>
    </row>
    <row r="905">
      <c r="A905" s="712"/>
      <c r="B905" s="713"/>
      <c r="C905" s="714"/>
      <c r="D905" s="715"/>
      <c r="E905" s="714"/>
      <c r="F905" s="715"/>
      <c r="G905" s="716"/>
      <c r="H905" s="717"/>
      <c r="I905" s="713"/>
      <c r="J905" s="718"/>
      <c r="K905" s="718"/>
      <c r="L905" s="718"/>
      <c r="M905" s="713"/>
      <c r="N905" s="718"/>
      <c r="O905" s="662"/>
      <c r="P905" s="662"/>
      <c r="Q905" s="718"/>
      <c r="R905" s="662"/>
      <c r="S905" s="672"/>
      <c r="T905" s="672"/>
      <c r="U905" s="672"/>
      <c r="V905" s="672"/>
    </row>
    <row r="906">
      <c r="A906" s="705"/>
      <c r="B906" s="706"/>
      <c r="C906" s="707"/>
      <c r="D906" s="708"/>
      <c r="E906" s="707"/>
      <c r="F906" s="708"/>
      <c r="G906" s="709"/>
      <c r="H906" s="710"/>
      <c r="I906" s="706"/>
      <c r="J906" s="711"/>
      <c r="K906" s="711"/>
      <c r="L906" s="711"/>
      <c r="M906" s="706"/>
      <c r="N906" s="711"/>
      <c r="O906" s="655"/>
      <c r="P906" s="655"/>
      <c r="Q906" s="711"/>
      <c r="R906" s="655"/>
      <c r="S906" s="674"/>
      <c r="T906" s="674"/>
      <c r="U906" s="674"/>
      <c r="V906" s="674"/>
    </row>
    <row r="907">
      <c r="A907" s="712"/>
      <c r="B907" s="713"/>
      <c r="C907" s="714"/>
      <c r="D907" s="715"/>
      <c r="E907" s="714"/>
      <c r="F907" s="715"/>
      <c r="G907" s="716"/>
      <c r="H907" s="717"/>
      <c r="I907" s="713"/>
      <c r="J907" s="718"/>
      <c r="K907" s="718"/>
      <c r="L907" s="718"/>
      <c r="M907" s="713"/>
      <c r="N907" s="718"/>
      <c r="O907" s="662"/>
      <c r="P907" s="662"/>
      <c r="Q907" s="718"/>
      <c r="R907" s="662"/>
      <c r="S907" s="672"/>
      <c r="T907" s="672"/>
      <c r="U907" s="672"/>
      <c r="V907" s="672"/>
    </row>
    <row r="908">
      <c r="A908" s="705"/>
      <c r="B908" s="706"/>
      <c r="C908" s="707"/>
      <c r="D908" s="708"/>
      <c r="E908" s="707"/>
      <c r="F908" s="708"/>
      <c r="G908" s="709"/>
      <c r="H908" s="710"/>
      <c r="I908" s="706"/>
      <c r="J908" s="711"/>
      <c r="K908" s="711"/>
      <c r="L908" s="711"/>
      <c r="M908" s="706"/>
      <c r="N908" s="711"/>
      <c r="O908" s="655"/>
      <c r="P908" s="655"/>
      <c r="Q908" s="711"/>
      <c r="R908" s="655"/>
      <c r="S908" s="674"/>
      <c r="T908" s="674"/>
      <c r="U908" s="674"/>
      <c r="V908" s="674"/>
    </row>
    <row r="909">
      <c r="A909" s="712"/>
      <c r="B909" s="713"/>
      <c r="C909" s="714"/>
      <c r="D909" s="715"/>
      <c r="E909" s="714"/>
      <c r="F909" s="715"/>
      <c r="G909" s="716"/>
      <c r="H909" s="717"/>
      <c r="I909" s="713"/>
      <c r="J909" s="718"/>
      <c r="K909" s="718"/>
      <c r="L909" s="718"/>
      <c r="M909" s="713"/>
      <c r="N909" s="718"/>
      <c r="O909" s="662"/>
      <c r="P909" s="662"/>
      <c r="Q909" s="718"/>
      <c r="R909" s="662"/>
      <c r="S909" s="672"/>
      <c r="T909" s="672"/>
      <c r="U909" s="672"/>
      <c r="V909" s="672"/>
    </row>
    <row r="910">
      <c r="A910" s="705"/>
      <c r="B910" s="706"/>
      <c r="C910" s="707"/>
      <c r="D910" s="708"/>
      <c r="E910" s="707"/>
      <c r="F910" s="708"/>
      <c r="G910" s="709"/>
      <c r="H910" s="710"/>
      <c r="I910" s="706"/>
      <c r="J910" s="711"/>
      <c r="K910" s="711"/>
      <c r="L910" s="711"/>
      <c r="M910" s="706"/>
      <c r="N910" s="711"/>
      <c r="O910" s="655"/>
      <c r="P910" s="655"/>
      <c r="Q910" s="711"/>
      <c r="R910" s="655"/>
      <c r="S910" s="674"/>
      <c r="T910" s="674"/>
      <c r="U910" s="674"/>
      <c r="V910" s="674"/>
    </row>
    <row r="911">
      <c r="A911" s="712"/>
      <c r="B911" s="713"/>
      <c r="C911" s="714"/>
      <c r="D911" s="715"/>
      <c r="E911" s="714"/>
      <c r="F911" s="715"/>
      <c r="G911" s="716"/>
      <c r="H911" s="717"/>
      <c r="I911" s="713"/>
      <c r="J911" s="718"/>
      <c r="K911" s="718"/>
      <c r="L911" s="718"/>
      <c r="M911" s="713"/>
      <c r="N911" s="718"/>
      <c r="O911" s="662"/>
      <c r="P911" s="662"/>
      <c r="Q911" s="718"/>
      <c r="R911" s="662"/>
      <c r="S911" s="672"/>
      <c r="T911" s="672"/>
      <c r="U911" s="672"/>
      <c r="V911" s="672"/>
    </row>
    <row r="912">
      <c r="A912" s="705"/>
      <c r="B912" s="706"/>
      <c r="C912" s="707"/>
      <c r="D912" s="708"/>
      <c r="E912" s="707"/>
      <c r="F912" s="708"/>
      <c r="G912" s="709"/>
      <c r="H912" s="710"/>
      <c r="I912" s="706"/>
      <c r="J912" s="711"/>
      <c r="K912" s="711"/>
      <c r="L912" s="711"/>
      <c r="M912" s="706"/>
      <c r="N912" s="711"/>
      <c r="O912" s="655"/>
      <c r="P912" s="655"/>
      <c r="Q912" s="711"/>
      <c r="R912" s="655"/>
      <c r="S912" s="674"/>
      <c r="T912" s="674"/>
      <c r="U912" s="674"/>
      <c r="V912" s="674"/>
    </row>
    <row r="913">
      <c r="A913" s="712"/>
      <c r="B913" s="713"/>
      <c r="C913" s="714"/>
      <c r="D913" s="715"/>
      <c r="E913" s="714"/>
      <c r="F913" s="715"/>
      <c r="G913" s="716"/>
      <c r="H913" s="717"/>
      <c r="I913" s="713"/>
      <c r="J913" s="718"/>
      <c r="K913" s="718"/>
      <c r="L913" s="718"/>
      <c r="M913" s="713"/>
      <c r="N913" s="718"/>
      <c r="O913" s="662"/>
      <c r="P913" s="662"/>
      <c r="Q913" s="718"/>
      <c r="R913" s="662"/>
      <c r="S913" s="672"/>
      <c r="T913" s="672"/>
      <c r="U913" s="672"/>
      <c r="V913" s="672"/>
    </row>
    <row r="914">
      <c r="A914" s="705"/>
      <c r="B914" s="706"/>
      <c r="C914" s="707"/>
      <c r="D914" s="708"/>
      <c r="E914" s="707"/>
      <c r="F914" s="708"/>
      <c r="G914" s="709"/>
      <c r="H914" s="710"/>
      <c r="I914" s="706"/>
      <c r="J914" s="711"/>
      <c r="K914" s="711"/>
      <c r="L914" s="711"/>
      <c r="M914" s="706"/>
      <c r="N914" s="711"/>
      <c r="O914" s="655"/>
      <c r="P914" s="655"/>
      <c r="Q914" s="711"/>
      <c r="R914" s="655"/>
      <c r="S914" s="674"/>
      <c r="T914" s="674"/>
      <c r="U914" s="674"/>
      <c r="V914" s="674"/>
    </row>
    <row r="915">
      <c r="A915" s="712"/>
      <c r="B915" s="713"/>
      <c r="C915" s="714"/>
      <c r="D915" s="715"/>
      <c r="E915" s="714"/>
      <c r="F915" s="715"/>
      <c r="G915" s="716"/>
      <c r="H915" s="717"/>
      <c r="I915" s="713"/>
      <c r="J915" s="718"/>
      <c r="K915" s="718"/>
      <c r="L915" s="718"/>
      <c r="M915" s="713"/>
      <c r="N915" s="718"/>
      <c r="O915" s="662"/>
      <c r="P915" s="662"/>
      <c r="Q915" s="718"/>
      <c r="R915" s="662"/>
      <c r="S915" s="672"/>
      <c r="T915" s="672"/>
      <c r="U915" s="672"/>
      <c r="V915" s="672"/>
    </row>
    <row r="916">
      <c r="A916" s="705"/>
      <c r="B916" s="706"/>
      <c r="C916" s="707"/>
      <c r="D916" s="708"/>
      <c r="E916" s="707"/>
      <c r="F916" s="708"/>
      <c r="G916" s="709"/>
      <c r="H916" s="710"/>
      <c r="I916" s="706"/>
      <c r="J916" s="711"/>
      <c r="K916" s="711"/>
      <c r="L916" s="711"/>
      <c r="M916" s="706"/>
      <c r="N916" s="711"/>
      <c r="O916" s="655"/>
      <c r="P916" s="655"/>
      <c r="Q916" s="711"/>
      <c r="R916" s="655"/>
      <c r="S916" s="674"/>
      <c r="T916" s="674"/>
      <c r="U916" s="674"/>
      <c r="V916" s="674"/>
    </row>
    <row r="917">
      <c r="A917" s="712"/>
      <c r="B917" s="713"/>
      <c r="C917" s="714"/>
      <c r="D917" s="715"/>
      <c r="E917" s="714"/>
      <c r="F917" s="715"/>
      <c r="G917" s="716"/>
      <c r="H917" s="717"/>
      <c r="I917" s="713"/>
      <c r="J917" s="718"/>
      <c r="K917" s="718"/>
      <c r="L917" s="718"/>
      <c r="M917" s="713"/>
      <c r="N917" s="718"/>
      <c r="O917" s="662"/>
      <c r="P917" s="662"/>
      <c r="Q917" s="718"/>
      <c r="R917" s="662"/>
      <c r="S917" s="672"/>
      <c r="T917" s="672"/>
      <c r="U917" s="672"/>
      <c r="V917" s="672"/>
    </row>
    <row r="918">
      <c r="A918" s="705"/>
      <c r="B918" s="706"/>
      <c r="C918" s="707"/>
      <c r="D918" s="708"/>
      <c r="E918" s="707"/>
      <c r="F918" s="708"/>
      <c r="G918" s="709"/>
      <c r="H918" s="710"/>
      <c r="I918" s="706"/>
      <c r="J918" s="711"/>
      <c r="K918" s="711"/>
      <c r="L918" s="711"/>
      <c r="M918" s="706"/>
      <c r="N918" s="711"/>
      <c r="O918" s="655"/>
      <c r="P918" s="655"/>
      <c r="Q918" s="711"/>
      <c r="R918" s="655"/>
      <c r="S918" s="674"/>
      <c r="T918" s="674"/>
      <c r="U918" s="674"/>
      <c r="V918" s="674"/>
    </row>
    <row r="919">
      <c r="A919" s="712"/>
      <c r="B919" s="713"/>
      <c r="C919" s="714"/>
      <c r="D919" s="715"/>
      <c r="E919" s="714"/>
      <c r="F919" s="715"/>
      <c r="G919" s="716"/>
      <c r="H919" s="717"/>
      <c r="I919" s="713"/>
      <c r="J919" s="718"/>
      <c r="K919" s="718"/>
      <c r="L919" s="718"/>
      <c r="M919" s="713"/>
      <c r="N919" s="718"/>
      <c r="O919" s="662"/>
      <c r="P919" s="662"/>
      <c r="Q919" s="718"/>
      <c r="R919" s="662"/>
      <c r="S919" s="672"/>
      <c r="T919" s="672"/>
      <c r="U919" s="672"/>
      <c r="V919" s="672"/>
    </row>
    <row r="920">
      <c r="A920" s="705"/>
      <c r="B920" s="706"/>
      <c r="C920" s="707"/>
      <c r="D920" s="708"/>
      <c r="E920" s="707"/>
      <c r="F920" s="708"/>
      <c r="G920" s="709"/>
      <c r="H920" s="710"/>
      <c r="I920" s="706"/>
      <c r="J920" s="711"/>
      <c r="K920" s="711"/>
      <c r="L920" s="711"/>
      <c r="M920" s="706"/>
      <c r="N920" s="711"/>
      <c r="O920" s="655"/>
      <c r="P920" s="655"/>
      <c r="Q920" s="711"/>
      <c r="R920" s="655"/>
      <c r="S920" s="674"/>
      <c r="T920" s="674"/>
      <c r="U920" s="674"/>
      <c r="V920" s="674"/>
    </row>
    <row r="921">
      <c r="A921" s="712"/>
      <c r="B921" s="713"/>
      <c r="C921" s="714"/>
      <c r="D921" s="715"/>
      <c r="E921" s="714"/>
      <c r="F921" s="715"/>
      <c r="G921" s="716"/>
      <c r="H921" s="717"/>
      <c r="I921" s="713"/>
      <c r="J921" s="718"/>
      <c r="K921" s="718"/>
      <c r="L921" s="718"/>
      <c r="M921" s="713"/>
      <c r="N921" s="718"/>
      <c r="O921" s="662"/>
      <c r="P921" s="662"/>
      <c r="Q921" s="718"/>
      <c r="R921" s="662"/>
      <c r="S921" s="672"/>
      <c r="T921" s="672"/>
      <c r="U921" s="672"/>
      <c r="V921" s="672"/>
    </row>
    <row r="922">
      <c r="A922" s="705"/>
      <c r="B922" s="706"/>
      <c r="C922" s="707"/>
      <c r="D922" s="708"/>
      <c r="E922" s="707"/>
      <c r="F922" s="708"/>
      <c r="G922" s="709"/>
      <c r="H922" s="710"/>
      <c r="I922" s="706"/>
      <c r="J922" s="711"/>
      <c r="K922" s="711"/>
      <c r="L922" s="711"/>
      <c r="M922" s="706"/>
      <c r="N922" s="711"/>
      <c r="O922" s="655"/>
      <c r="P922" s="655"/>
      <c r="Q922" s="711"/>
      <c r="R922" s="655"/>
      <c r="S922" s="674"/>
      <c r="T922" s="674"/>
      <c r="U922" s="674"/>
      <c r="V922" s="674"/>
    </row>
    <row r="923">
      <c r="A923" s="712"/>
      <c r="B923" s="713"/>
      <c r="C923" s="714"/>
      <c r="D923" s="715"/>
      <c r="E923" s="714"/>
      <c r="F923" s="715"/>
      <c r="G923" s="716"/>
      <c r="H923" s="717"/>
      <c r="I923" s="713"/>
      <c r="J923" s="718"/>
      <c r="K923" s="718"/>
      <c r="L923" s="718"/>
      <c r="M923" s="713"/>
      <c r="N923" s="718"/>
      <c r="O923" s="662"/>
      <c r="P923" s="662"/>
      <c r="Q923" s="718"/>
      <c r="R923" s="662"/>
      <c r="S923" s="672"/>
      <c r="T923" s="672"/>
      <c r="U923" s="672"/>
      <c r="V923" s="672"/>
    </row>
    <row r="924">
      <c r="A924" s="705"/>
      <c r="B924" s="706"/>
      <c r="C924" s="707"/>
      <c r="D924" s="708"/>
      <c r="E924" s="707"/>
      <c r="F924" s="708"/>
      <c r="G924" s="709"/>
      <c r="H924" s="710"/>
      <c r="I924" s="706"/>
      <c r="J924" s="711"/>
      <c r="K924" s="711"/>
      <c r="L924" s="711"/>
      <c r="M924" s="706"/>
      <c r="N924" s="711"/>
      <c r="O924" s="655"/>
      <c r="P924" s="655"/>
      <c r="Q924" s="711"/>
      <c r="R924" s="655"/>
      <c r="S924" s="674"/>
      <c r="T924" s="674"/>
      <c r="U924" s="674"/>
      <c r="V924" s="674"/>
    </row>
    <row r="925">
      <c r="A925" s="712"/>
      <c r="B925" s="713"/>
      <c r="C925" s="714"/>
      <c r="D925" s="715"/>
      <c r="E925" s="714"/>
      <c r="F925" s="715"/>
      <c r="G925" s="716"/>
      <c r="H925" s="717"/>
      <c r="I925" s="713"/>
      <c r="J925" s="718"/>
      <c r="K925" s="718"/>
      <c r="L925" s="718"/>
      <c r="M925" s="713"/>
      <c r="N925" s="718"/>
      <c r="O925" s="662"/>
      <c r="P925" s="662"/>
      <c r="Q925" s="718"/>
      <c r="R925" s="662"/>
      <c r="S925" s="672"/>
      <c r="T925" s="672"/>
      <c r="U925" s="672"/>
      <c r="V925" s="672"/>
    </row>
    <row r="926">
      <c r="A926" s="705"/>
      <c r="B926" s="706"/>
      <c r="C926" s="707"/>
      <c r="D926" s="708"/>
      <c r="E926" s="707"/>
      <c r="F926" s="708"/>
      <c r="G926" s="709"/>
      <c r="H926" s="710"/>
      <c r="I926" s="706"/>
      <c r="J926" s="711"/>
      <c r="K926" s="711"/>
      <c r="L926" s="711"/>
      <c r="M926" s="706"/>
      <c r="N926" s="711"/>
      <c r="O926" s="655"/>
      <c r="P926" s="655"/>
      <c r="Q926" s="711"/>
      <c r="R926" s="655"/>
      <c r="S926" s="674"/>
      <c r="T926" s="674"/>
      <c r="U926" s="674"/>
      <c r="V926" s="674"/>
    </row>
    <row r="927">
      <c r="A927" s="712"/>
      <c r="B927" s="713"/>
      <c r="C927" s="714"/>
      <c r="D927" s="715"/>
      <c r="E927" s="714"/>
      <c r="F927" s="715"/>
      <c r="G927" s="716"/>
      <c r="H927" s="717"/>
      <c r="I927" s="713"/>
      <c r="J927" s="718"/>
      <c r="K927" s="718"/>
      <c r="L927" s="718"/>
      <c r="M927" s="713"/>
      <c r="N927" s="718"/>
      <c r="O927" s="662"/>
      <c r="P927" s="662"/>
      <c r="Q927" s="718"/>
      <c r="R927" s="662"/>
      <c r="S927" s="672"/>
      <c r="T927" s="672"/>
      <c r="U927" s="672"/>
      <c r="V927" s="672"/>
    </row>
    <row r="928">
      <c r="A928" s="705"/>
      <c r="B928" s="706"/>
      <c r="C928" s="707"/>
      <c r="D928" s="708"/>
      <c r="E928" s="707"/>
      <c r="F928" s="708"/>
      <c r="G928" s="709"/>
      <c r="H928" s="710"/>
      <c r="I928" s="706"/>
      <c r="J928" s="711"/>
      <c r="K928" s="711"/>
      <c r="L928" s="711"/>
      <c r="M928" s="706"/>
      <c r="N928" s="711"/>
      <c r="O928" s="655"/>
      <c r="P928" s="655"/>
      <c r="Q928" s="711"/>
      <c r="R928" s="655"/>
      <c r="S928" s="674"/>
      <c r="T928" s="674"/>
      <c r="U928" s="674"/>
      <c r="V928" s="674"/>
    </row>
    <row r="929">
      <c r="A929" s="712"/>
      <c r="B929" s="713"/>
      <c r="C929" s="714"/>
      <c r="D929" s="715"/>
      <c r="E929" s="714"/>
      <c r="F929" s="715"/>
      <c r="G929" s="716"/>
      <c r="H929" s="717"/>
      <c r="I929" s="713"/>
      <c r="J929" s="718"/>
      <c r="K929" s="718"/>
      <c r="L929" s="718"/>
      <c r="M929" s="713"/>
      <c r="N929" s="718"/>
      <c r="O929" s="662"/>
      <c r="P929" s="662"/>
      <c r="Q929" s="718"/>
      <c r="R929" s="662"/>
      <c r="S929" s="672"/>
      <c r="T929" s="672"/>
      <c r="U929" s="672"/>
      <c r="V929" s="672"/>
    </row>
    <row r="930">
      <c r="A930" s="705"/>
      <c r="B930" s="706"/>
      <c r="C930" s="707"/>
      <c r="D930" s="708"/>
      <c r="E930" s="707"/>
      <c r="F930" s="708"/>
      <c r="G930" s="709"/>
      <c r="H930" s="710"/>
      <c r="I930" s="706"/>
      <c r="J930" s="711"/>
      <c r="K930" s="711"/>
      <c r="L930" s="711"/>
      <c r="M930" s="706"/>
      <c r="N930" s="711"/>
      <c r="O930" s="655"/>
      <c r="P930" s="655"/>
      <c r="Q930" s="711"/>
      <c r="R930" s="655"/>
      <c r="S930" s="674"/>
      <c r="T930" s="674"/>
      <c r="U930" s="674"/>
      <c r="V930" s="674"/>
    </row>
    <row r="931">
      <c r="A931" s="712"/>
      <c r="B931" s="713"/>
      <c r="C931" s="714"/>
      <c r="D931" s="715"/>
      <c r="E931" s="714"/>
      <c r="F931" s="715"/>
      <c r="G931" s="716"/>
      <c r="H931" s="717"/>
      <c r="I931" s="713"/>
      <c r="J931" s="718"/>
      <c r="K931" s="718"/>
      <c r="L931" s="718"/>
      <c r="M931" s="713"/>
      <c r="N931" s="718"/>
      <c r="O931" s="662"/>
      <c r="P931" s="662"/>
      <c r="Q931" s="718"/>
      <c r="R931" s="662"/>
      <c r="S931" s="672"/>
      <c r="T931" s="672"/>
      <c r="U931" s="672"/>
      <c r="V931" s="672"/>
    </row>
    <row r="932">
      <c r="A932" s="705"/>
      <c r="B932" s="706"/>
      <c r="C932" s="707"/>
      <c r="D932" s="708"/>
      <c r="E932" s="707"/>
      <c r="F932" s="708"/>
      <c r="G932" s="709"/>
      <c r="H932" s="710"/>
      <c r="I932" s="706"/>
      <c r="J932" s="711"/>
      <c r="K932" s="711"/>
      <c r="L932" s="711"/>
      <c r="M932" s="706"/>
      <c r="N932" s="711"/>
      <c r="O932" s="655"/>
      <c r="P932" s="655"/>
      <c r="Q932" s="711"/>
      <c r="R932" s="655"/>
      <c r="S932" s="674"/>
      <c r="T932" s="674"/>
      <c r="U932" s="674"/>
      <c r="V932" s="674"/>
    </row>
    <row r="933">
      <c r="A933" s="712"/>
      <c r="B933" s="713"/>
      <c r="C933" s="714"/>
      <c r="D933" s="715"/>
      <c r="E933" s="714"/>
      <c r="F933" s="715"/>
      <c r="G933" s="716"/>
      <c r="H933" s="717"/>
      <c r="I933" s="713"/>
      <c r="J933" s="718"/>
      <c r="K933" s="718"/>
      <c r="L933" s="718"/>
      <c r="M933" s="713"/>
      <c r="N933" s="718"/>
      <c r="O933" s="662"/>
      <c r="P933" s="662"/>
      <c r="Q933" s="718"/>
      <c r="R933" s="662"/>
      <c r="S933" s="672"/>
      <c r="T933" s="672"/>
      <c r="U933" s="672"/>
      <c r="V933" s="672"/>
    </row>
    <row r="934">
      <c r="A934" s="705"/>
      <c r="B934" s="706"/>
      <c r="C934" s="707"/>
      <c r="D934" s="708"/>
      <c r="E934" s="707"/>
      <c r="F934" s="708"/>
      <c r="G934" s="709"/>
      <c r="H934" s="710"/>
      <c r="I934" s="706"/>
      <c r="J934" s="711"/>
      <c r="K934" s="711"/>
      <c r="L934" s="711"/>
      <c r="M934" s="706"/>
      <c r="N934" s="711"/>
      <c r="O934" s="655"/>
      <c r="P934" s="655"/>
      <c r="Q934" s="711"/>
      <c r="R934" s="655"/>
      <c r="S934" s="674"/>
      <c r="T934" s="674"/>
      <c r="U934" s="674"/>
      <c r="V934" s="674"/>
    </row>
    <row r="935">
      <c r="A935" s="712"/>
      <c r="B935" s="713"/>
      <c r="C935" s="714"/>
      <c r="D935" s="715"/>
      <c r="E935" s="714"/>
      <c r="F935" s="715"/>
      <c r="G935" s="716"/>
      <c r="H935" s="717"/>
      <c r="I935" s="713"/>
      <c r="J935" s="718"/>
      <c r="K935" s="718"/>
      <c r="L935" s="718"/>
      <c r="M935" s="713"/>
      <c r="N935" s="718"/>
      <c r="O935" s="662"/>
      <c r="P935" s="662"/>
      <c r="Q935" s="718"/>
      <c r="R935" s="662"/>
      <c r="S935" s="672"/>
      <c r="T935" s="672"/>
      <c r="U935" s="672"/>
      <c r="V935" s="672"/>
    </row>
    <row r="936">
      <c r="A936" s="705"/>
      <c r="B936" s="706"/>
      <c r="C936" s="707"/>
      <c r="D936" s="708"/>
      <c r="E936" s="707"/>
      <c r="F936" s="708"/>
      <c r="G936" s="709"/>
      <c r="H936" s="710"/>
      <c r="I936" s="706"/>
      <c r="J936" s="711"/>
      <c r="K936" s="711"/>
      <c r="L936" s="711"/>
      <c r="M936" s="706"/>
      <c r="N936" s="711"/>
      <c r="O936" s="655"/>
      <c r="P936" s="655"/>
      <c r="Q936" s="711"/>
      <c r="R936" s="655"/>
      <c r="S936" s="674"/>
      <c r="T936" s="674"/>
      <c r="U936" s="674"/>
      <c r="V936" s="674"/>
    </row>
    <row r="937">
      <c r="A937" s="712"/>
      <c r="B937" s="713"/>
      <c r="C937" s="714"/>
      <c r="D937" s="715"/>
      <c r="E937" s="714"/>
      <c r="F937" s="715"/>
      <c r="G937" s="716"/>
      <c r="H937" s="717"/>
      <c r="I937" s="713"/>
      <c r="J937" s="718"/>
      <c r="K937" s="718"/>
      <c r="L937" s="718"/>
      <c r="M937" s="713"/>
      <c r="N937" s="718"/>
      <c r="O937" s="662"/>
      <c r="P937" s="662"/>
      <c r="Q937" s="718"/>
      <c r="R937" s="662"/>
      <c r="S937" s="672"/>
      <c r="T937" s="672"/>
      <c r="U937" s="672"/>
      <c r="V937" s="672"/>
    </row>
    <row r="938">
      <c r="A938" s="705"/>
      <c r="B938" s="706"/>
      <c r="C938" s="707"/>
      <c r="D938" s="708"/>
      <c r="E938" s="707"/>
      <c r="F938" s="708"/>
      <c r="G938" s="709"/>
      <c r="H938" s="710"/>
      <c r="I938" s="706"/>
      <c r="J938" s="711"/>
      <c r="K938" s="711"/>
      <c r="L938" s="711"/>
      <c r="M938" s="706"/>
      <c r="N938" s="711"/>
      <c r="O938" s="655"/>
      <c r="P938" s="655"/>
      <c r="Q938" s="711"/>
      <c r="R938" s="655"/>
      <c r="S938" s="674"/>
      <c r="T938" s="674"/>
      <c r="U938" s="674"/>
      <c r="V938" s="674"/>
    </row>
    <row r="939">
      <c r="A939" s="712"/>
      <c r="B939" s="713"/>
      <c r="C939" s="714"/>
      <c r="D939" s="715"/>
      <c r="E939" s="714"/>
      <c r="F939" s="715"/>
      <c r="G939" s="716"/>
      <c r="H939" s="717"/>
      <c r="I939" s="713"/>
      <c r="J939" s="718"/>
      <c r="K939" s="718"/>
      <c r="L939" s="718"/>
      <c r="M939" s="713"/>
      <c r="N939" s="718"/>
      <c r="O939" s="662"/>
      <c r="P939" s="662"/>
      <c r="Q939" s="718"/>
      <c r="R939" s="662"/>
      <c r="S939" s="672"/>
      <c r="T939" s="672"/>
      <c r="U939" s="672"/>
      <c r="V939" s="672"/>
    </row>
    <row r="940">
      <c r="A940" s="705"/>
      <c r="B940" s="706"/>
      <c r="C940" s="707"/>
      <c r="D940" s="708"/>
      <c r="E940" s="707"/>
      <c r="F940" s="708"/>
      <c r="G940" s="709"/>
      <c r="H940" s="710"/>
      <c r="I940" s="706"/>
      <c r="J940" s="711"/>
      <c r="K940" s="711"/>
      <c r="L940" s="711"/>
      <c r="M940" s="706"/>
      <c r="N940" s="711"/>
      <c r="O940" s="655"/>
      <c r="P940" s="655"/>
      <c r="Q940" s="711"/>
      <c r="R940" s="655"/>
      <c r="S940" s="674"/>
      <c r="T940" s="674"/>
      <c r="U940" s="674"/>
      <c r="V940" s="674"/>
    </row>
    <row r="941">
      <c r="A941" s="712"/>
      <c r="B941" s="713"/>
      <c r="C941" s="714"/>
      <c r="D941" s="715"/>
      <c r="E941" s="714"/>
      <c r="F941" s="715"/>
      <c r="G941" s="716"/>
      <c r="H941" s="717"/>
      <c r="I941" s="713"/>
      <c r="J941" s="718"/>
      <c r="K941" s="718"/>
      <c r="L941" s="718"/>
      <c r="M941" s="713"/>
      <c r="N941" s="718"/>
      <c r="O941" s="662"/>
      <c r="P941" s="662"/>
      <c r="Q941" s="718"/>
      <c r="R941" s="662"/>
      <c r="S941" s="672"/>
      <c r="T941" s="672"/>
      <c r="U941" s="672"/>
      <c r="V941" s="672"/>
    </row>
    <row r="942">
      <c r="A942" s="705"/>
      <c r="B942" s="706"/>
      <c r="C942" s="707"/>
      <c r="D942" s="708"/>
      <c r="E942" s="707"/>
      <c r="F942" s="708"/>
      <c r="G942" s="709"/>
      <c r="H942" s="710"/>
      <c r="I942" s="706"/>
      <c r="J942" s="711"/>
      <c r="K942" s="711"/>
      <c r="L942" s="711"/>
      <c r="M942" s="706"/>
      <c r="N942" s="711"/>
      <c r="O942" s="655"/>
      <c r="P942" s="655"/>
      <c r="Q942" s="711"/>
      <c r="R942" s="655"/>
      <c r="S942" s="674"/>
      <c r="T942" s="674"/>
      <c r="U942" s="674"/>
      <c r="V942" s="674"/>
    </row>
    <row r="943">
      <c r="A943" s="712"/>
      <c r="B943" s="713"/>
      <c r="C943" s="714"/>
      <c r="D943" s="715"/>
      <c r="E943" s="714"/>
      <c r="F943" s="715"/>
      <c r="G943" s="716"/>
      <c r="H943" s="717"/>
      <c r="I943" s="713"/>
      <c r="J943" s="718"/>
      <c r="K943" s="718"/>
      <c r="L943" s="718"/>
      <c r="M943" s="713"/>
      <c r="N943" s="718"/>
      <c r="O943" s="662"/>
      <c r="P943" s="662"/>
      <c r="Q943" s="718"/>
      <c r="R943" s="662"/>
      <c r="S943" s="672"/>
      <c r="T943" s="672"/>
      <c r="U943" s="672"/>
      <c r="V943" s="672"/>
    </row>
    <row r="944">
      <c r="A944" s="705"/>
      <c r="B944" s="706"/>
      <c r="C944" s="707"/>
      <c r="D944" s="708"/>
      <c r="E944" s="707"/>
      <c r="F944" s="708"/>
      <c r="G944" s="709"/>
      <c r="H944" s="710"/>
      <c r="I944" s="706"/>
      <c r="J944" s="711"/>
      <c r="K944" s="711"/>
      <c r="L944" s="711"/>
      <c r="M944" s="706"/>
      <c r="N944" s="711"/>
      <c r="O944" s="655"/>
      <c r="P944" s="655"/>
      <c r="Q944" s="711"/>
      <c r="R944" s="655"/>
      <c r="S944" s="674"/>
      <c r="T944" s="674"/>
      <c r="U944" s="674"/>
      <c r="V944" s="674"/>
    </row>
    <row r="945">
      <c r="A945" s="712"/>
      <c r="B945" s="713"/>
      <c r="C945" s="714"/>
      <c r="D945" s="715"/>
      <c r="E945" s="714"/>
      <c r="F945" s="715"/>
      <c r="G945" s="716"/>
      <c r="H945" s="717"/>
      <c r="I945" s="713"/>
      <c r="J945" s="718"/>
      <c r="K945" s="718"/>
      <c r="L945" s="718"/>
      <c r="M945" s="713"/>
      <c r="N945" s="718"/>
      <c r="O945" s="662"/>
      <c r="P945" s="662"/>
      <c r="Q945" s="718"/>
      <c r="R945" s="662"/>
      <c r="S945" s="672"/>
      <c r="T945" s="672"/>
      <c r="U945" s="672"/>
      <c r="V945" s="672"/>
    </row>
    <row r="946">
      <c r="A946" s="705"/>
      <c r="B946" s="706"/>
      <c r="C946" s="707"/>
      <c r="D946" s="708"/>
      <c r="E946" s="707"/>
      <c r="F946" s="708"/>
      <c r="G946" s="709"/>
      <c r="H946" s="710"/>
      <c r="I946" s="706"/>
      <c r="J946" s="711"/>
      <c r="K946" s="711"/>
      <c r="L946" s="711"/>
      <c r="M946" s="706"/>
      <c r="N946" s="711"/>
      <c r="O946" s="655"/>
      <c r="P946" s="655"/>
      <c r="Q946" s="711"/>
      <c r="R946" s="655"/>
      <c r="S946" s="674"/>
      <c r="T946" s="674"/>
      <c r="U946" s="674"/>
      <c r="V946" s="674"/>
    </row>
    <row r="947">
      <c r="A947" s="712"/>
      <c r="B947" s="713"/>
      <c r="C947" s="714"/>
      <c r="D947" s="715"/>
      <c r="E947" s="714"/>
      <c r="F947" s="715"/>
      <c r="G947" s="716"/>
      <c r="H947" s="717"/>
      <c r="I947" s="713"/>
      <c r="J947" s="718"/>
      <c r="K947" s="718"/>
      <c r="L947" s="718"/>
      <c r="M947" s="713"/>
      <c r="N947" s="718"/>
      <c r="O947" s="662"/>
      <c r="P947" s="662"/>
      <c r="Q947" s="718"/>
      <c r="R947" s="662"/>
      <c r="S947" s="672"/>
      <c r="T947" s="672"/>
      <c r="U947" s="672"/>
      <c r="V947" s="672"/>
    </row>
    <row r="948">
      <c r="A948" s="705"/>
      <c r="B948" s="706"/>
      <c r="C948" s="707"/>
      <c r="D948" s="708"/>
      <c r="E948" s="707"/>
      <c r="F948" s="708"/>
      <c r="G948" s="709"/>
      <c r="H948" s="710"/>
      <c r="I948" s="706"/>
      <c r="J948" s="711"/>
      <c r="K948" s="711"/>
      <c r="L948" s="711"/>
      <c r="M948" s="706"/>
      <c r="N948" s="711"/>
      <c r="O948" s="655"/>
      <c r="P948" s="655"/>
      <c r="Q948" s="711"/>
      <c r="R948" s="655"/>
      <c r="S948" s="674"/>
      <c r="T948" s="674"/>
      <c r="U948" s="674"/>
      <c r="V948" s="674"/>
    </row>
    <row r="949">
      <c r="A949" s="712"/>
      <c r="B949" s="713"/>
      <c r="C949" s="714"/>
      <c r="D949" s="715"/>
      <c r="E949" s="714"/>
      <c r="F949" s="715"/>
      <c r="G949" s="716"/>
      <c r="H949" s="717"/>
      <c r="I949" s="713"/>
      <c r="J949" s="718"/>
      <c r="K949" s="718"/>
      <c r="L949" s="718"/>
      <c r="M949" s="713"/>
      <c r="N949" s="718"/>
      <c r="O949" s="662"/>
      <c r="P949" s="662"/>
      <c r="Q949" s="718"/>
      <c r="R949" s="662"/>
      <c r="S949" s="672"/>
      <c r="T949" s="672"/>
      <c r="U949" s="672"/>
      <c r="V949" s="672"/>
    </row>
    <row r="950">
      <c r="A950" s="705"/>
      <c r="B950" s="706"/>
      <c r="C950" s="707"/>
      <c r="D950" s="708"/>
      <c r="E950" s="707"/>
      <c r="F950" s="708"/>
      <c r="G950" s="709"/>
      <c r="H950" s="710"/>
      <c r="I950" s="706"/>
      <c r="J950" s="711"/>
      <c r="K950" s="711"/>
      <c r="L950" s="711"/>
      <c r="M950" s="706"/>
      <c r="N950" s="711"/>
      <c r="O950" s="655"/>
      <c r="P950" s="655"/>
      <c r="Q950" s="711"/>
      <c r="R950" s="655"/>
      <c r="S950" s="674"/>
      <c r="T950" s="674"/>
      <c r="U950" s="674"/>
      <c r="V950" s="674"/>
    </row>
    <row r="951">
      <c r="A951" s="712"/>
      <c r="B951" s="713"/>
      <c r="C951" s="714"/>
      <c r="D951" s="715"/>
      <c r="E951" s="714"/>
      <c r="F951" s="715"/>
      <c r="G951" s="716"/>
      <c r="H951" s="717"/>
      <c r="I951" s="713"/>
      <c r="J951" s="718"/>
      <c r="K951" s="718"/>
      <c r="L951" s="718"/>
      <c r="M951" s="713"/>
      <c r="N951" s="718"/>
      <c r="O951" s="662"/>
      <c r="P951" s="662"/>
      <c r="Q951" s="718"/>
      <c r="R951" s="662"/>
      <c r="S951" s="672"/>
      <c r="T951" s="672"/>
      <c r="U951" s="672"/>
      <c r="V951" s="672"/>
    </row>
    <row r="952">
      <c r="A952" s="705"/>
      <c r="B952" s="706"/>
      <c r="C952" s="707"/>
      <c r="D952" s="708"/>
      <c r="E952" s="707"/>
      <c r="F952" s="708"/>
      <c r="G952" s="709"/>
      <c r="H952" s="710"/>
      <c r="I952" s="706"/>
      <c r="J952" s="711"/>
      <c r="K952" s="711"/>
      <c r="L952" s="711"/>
      <c r="M952" s="706"/>
      <c r="N952" s="711"/>
      <c r="O952" s="655"/>
      <c r="P952" s="655"/>
      <c r="Q952" s="711"/>
      <c r="R952" s="655"/>
      <c r="S952" s="674"/>
      <c r="T952" s="674"/>
      <c r="U952" s="674"/>
      <c r="V952" s="674"/>
    </row>
    <row r="953">
      <c r="A953" s="712"/>
      <c r="B953" s="713"/>
      <c r="C953" s="714"/>
      <c r="D953" s="715"/>
      <c r="E953" s="714"/>
      <c r="F953" s="715"/>
      <c r="G953" s="716"/>
      <c r="H953" s="717"/>
      <c r="I953" s="713"/>
      <c r="J953" s="718"/>
      <c r="K953" s="718"/>
      <c r="L953" s="718"/>
      <c r="M953" s="713"/>
      <c r="N953" s="718"/>
      <c r="O953" s="662"/>
      <c r="P953" s="662"/>
      <c r="Q953" s="718"/>
      <c r="R953" s="662"/>
      <c r="S953" s="672"/>
      <c r="T953" s="672"/>
      <c r="U953" s="672"/>
      <c r="V953" s="672"/>
    </row>
    <row r="954">
      <c r="A954" s="705"/>
      <c r="B954" s="706"/>
      <c r="C954" s="707"/>
      <c r="D954" s="708"/>
      <c r="E954" s="707"/>
      <c r="F954" s="708"/>
      <c r="G954" s="709"/>
      <c r="H954" s="710"/>
      <c r="I954" s="706"/>
      <c r="J954" s="711"/>
      <c r="K954" s="711"/>
      <c r="L954" s="711"/>
      <c r="M954" s="706"/>
      <c r="N954" s="711"/>
      <c r="O954" s="655"/>
      <c r="P954" s="655"/>
      <c r="Q954" s="711"/>
      <c r="R954" s="655"/>
      <c r="S954" s="674"/>
      <c r="T954" s="674"/>
      <c r="U954" s="674"/>
      <c r="V954" s="674"/>
    </row>
    <row r="955">
      <c r="A955" s="712"/>
      <c r="B955" s="713"/>
      <c r="C955" s="714"/>
      <c r="D955" s="715"/>
      <c r="E955" s="714"/>
      <c r="F955" s="715"/>
      <c r="G955" s="716"/>
      <c r="H955" s="717"/>
      <c r="I955" s="713"/>
      <c r="J955" s="718"/>
      <c r="K955" s="718"/>
      <c r="L955" s="718"/>
      <c r="M955" s="713"/>
      <c r="N955" s="718"/>
      <c r="O955" s="662"/>
      <c r="P955" s="662"/>
      <c r="Q955" s="718"/>
      <c r="R955" s="662"/>
      <c r="S955" s="672"/>
      <c r="T955" s="672"/>
      <c r="U955" s="672"/>
      <c r="V955" s="672"/>
    </row>
    <row r="956">
      <c r="A956" s="705"/>
      <c r="B956" s="706"/>
      <c r="C956" s="707"/>
      <c r="D956" s="708"/>
      <c r="E956" s="707"/>
      <c r="F956" s="708"/>
      <c r="G956" s="709"/>
      <c r="H956" s="710"/>
      <c r="I956" s="706"/>
      <c r="J956" s="711"/>
      <c r="K956" s="711"/>
      <c r="L956" s="711"/>
      <c r="M956" s="706"/>
      <c r="N956" s="711"/>
      <c r="O956" s="655"/>
      <c r="P956" s="655"/>
      <c r="Q956" s="711"/>
      <c r="R956" s="655"/>
      <c r="S956" s="674"/>
      <c r="T956" s="674"/>
      <c r="U956" s="674"/>
      <c r="V956" s="674"/>
    </row>
    <row r="957">
      <c r="A957" s="712"/>
      <c r="B957" s="713"/>
      <c r="C957" s="714"/>
      <c r="D957" s="715"/>
      <c r="E957" s="714"/>
      <c r="F957" s="715"/>
      <c r="G957" s="716"/>
      <c r="H957" s="717"/>
      <c r="I957" s="713"/>
      <c r="J957" s="718"/>
      <c r="K957" s="718"/>
      <c r="L957" s="718"/>
      <c r="M957" s="713"/>
      <c r="N957" s="718"/>
      <c r="O957" s="662"/>
      <c r="P957" s="662"/>
      <c r="Q957" s="718"/>
      <c r="R957" s="662"/>
      <c r="S957" s="672"/>
      <c r="T957" s="672"/>
      <c r="U957" s="672"/>
      <c r="V957" s="672"/>
    </row>
    <row r="958">
      <c r="A958" s="705"/>
      <c r="B958" s="706"/>
      <c r="C958" s="707"/>
      <c r="D958" s="708"/>
      <c r="E958" s="707"/>
      <c r="F958" s="708"/>
      <c r="G958" s="709"/>
      <c r="H958" s="710"/>
      <c r="I958" s="706"/>
      <c r="J958" s="711"/>
      <c r="K958" s="711"/>
      <c r="L958" s="711"/>
      <c r="M958" s="706"/>
      <c r="N958" s="711"/>
      <c r="O958" s="655"/>
      <c r="P958" s="655"/>
      <c r="Q958" s="711"/>
      <c r="R958" s="655"/>
      <c r="S958" s="674"/>
      <c r="T958" s="674"/>
      <c r="U958" s="674"/>
      <c r="V958" s="674"/>
    </row>
    <row r="959">
      <c r="A959" s="712"/>
      <c r="B959" s="713"/>
      <c r="C959" s="714"/>
      <c r="D959" s="715"/>
      <c r="E959" s="714"/>
      <c r="F959" s="715"/>
      <c r="G959" s="716"/>
      <c r="H959" s="717"/>
      <c r="I959" s="713"/>
      <c r="J959" s="718"/>
      <c r="K959" s="718"/>
      <c r="L959" s="718"/>
      <c r="M959" s="713"/>
      <c r="N959" s="718"/>
      <c r="O959" s="662"/>
      <c r="P959" s="662"/>
      <c r="Q959" s="718"/>
      <c r="R959" s="662"/>
      <c r="S959" s="672"/>
      <c r="T959" s="672"/>
      <c r="U959" s="672"/>
      <c r="V959" s="672"/>
    </row>
    <row r="960">
      <c r="A960" s="705"/>
      <c r="B960" s="706"/>
      <c r="C960" s="707"/>
      <c r="D960" s="708"/>
      <c r="E960" s="707"/>
      <c r="F960" s="708"/>
      <c r="G960" s="709"/>
      <c r="H960" s="710"/>
      <c r="I960" s="706"/>
      <c r="J960" s="711"/>
      <c r="K960" s="711"/>
      <c r="L960" s="711"/>
      <c r="M960" s="706"/>
      <c r="N960" s="711"/>
      <c r="O960" s="655"/>
      <c r="P960" s="655"/>
      <c r="Q960" s="711"/>
      <c r="R960" s="655"/>
      <c r="S960" s="674"/>
      <c r="T960" s="674"/>
      <c r="U960" s="674"/>
      <c r="V960" s="674"/>
    </row>
    <row r="961">
      <c r="A961" s="712"/>
      <c r="B961" s="713"/>
      <c r="C961" s="714"/>
      <c r="D961" s="715"/>
      <c r="E961" s="714"/>
      <c r="F961" s="715"/>
      <c r="G961" s="716"/>
      <c r="H961" s="717"/>
      <c r="I961" s="713"/>
      <c r="J961" s="718"/>
      <c r="K961" s="718"/>
      <c r="L961" s="718"/>
      <c r="M961" s="713"/>
      <c r="N961" s="718"/>
      <c r="O961" s="662"/>
      <c r="P961" s="662"/>
      <c r="Q961" s="718"/>
      <c r="R961" s="662"/>
      <c r="S961" s="672"/>
      <c r="T961" s="672"/>
      <c r="U961" s="672"/>
      <c r="V961" s="672"/>
    </row>
    <row r="962">
      <c r="A962" s="705"/>
      <c r="B962" s="706"/>
      <c r="C962" s="707"/>
      <c r="D962" s="708"/>
      <c r="E962" s="707"/>
      <c r="F962" s="708"/>
      <c r="G962" s="709"/>
      <c r="H962" s="710"/>
      <c r="I962" s="706"/>
      <c r="J962" s="711"/>
      <c r="K962" s="711"/>
      <c r="L962" s="711"/>
      <c r="M962" s="706"/>
      <c r="N962" s="711"/>
      <c r="O962" s="655"/>
      <c r="P962" s="655"/>
      <c r="Q962" s="711"/>
      <c r="R962" s="655"/>
      <c r="S962" s="674"/>
      <c r="T962" s="674"/>
      <c r="U962" s="674"/>
      <c r="V962" s="674"/>
    </row>
    <row r="963">
      <c r="A963" s="712"/>
      <c r="B963" s="713"/>
      <c r="C963" s="714"/>
      <c r="D963" s="715"/>
      <c r="E963" s="714"/>
      <c r="F963" s="715"/>
      <c r="G963" s="716"/>
      <c r="H963" s="717"/>
      <c r="I963" s="713"/>
      <c r="J963" s="718"/>
      <c r="K963" s="718"/>
      <c r="L963" s="718"/>
      <c r="M963" s="713"/>
      <c r="N963" s="718"/>
      <c r="O963" s="662"/>
      <c r="P963" s="662"/>
      <c r="Q963" s="718"/>
      <c r="R963" s="662"/>
      <c r="S963" s="672"/>
      <c r="T963" s="672"/>
      <c r="U963" s="672"/>
      <c r="V963" s="672"/>
    </row>
    <row r="964">
      <c r="A964" s="705"/>
      <c r="B964" s="706"/>
      <c r="C964" s="707"/>
      <c r="D964" s="708"/>
      <c r="E964" s="707"/>
      <c r="F964" s="708"/>
      <c r="G964" s="709"/>
      <c r="H964" s="710"/>
      <c r="I964" s="706"/>
      <c r="J964" s="711"/>
      <c r="K964" s="711"/>
      <c r="L964" s="711"/>
      <c r="M964" s="706"/>
      <c r="N964" s="711"/>
      <c r="O964" s="655"/>
      <c r="P964" s="655"/>
      <c r="Q964" s="711"/>
      <c r="R964" s="655"/>
      <c r="S964" s="674"/>
      <c r="T964" s="674"/>
      <c r="U964" s="674"/>
      <c r="V964" s="674"/>
    </row>
    <row r="965">
      <c r="A965" s="712"/>
      <c r="B965" s="713"/>
      <c r="C965" s="714"/>
      <c r="D965" s="715"/>
      <c r="E965" s="714"/>
      <c r="F965" s="715"/>
      <c r="G965" s="716"/>
      <c r="H965" s="717"/>
      <c r="I965" s="713"/>
      <c r="J965" s="718"/>
      <c r="K965" s="718"/>
      <c r="L965" s="718"/>
      <c r="M965" s="713"/>
      <c r="N965" s="718"/>
      <c r="O965" s="662"/>
      <c r="P965" s="662"/>
      <c r="Q965" s="718"/>
      <c r="R965" s="662"/>
      <c r="S965" s="672"/>
      <c r="T965" s="672"/>
      <c r="U965" s="672"/>
      <c r="V965" s="672"/>
    </row>
    <row r="966">
      <c r="A966" s="705"/>
      <c r="B966" s="706"/>
      <c r="C966" s="707"/>
      <c r="D966" s="708"/>
      <c r="E966" s="707"/>
      <c r="F966" s="708"/>
      <c r="G966" s="709"/>
      <c r="H966" s="710"/>
      <c r="I966" s="706"/>
      <c r="J966" s="711"/>
      <c r="K966" s="711"/>
      <c r="L966" s="711"/>
      <c r="M966" s="706"/>
      <c r="N966" s="711"/>
      <c r="O966" s="655"/>
      <c r="P966" s="655"/>
      <c r="Q966" s="711"/>
      <c r="R966" s="655"/>
      <c r="S966" s="674"/>
      <c r="T966" s="674"/>
      <c r="U966" s="674"/>
      <c r="V966" s="674"/>
    </row>
    <row r="967">
      <c r="A967" s="712"/>
      <c r="B967" s="713"/>
      <c r="C967" s="714"/>
      <c r="D967" s="715"/>
      <c r="E967" s="714"/>
      <c r="F967" s="715"/>
      <c r="G967" s="716"/>
      <c r="H967" s="717"/>
      <c r="I967" s="713"/>
      <c r="J967" s="718"/>
      <c r="K967" s="718"/>
      <c r="L967" s="718"/>
      <c r="M967" s="713"/>
      <c r="N967" s="718"/>
      <c r="O967" s="662"/>
      <c r="P967" s="662"/>
      <c r="Q967" s="718"/>
      <c r="R967" s="662"/>
      <c r="S967" s="672"/>
      <c r="T967" s="672"/>
      <c r="U967" s="672"/>
      <c r="V967" s="672"/>
    </row>
    <row r="968">
      <c r="A968" s="705"/>
      <c r="B968" s="706"/>
      <c r="C968" s="707"/>
      <c r="D968" s="708"/>
      <c r="E968" s="707"/>
      <c r="F968" s="708"/>
      <c r="G968" s="709"/>
      <c r="H968" s="710"/>
      <c r="I968" s="706"/>
      <c r="J968" s="711"/>
      <c r="K968" s="711"/>
      <c r="L968" s="711"/>
      <c r="M968" s="706"/>
      <c r="N968" s="711"/>
      <c r="O968" s="655"/>
      <c r="P968" s="655"/>
      <c r="Q968" s="711"/>
      <c r="R968" s="655"/>
      <c r="S968" s="674"/>
      <c r="T968" s="674"/>
      <c r="U968" s="674"/>
      <c r="V968" s="674"/>
    </row>
    <row r="969">
      <c r="A969" s="712"/>
      <c r="B969" s="713"/>
      <c r="C969" s="714"/>
      <c r="D969" s="715"/>
      <c r="E969" s="714"/>
      <c r="F969" s="715"/>
      <c r="G969" s="716"/>
      <c r="H969" s="717"/>
      <c r="I969" s="713"/>
      <c r="J969" s="718"/>
      <c r="K969" s="718"/>
      <c r="L969" s="718"/>
      <c r="M969" s="713"/>
      <c r="N969" s="718"/>
      <c r="O969" s="662"/>
      <c r="P969" s="662"/>
      <c r="Q969" s="718"/>
      <c r="R969" s="662"/>
      <c r="S969" s="672"/>
      <c r="T969" s="672"/>
      <c r="U969" s="672"/>
      <c r="V969" s="672"/>
    </row>
    <row r="970">
      <c r="A970" s="705"/>
      <c r="B970" s="706"/>
      <c r="C970" s="707"/>
      <c r="D970" s="708"/>
      <c r="E970" s="707"/>
      <c r="F970" s="708"/>
      <c r="G970" s="709"/>
      <c r="H970" s="710"/>
      <c r="I970" s="706"/>
      <c r="J970" s="711"/>
      <c r="K970" s="711"/>
      <c r="L970" s="711"/>
      <c r="M970" s="706"/>
      <c r="N970" s="711"/>
      <c r="O970" s="655"/>
      <c r="P970" s="655"/>
      <c r="Q970" s="711"/>
      <c r="R970" s="655"/>
      <c r="S970" s="674"/>
      <c r="T970" s="674"/>
      <c r="U970" s="674"/>
      <c r="V970" s="674"/>
    </row>
    <row r="971">
      <c r="A971" s="712"/>
      <c r="B971" s="713"/>
      <c r="C971" s="714"/>
      <c r="D971" s="715"/>
      <c r="E971" s="714"/>
      <c r="F971" s="715"/>
      <c r="G971" s="716"/>
      <c r="H971" s="717"/>
      <c r="I971" s="713"/>
      <c r="J971" s="718"/>
      <c r="K971" s="718"/>
      <c r="L971" s="718"/>
      <c r="M971" s="713"/>
      <c r="N971" s="718"/>
      <c r="O971" s="662"/>
      <c r="P971" s="662"/>
      <c r="Q971" s="718"/>
      <c r="R971" s="662"/>
      <c r="S971" s="672"/>
      <c r="T971" s="672"/>
      <c r="U971" s="672"/>
      <c r="V971" s="672"/>
    </row>
    <row r="972">
      <c r="A972" s="705"/>
      <c r="B972" s="706"/>
      <c r="C972" s="707"/>
      <c r="D972" s="708"/>
      <c r="E972" s="707"/>
      <c r="F972" s="708"/>
      <c r="G972" s="709"/>
      <c r="H972" s="710"/>
      <c r="I972" s="706"/>
      <c r="J972" s="711"/>
      <c r="K972" s="711"/>
      <c r="L972" s="711"/>
      <c r="M972" s="706"/>
      <c r="N972" s="711"/>
      <c r="O972" s="655"/>
      <c r="P972" s="655"/>
      <c r="Q972" s="711"/>
      <c r="R972" s="655"/>
      <c r="S972" s="674"/>
      <c r="T972" s="674"/>
      <c r="U972" s="674"/>
      <c r="V972" s="674"/>
    </row>
    <row r="973">
      <c r="A973" s="712"/>
      <c r="B973" s="713"/>
      <c r="C973" s="714"/>
      <c r="D973" s="715"/>
      <c r="E973" s="714"/>
      <c r="F973" s="715"/>
      <c r="G973" s="716"/>
      <c r="H973" s="717"/>
      <c r="I973" s="713"/>
      <c r="J973" s="718"/>
      <c r="K973" s="718"/>
      <c r="L973" s="718"/>
      <c r="M973" s="713"/>
      <c r="N973" s="718"/>
      <c r="O973" s="662"/>
      <c r="P973" s="662"/>
      <c r="Q973" s="718"/>
      <c r="R973" s="662"/>
      <c r="S973" s="672"/>
      <c r="T973" s="672"/>
      <c r="U973" s="672"/>
      <c r="V973" s="672"/>
    </row>
    <row r="974">
      <c r="A974" s="705"/>
      <c r="B974" s="706"/>
      <c r="C974" s="707"/>
      <c r="D974" s="708"/>
      <c r="E974" s="707"/>
      <c r="F974" s="708"/>
      <c r="G974" s="709"/>
      <c r="H974" s="710"/>
      <c r="I974" s="706"/>
      <c r="J974" s="711"/>
      <c r="K974" s="711"/>
      <c r="L974" s="711"/>
      <c r="M974" s="706"/>
      <c r="N974" s="711"/>
      <c r="O974" s="655"/>
      <c r="P974" s="655"/>
      <c r="Q974" s="711"/>
      <c r="R974" s="655"/>
      <c r="S974" s="674"/>
      <c r="T974" s="674"/>
      <c r="U974" s="674"/>
      <c r="V974" s="674"/>
    </row>
    <row r="975">
      <c r="A975" s="712"/>
      <c r="B975" s="713"/>
      <c r="C975" s="714"/>
      <c r="D975" s="715"/>
      <c r="E975" s="714"/>
      <c r="F975" s="715"/>
      <c r="G975" s="716"/>
      <c r="H975" s="717"/>
      <c r="I975" s="713"/>
      <c r="J975" s="718"/>
      <c r="K975" s="718"/>
      <c r="L975" s="718"/>
      <c r="M975" s="713"/>
      <c r="N975" s="718"/>
      <c r="O975" s="662"/>
      <c r="P975" s="662"/>
      <c r="Q975" s="718"/>
      <c r="R975" s="662"/>
      <c r="S975" s="672"/>
      <c r="T975" s="672"/>
      <c r="U975" s="672"/>
      <c r="V975" s="672"/>
    </row>
    <row r="976">
      <c r="A976" s="705"/>
      <c r="B976" s="706"/>
      <c r="C976" s="707"/>
      <c r="D976" s="708"/>
      <c r="E976" s="707"/>
      <c r="F976" s="708"/>
      <c r="G976" s="709"/>
      <c r="H976" s="710"/>
      <c r="I976" s="706"/>
      <c r="J976" s="711"/>
      <c r="K976" s="711"/>
      <c r="L976" s="711"/>
      <c r="M976" s="706"/>
      <c r="N976" s="711"/>
      <c r="O976" s="655"/>
      <c r="P976" s="655"/>
      <c r="Q976" s="711"/>
      <c r="R976" s="655"/>
      <c r="S976" s="674"/>
      <c r="T976" s="674"/>
      <c r="U976" s="674"/>
      <c r="V976" s="674"/>
    </row>
    <row r="977">
      <c r="A977" s="712"/>
      <c r="B977" s="713"/>
      <c r="C977" s="714"/>
      <c r="D977" s="715"/>
      <c r="E977" s="714"/>
      <c r="F977" s="715"/>
      <c r="G977" s="716"/>
      <c r="H977" s="717"/>
      <c r="I977" s="713"/>
      <c r="J977" s="718"/>
      <c r="K977" s="718"/>
      <c r="L977" s="718"/>
      <c r="M977" s="713"/>
      <c r="N977" s="718"/>
      <c r="O977" s="662"/>
      <c r="P977" s="662"/>
      <c r="Q977" s="718"/>
      <c r="R977" s="662"/>
      <c r="S977" s="672"/>
      <c r="T977" s="672"/>
      <c r="U977" s="672"/>
      <c r="V977" s="672"/>
    </row>
    <row r="978">
      <c r="A978" s="705"/>
      <c r="B978" s="706"/>
      <c r="C978" s="707"/>
      <c r="D978" s="708"/>
      <c r="E978" s="707"/>
      <c r="F978" s="708"/>
      <c r="G978" s="709"/>
      <c r="H978" s="710"/>
      <c r="I978" s="706"/>
      <c r="J978" s="711"/>
      <c r="K978" s="711"/>
      <c r="L978" s="711"/>
      <c r="M978" s="706"/>
      <c r="N978" s="711"/>
      <c r="O978" s="655"/>
      <c r="P978" s="655"/>
      <c r="Q978" s="711"/>
      <c r="R978" s="655"/>
      <c r="S978" s="674"/>
      <c r="T978" s="674"/>
      <c r="U978" s="674"/>
      <c r="V978" s="674"/>
    </row>
    <row r="979">
      <c r="A979" s="712"/>
      <c r="B979" s="713"/>
      <c r="C979" s="714"/>
      <c r="D979" s="715"/>
      <c r="E979" s="714"/>
      <c r="F979" s="715"/>
      <c r="G979" s="716"/>
      <c r="H979" s="717"/>
      <c r="I979" s="713"/>
      <c r="J979" s="718"/>
      <c r="K979" s="718"/>
      <c r="L979" s="718"/>
      <c r="M979" s="713"/>
      <c r="N979" s="718"/>
      <c r="O979" s="662"/>
      <c r="P979" s="662"/>
      <c r="Q979" s="718"/>
      <c r="R979" s="662"/>
      <c r="S979" s="672"/>
      <c r="T979" s="672"/>
      <c r="U979" s="672"/>
      <c r="V979" s="672"/>
    </row>
    <row r="980">
      <c r="A980" s="705"/>
      <c r="B980" s="706"/>
      <c r="C980" s="707"/>
      <c r="D980" s="708"/>
      <c r="E980" s="707"/>
      <c r="F980" s="708"/>
      <c r="G980" s="709"/>
      <c r="H980" s="710"/>
      <c r="I980" s="706"/>
      <c r="J980" s="711"/>
      <c r="K980" s="711"/>
      <c r="L980" s="711"/>
      <c r="M980" s="706"/>
      <c r="N980" s="711"/>
      <c r="O980" s="655"/>
      <c r="P980" s="655"/>
      <c r="Q980" s="711"/>
      <c r="R980" s="655"/>
      <c r="S980" s="674"/>
      <c r="T980" s="674"/>
      <c r="U980" s="674"/>
      <c r="V980" s="674"/>
    </row>
    <row r="981">
      <c r="A981" s="712"/>
      <c r="B981" s="713"/>
      <c r="C981" s="714"/>
      <c r="D981" s="715"/>
      <c r="E981" s="714"/>
      <c r="F981" s="715"/>
      <c r="G981" s="716"/>
      <c r="H981" s="717"/>
      <c r="I981" s="713"/>
      <c r="J981" s="718"/>
      <c r="K981" s="718"/>
      <c r="L981" s="718"/>
      <c r="M981" s="713"/>
      <c r="N981" s="718"/>
      <c r="O981" s="662"/>
      <c r="P981" s="662"/>
      <c r="Q981" s="718"/>
      <c r="R981" s="662"/>
      <c r="S981" s="672"/>
      <c r="T981" s="672"/>
      <c r="U981" s="672"/>
      <c r="V981" s="672"/>
    </row>
    <row r="982">
      <c r="A982" s="705"/>
      <c r="B982" s="706"/>
      <c r="C982" s="707"/>
      <c r="D982" s="708"/>
      <c r="E982" s="707"/>
      <c r="F982" s="708"/>
      <c r="G982" s="709"/>
      <c r="H982" s="710"/>
      <c r="I982" s="706"/>
      <c r="J982" s="711"/>
      <c r="K982" s="711"/>
      <c r="L982" s="711"/>
      <c r="M982" s="706"/>
      <c r="N982" s="711"/>
      <c r="O982" s="655"/>
      <c r="P982" s="655"/>
      <c r="Q982" s="711"/>
      <c r="R982" s="655"/>
      <c r="S982" s="674"/>
      <c r="T982" s="674"/>
      <c r="U982" s="674"/>
      <c r="V982" s="674"/>
    </row>
    <row r="983">
      <c r="A983" s="712"/>
      <c r="B983" s="713"/>
      <c r="C983" s="714"/>
      <c r="D983" s="715"/>
      <c r="E983" s="714"/>
      <c r="F983" s="715"/>
      <c r="G983" s="716"/>
      <c r="H983" s="717"/>
      <c r="I983" s="713"/>
      <c r="J983" s="718"/>
      <c r="K983" s="718"/>
      <c r="L983" s="718"/>
      <c r="M983" s="713"/>
      <c r="N983" s="718"/>
      <c r="O983" s="662"/>
      <c r="P983" s="662"/>
      <c r="Q983" s="718"/>
      <c r="R983" s="662"/>
      <c r="S983" s="672"/>
      <c r="T983" s="672"/>
      <c r="U983" s="672"/>
      <c r="V983" s="672"/>
    </row>
    <row r="984">
      <c r="A984" s="705"/>
      <c r="B984" s="706"/>
      <c r="C984" s="707"/>
      <c r="D984" s="708"/>
      <c r="E984" s="707"/>
      <c r="F984" s="708"/>
      <c r="G984" s="709"/>
      <c r="H984" s="710"/>
      <c r="I984" s="706"/>
      <c r="J984" s="711"/>
      <c r="K984" s="711"/>
      <c r="L984" s="711"/>
      <c r="M984" s="706"/>
      <c r="N984" s="711"/>
      <c r="O984" s="655"/>
      <c r="P984" s="655"/>
      <c r="Q984" s="711"/>
      <c r="R984" s="655"/>
      <c r="S984" s="674"/>
      <c r="T984" s="674"/>
      <c r="U984" s="674"/>
      <c r="V984" s="674"/>
    </row>
    <row r="985">
      <c r="A985" s="712"/>
      <c r="B985" s="713"/>
      <c r="C985" s="714"/>
      <c r="D985" s="715"/>
      <c r="E985" s="714"/>
      <c r="F985" s="715"/>
      <c r="G985" s="716"/>
      <c r="H985" s="717"/>
      <c r="I985" s="713"/>
      <c r="J985" s="718"/>
      <c r="K985" s="718"/>
      <c r="L985" s="718"/>
      <c r="M985" s="713"/>
      <c r="N985" s="718"/>
      <c r="O985" s="662"/>
      <c r="P985" s="662"/>
      <c r="Q985" s="718"/>
      <c r="R985" s="662"/>
      <c r="S985" s="672"/>
      <c r="T985" s="672"/>
      <c r="U985" s="672"/>
      <c r="V985" s="672"/>
    </row>
    <row r="986">
      <c r="A986" s="705"/>
      <c r="B986" s="706"/>
      <c r="C986" s="707"/>
      <c r="D986" s="708"/>
      <c r="E986" s="707"/>
      <c r="F986" s="708"/>
      <c r="G986" s="709"/>
      <c r="H986" s="710"/>
      <c r="I986" s="706"/>
      <c r="J986" s="711"/>
      <c r="K986" s="711"/>
      <c r="L986" s="711"/>
      <c r="M986" s="706"/>
      <c r="N986" s="711"/>
      <c r="O986" s="655"/>
      <c r="P986" s="655"/>
      <c r="Q986" s="711"/>
      <c r="R986" s="655"/>
      <c r="S986" s="674"/>
      <c r="T986" s="674"/>
      <c r="U986" s="674"/>
      <c r="V986" s="674"/>
    </row>
    <row r="987">
      <c r="A987" s="712"/>
      <c r="B987" s="713"/>
      <c r="C987" s="714"/>
      <c r="D987" s="715"/>
      <c r="E987" s="714"/>
      <c r="F987" s="715"/>
      <c r="G987" s="716"/>
      <c r="H987" s="717"/>
      <c r="I987" s="713"/>
      <c r="J987" s="718"/>
      <c r="K987" s="718"/>
      <c r="L987" s="718"/>
      <c r="M987" s="713"/>
      <c r="N987" s="718"/>
      <c r="O987" s="662"/>
      <c r="P987" s="662"/>
      <c r="Q987" s="718"/>
      <c r="R987" s="662"/>
      <c r="S987" s="672"/>
      <c r="T987" s="672"/>
      <c r="U987" s="672"/>
      <c r="V987" s="672"/>
    </row>
    <row r="988">
      <c r="A988" s="705"/>
      <c r="B988" s="706"/>
      <c r="C988" s="707"/>
      <c r="D988" s="708"/>
      <c r="E988" s="707"/>
      <c r="F988" s="708"/>
      <c r="G988" s="709"/>
      <c r="H988" s="710"/>
      <c r="I988" s="706"/>
      <c r="J988" s="711"/>
      <c r="K988" s="711"/>
      <c r="L988" s="711"/>
      <c r="M988" s="706"/>
      <c r="N988" s="711"/>
      <c r="O988" s="655"/>
      <c r="P988" s="655"/>
      <c r="Q988" s="711"/>
      <c r="R988" s="655"/>
      <c r="S988" s="674"/>
      <c r="T988" s="674"/>
      <c r="U988" s="674"/>
      <c r="V988" s="674"/>
    </row>
    <row r="989">
      <c r="A989" s="712"/>
      <c r="B989" s="713"/>
      <c r="C989" s="714"/>
      <c r="D989" s="715"/>
      <c r="E989" s="714"/>
      <c r="F989" s="715"/>
      <c r="G989" s="716"/>
      <c r="H989" s="717"/>
      <c r="I989" s="713"/>
      <c r="J989" s="718"/>
      <c r="K989" s="718"/>
      <c r="L989" s="718"/>
      <c r="M989" s="713"/>
      <c r="N989" s="718"/>
      <c r="O989" s="662"/>
      <c r="P989" s="662"/>
      <c r="Q989" s="718"/>
      <c r="R989" s="662"/>
      <c r="S989" s="672"/>
      <c r="T989" s="672"/>
      <c r="U989" s="672"/>
      <c r="V989" s="672"/>
    </row>
    <row r="990">
      <c r="A990" s="705"/>
      <c r="B990" s="706"/>
      <c r="C990" s="707"/>
      <c r="D990" s="708"/>
      <c r="E990" s="707"/>
      <c r="F990" s="708"/>
      <c r="G990" s="709"/>
      <c r="H990" s="710"/>
      <c r="I990" s="706"/>
      <c r="J990" s="711"/>
      <c r="K990" s="711"/>
      <c r="L990" s="711"/>
      <c r="M990" s="706"/>
      <c r="N990" s="711"/>
      <c r="O990" s="655"/>
      <c r="P990" s="655"/>
      <c r="Q990" s="711"/>
      <c r="R990" s="655"/>
      <c r="S990" s="674"/>
      <c r="T990" s="674"/>
      <c r="U990" s="674"/>
      <c r="V990" s="674"/>
    </row>
    <row r="991">
      <c r="A991" s="712"/>
      <c r="B991" s="713"/>
      <c r="C991" s="714"/>
      <c r="D991" s="715"/>
      <c r="E991" s="714"/>
      <c r="F991" s="715"/>
      <c r="G991" s="716"/>
      <c r="H991" s="717"/>
      <c r="I991" s="713"/>
      <c r="J991" s="718"/>
      <c r="K991" s="718"/>
      <c r="L991" s="718"/>
      <c r="M991" s="713"/>
      <c r="N991" s="718"/>
      <c r="O991" s="662"/>
      <c r="P991" s="662"/>
      <c r="Q991" s="718"/>
      <c r="R991" s="662"/>
      <c r="S991" s="672"/>
      <c r="T991" s="672"/>
      <c r="U991" s="672"/>
      <c r="V991" s="672"/>
    </row>
    <row r="992">
      <c r="A992" s="705"/>
      <c r="B992" s="706"/>
      <c r="C992" s="707"/>
      <c r="D992" s="708"/>
      <c r="E992" s="707"/>
      <c r="F992" s="708"/>
      <c r="G992" s="709"/>
      <c r="H992" s="710"/>
      <c r="I992" s="706"/>
      <c r="J992" s="711"/>
      <c r="K992" s="711"/>
      <c r="L992" s="711"/>
      <c r="M992" s="706"/>
      <c r="N992" s="711"/>
      <c r="O992" s="655"/>
      <c r="P992" s="655"/>
      <c r="Q992" s="711"/>
      <c r="R992" s="655"/>
      <c r="S992" s="674"/>
      <c r="T992" s="674"/>
      <c r="U992" s="674"/>
      <c r="V992" s="674"/>
    </row>
    <row r="993">
      <c r="A993" s="712"/>
      <c r="B993" s="713"/>
      <c r="C993" s="714"/>
      <c r="D993" s="715"/>
      <c r="E993" s="714"/>
      <c r="F993" s="715"/>
      <c r="G993" s="716"/>
      <c r="H993" s="717"/>
      <c r="I993" s="713"/>
      <c r="J993" s="718"/>
      <c r="K993" s="718"/>
      <c r="L993" s="718"/>
      <c r="M993" s="713"/>
      <c r="N993" s="718"/>
      <c r="O993" s="662"/>
      <c r="P993" s="662"/>
      <c r="Q993" s="718"/>
      <c r="R993" s="662"/>
      <c r="S993" s="672"/>
      <c r="T993" s="672"/>
      <c r="U993" s="672"/>
      <c r="V993" s="672"/>
    </row>
    <row r="994">
      <c r="A994" s="705"/>
      <c r="B994" s="706"/>
      <c r="C994" s="707"/>
      <c r="D994" s="708"/>
      <c r="E994" s="707"/>
      <c r="F994" s="708"/>
      <c r="G994" s="709"/>
      <c r="H994" s="710"/>
      <c r="I994" s="706"/>
      <c r="J994" s="711"/>
      <c r="K994" s="711"/>
      <c r="L994" s="711"/>
      <c r="M994" s="706"/>
      <c r="N994" s="711"/>
      <c r="O994" s="655"/>
      <c r="P994" s="655"/>
      <c r="Q994" s="711"/>
      <c r="R994" s="655"/>
      <c r="S994" s="674"/>
      <c r="T994" s="674"/>
      <c r="U994" s="674"/>
      <c r="V994" s="674"/>
    </row>
    <row r="995">
      <c r="A995" s="712"/>
      <c r="B995" s="713"/>
      <c r="C995" s="714"/>
      <c r="D995" s="715"/>
      <c r="E995" s="714"/>
      <c r="F995" s="715"/>
      <c r="G995" s="716"/>
      <c r="H995" s="717"/>
      <c r="I995" s="713"/>
      <c r="J995" s="718"/>
      <c r="K995" s="718"/>
      <c r="L995" s="718"/>
      <c r="M995" s="713"/>
      <c r="N995" s="718"/>
      <c r="O995" s="662"/>
      <c r="P995" s="662"/>
      <c r="Q995" s="718"/>
      <c r="R995" s="662"/>
      <c r="S995" s="672"/>
      <c r="T995" s="672"/>
      <c r="U995" s="672"/>
      <c r="V995" s="672"/>
    </row>
    <row r="996">
      <c r="A996" s="705"/>
      <c r="B996" s="706"/>
      <c r="C996" s="707"/>
      <c r="D996" s="708"/>
      <c r="E996" s="707"/>
      <c r="F996" s="708"/>
      <c r="G996" s="709"/>
      <c r="H996" s="710"/>
      <c r="I996" s="706"/>
      <c r="J996" s="711"/>
      <c r="K996" s="711"/>
      <c r="L996" s="711"/>
      <c r="M996" s="706"/>
      <c r="N996" s="711"/>
      <c r="O996" s="655"/>
      <c r="P996" s="655"/>
      <c r="Q996" s="711"/>
      <c r="R996" s="655"/>
      <c r="S996" s="674"/>
      <c r="T996" s="674"/>
      <c r="U996" s="674"/>
      <c r="V996" s="674"/>
    </row>
    <row r="997">
      <c r="A997" s="712"/>
      <c r="B997" s="713"/>
      <c r="C997" s="714"/>
      <c r="D997" s="715"/>
      <c r="E997" s="714"/>
      <c r="F997" s="715"/>
      <c r="G997" s="716"/>
      <c r="H997" s="717"/>
      <c r="I997" s="713"/>
      <c r="J997" s="718"/>
      <c r="K997" s="718"/>
      <c r="L997" s="718"/>
      <c r="M997" s="713"/>
      <c r="N997" s="718"/>
      <c r="O997" s="662"/>
      <c r="P997" s="662"/>
      <c r="Q997" s="718"/>
      <c r="R997" s="662"/>
      <c r="S997" s="672"/>
      <c r="T997" s="672"/>
      <c r="U997" s="672"/>
      <c r="V997" s="672"/>
    </row>
    <row r="998">
      <c r="A998" s="705"/>
      <c r="B998" s="706"/>
      <c r="C998" s="707"/>
      <c r="D998" s="708"/>
      <c r="E998" s="707"/>
      <c r="F998" s="708"/>
      <c r="G998" s="709"/>
      <c r="H998" s="710"/>
      <c r="I998" s="706"/>
      <c r="J998" s="711"/>
      <c r="K998" s="711"/>
      <c r="L998" s="711"/>
      <c r="M998" s="706"/>
      <c r="N998" s="711"/>
      <c r="O998" s="655"/>
      <c r="P998" s="655"/>
      <c r="Q998" s="711"/>
      <c r="R998" s="655"/>
      <c r="S998" s="674"/>
      <c r="T998" s="674"/>
      <c r="U998" s="674"/>
      <c r="V998" s="674"/>
    </row>
    <row r="999">
      <c r="A999" s="712"/>
      <c r="B999" s="713"/>
      <c r="C999" s="714"/>
      <c r="D999" s="715"/>
      <c r="E999" s="714"/>
      <c r="F999" s="715"/>
      <c r="G999" s="716"/>
      <c r="H999" s="717"/>
      <c r="I999" s="713"/>
      <c r="J999" s="718"/>
      <c r="K999" s="718"/>
      <c r="L999" s="718"/>
      <c r="M999" s="713"/>
      <c r="N999" s="718"/>
      <c r="O999" s="662"/>
      <c r="P999" s="662"/>
      <c r="Q999" s="718"/>
      <c r="R999" s="662"/>
      <c r="S999" s="672"/>
      <c r="T999" s="672"/>
      <c r="U999" s="672"/>
      <c r="V999" s="672"/>
    </row>
    <row r="1000">
      <c r="A1000" s="705"/>
      <c r="B1000" s="706"/>
      <c r="C1000" s="707"/>
      <c r="D1000" s="708"/>
      <c r="E1000" s="707"/>
      <c r="F1000" s="708"/>
      <c r="G1000" s="709"/>
      <c r="H1000" s="710"/>
      <c r="I1000" s="706"/>
      <c r="J1000" s="711"/>
      <c r="K1000" s="711"/>
      <c r="L1000" s="711"/>
      <c r="M1000" s="706"/>
      <c r="N1000" s="711"/>
      <c r="O1000" s="655"/>
      <c r="P1000" s="655"/>
      <c r="Q1000" s="711"/>
      <c r="R1000" s="655"/>
      <c r="S1000" s="674"/>
      <c r="T1000" s="674"/>
      <c r="U1000" s="674"/>
      <c r="V1000" s="674"/>
    </row>
    <row r="1001">
      <c r="A1001" s="712"/>
      <c r="B1001" s="713"/>
      <c r="C1001" s="714"/>
      <c r="D1001" s="715"/>
      <c r="E1001" s="714"/>
      <c r="F1001" s="715"/>
      <c r="G1001" s="716"/>
      <c r="H1001" s="717"/>
      <c r="I1001" s="713"/>
      <c r="J1001" s="718"/>
      <c r="K1001" s="718"/>
      <c r="L1001" s="718"/>
      <c r="M1001" s="713"/>
      <c r="N1001" s="718"/>
      <c r="O1001" s="662"/>
      <c r="P1001" s="662"/>
      <c r="Q1001" s="718"/>
      <c r="R1001" s="662"/>
      <c r="S1001" s="672"/>
      <c r="T1001" s="672"/>
      <c r="U1001" s="672"/>
      <c r="V1001" s="672"/>
    </row>
    <row r="1002">
      <c r="A1002" s="705"/>
      <c r="B1002" s="706"/>
      <c r="C1002" s="707"/>
      <c r="D1002" s="708"/>
      <c r="E1002" s="707"/>
      <c r="F1002" s="708"/>
      <c r="G1002" s="709"/>
      <c r="H1002" s="710"/>
      <c r="I1002" s="706"/>
      <c r="J1002" s="711"/>
      <c r="K1002" s="711"/>
      <c r="L1002" s="711"/>
      <c r="M1002" s="706"/>
      <c r="N1002" s="711"/>
      <c r="O1002" s="655"/>
      <c r="P1002" s="655"/>
      <c r="Q1002" s="711"/>
      <c r="R1002" s="655"/>
      <c r="S1002" s="674"/>
      <c r="T1002" s="674"/>
      <c r="U1002" s="674"/>
      <c r="V1002" s="674"/>
    </row>
    <row r="1003">
      <c r="A1003" s="712"/>
      <c r="B1003" s="713"/>
      <c r="C1003" s="714"/>
      <c r="D1003" s="715"/>
      <c r="E1003" s="714"/>
      <c r="F1003" s="715"/>
      <c r="G1003" s="716"/>
      <c r="H1003" s="717"/>
      <c r="I1003" s="713"/>
      <c r="J1003" s="718"/>
      <c r="K1003" s="718"/>
      <c r="L1003" s="718"/>
      <c r="M1003" s="713"/>
      <c r="N1003" s="718"/>
      <c r="O1003" s="662"/>
      <c r="P1003" s="662"/>
      <c r="Q1003" s="718"/>
      <c r="R1003" s="662"/>
      <c r="S1003" s="672"/>
      <c r="T1003" s="672"/>
      <c r="U1003" s="672"/>
      <c r="V1003" s="672"/>
    </row>
    <row r="1004">
      <c r="A1004" s="705"/>
      <c r="B1004" s="706"/>
      <c r="C1004" s="707"/>
      <c r="D1004" s="708"/>
      <c r="E1004" s="707"/>
      <c r="F1004" s="708"/>
      <c r="G1004" s="709"/>
      <c r="H1004" s="710"/>
      <c r="I1004" s="706"/>
      <c r="J1004" s="711"/>
      <c r="K1004" s="711"/>
      <c r="L1004" s="711"/>
      <c r="M1004" s="706"/>
      <c r="N1004" s="711"/>
      <c r="O1004" s="655"/>
      <c r="P1004" s="655"/>
      <c r="Q1004" s="711"/>
      <c r="R1004" s="655"/>
      <c r="S1004" s="674"/>
      <c r="T1004" s="674"/>
      <c r="U1004" s="674"/>
      <c r="V1004" s="674"/>
    </row>
    <row r="1005">
      <c r="A1005" s="712"/>
      <c r="B1005" s="713"/>
      <c r="C1005" s="714"/>
      <c r="D1005" s="715"/>
      <c r="E1005" s="714"/>
      <c r="F1005" s="715"/>
      <c r="G1005" s="716"/>
      <c r="H1005" s="717"/>
      <c r="I1005" s="713"/>
      <c r="J1005" s="718"/>
      <c r="K1005" s="718"/>
      <c r="L1005" s="718"/>
      <c r="M1005" s="713"/>
      <c r="N1005" s="718"/>
      <c r="O1005" s="662"/>
      <c r="P1005" s="662"/>
      <c r="Q1005" s="718"/>
      <c r="R1005" s="662"/>
      <c r="S1005" s="672"/>
      <c r="T1005" s="672"/>
      <c r="U1005" s="672"/>
      <c r="V1005" s="672"/>
    </row>
    <row r="1006">
      <c r="A1006" s="705"/>
      <c r="B1006" s="706"/>
      <c r="C1006" s="707"/>
      <c r="D1006" s="708"/>
      <c r="E1006" s="707"/>
      <c r="F1006" s="708"/>
      <c r="G1006" s="709"/>
      <c r="H1006" s="710"/>
      <c r="I1006" s="706"/>
      <c r="J1006" s="711"/>
      <c r="K1006" s="711"/>
      <c r="L1006" s="711"/>
      <c r="M1006" s="706"/>
      <c r="N1006" s="711"/>
      <c r="O1006" s="655"/>
      <c r="P1006" s="655"/>
      <c r="Q1006" s="711"/>
      <c r="R1006" s="655"/>
      <c r="S1006" s="674"/>
      <c r="T1006" s="674"/>
      <c r="U1006" s="674"/>
      <c r="V1006" s="674"/>
    </row>
    <row r="1007">
      <c r="A1007" s="712"/>
      <c r="B1007" s="713"/>
      <c r="C1007" s="714"/>
      <c r="D1007" s="715"/>
      <c r="E1007" s="714"/>
      <c r="F1007" s="715"/>
      <c r="G1007" s="716"/>
      <c r="H1007" s="717"/>
      <c r="I1007" s="713"/>
      <c r="J1007" s="718"/>
      <c r="K1007" s="718"/>
      <c r="L1007" s="718"/>
      <c r="M1007" s="713"/>
      <c r="N1007" s="718"/>
      <c r="O1007" s="662"/>
      <c r="P1007" s="662"/>
      <c r="Q1007" s="718"/>
      <c r="R1007" s="662"/>
      <c r="S1007" s="672"/>
      <c r="T1007" s="672"/>
      <c r="U1007" s="672"/>
      <c r="V1007" s="672"/>
    </row>
    <row r="1008">
      <c r="A1008" s="705"/>
      <c r="B1008" s="706"/>
      <c r="C1008" s="707"/>
      <c r="D1008" s="708"/>
      <c r="E1008" s="707"/>
      <c r="F1008" s="708"/>
      <c r="G1008" s="709"/>
      <c r="H1008" s="710"/>
      <c r="I1008" s="706"/>
      <c r="J1008" s="711"/>
      <c r="K1008" s="711"/>
      <c r="L1008" s="711"/>
      <c r="M1008" s="706"/>
      <c r="N1008" s="711"/>
      <c r="O1008" s="655"/>
      <c r="P1008" s="655"/>
      <c r="Q1008" s="711"/>
      <c r="R1008" s="655"/>
      <c r="S1008" s="674"/>
      <c r="T1008" s="674"/>
      <c r="U1008" s="674"/>
      <c r="V1008" s="674"/>
    </row>
    <row r="1009">
      <c r="A1009" s="712"/>
      <c r="B1009" s="713"/>
      <c r="C1009" s="714"/>
      <c r="D1009" s="715"/>
      <c r="E1009" s="714"/>
      <c r="F1009" s="715"/>
      <c r="G1009" s="716"/>
      <c r="H1009" s="717"/>
      <c r="I1009" s="713"/>
      <c r="J1009" s="718"/>
      <c r="K1009" s="718"/>
      <c r="L1009" s="718"/>
      <c r="M1009" s="713"/>
      <c r="N1009" s="718"/>
      <c r="O1009" s="662"/>
      <c r="P1009" s="662"/>
      <c r="Q1009" s="718"/>
      <c r="R1009" s="662"/>
      <c r="S1009" s="672"/>
      <c r="T1009" s="672"/>
      <c r="U1009" s="672"/>
      <c r="V1009" s="672"/>
    </row>
    <row r="1010">
      <c r="A1010" s="705"/>
      <c r="B1010" s="706"/>
      <c r="C1010" s="707"/>
      <c r="D1010" s="708"/>
      <c r="E1010" s="707"/>
      <c r="F1010" s="708"/>
      <c r="G1010" s="709"/>
      <c r="H1010" s="710"/>
      <c r="I1010" s="706"/>
      <c r="J1010" s="711"/>
      <c r="K1010" s="711"/>
      <c r="L1010" s="711"/>
      <c r="M1010" s="706"/>
      <c r="N1010" s="711"/>
      <c r="O1010" s="655"/>
      <c r="P1010" s="655"/>
      <c r="Q1010" s="711"/>
      <c r="R1010" s="655"/>
      <c r="S1010" s="674"/>
      <c r="T1010" s="674"/>
      <c r="U1010" s="674"/>
      <c r="V1010" s="674"/>
    </row>
    <row r="1011">
      <c r="A1011" s="712"/>
      <c r="B1011" s="713"/>
      <c r="C1011" s="714"/>
      <c r="D1011" s="715"/>
      <c r="E1011" s="714"/>
      <c r="F1011" s="715"/>
      <c r="G1011" s="716"/>
      <c r="H1011" s="717"/>
      <c r="I1011" s="713"/>
      <c r="J1011" s="718"/>
      <c r="K1011" s="718"/>
      <c r="L1011" s="718"/>
      <c r="M1011" s="713"/>
      <c r="N1011" s="718"/>
      <c r="O1011" s="662"/>
      <c r="P1011" s="662"/>
      <c r="Q1011" s="718"/>
      <c r="R1011" s="662"/>
      <c r="S1011" s="672"/>
      <c r="T1011" s="672"/>
      <c r="U1011" s="672"/>
      <c r="V1011" s="672"/>
    </row>
    <row r="1012">
      <c r="A1012" s="705"/>
      <c r="B1012" s="706"/>
      <c r="C1012" s="707"/>
      <c r="D1012" s="708"/>
      <c r="E1012" s="707"/>
      <c r="F1012" s="708"/>
      <c r="G1012" s="709"/>
      <c r="H1012" s="710"/>
      <c r="I1012" s="706"/>
      <c r="J1012" s="711"/>
      <c r="K1012" s="711"/>
      <c r="L1012" s="711"/>
      <c r="M1012" s="706"/>
      <c r="N1012" s="711"/>
      <c r="O1012" s="655"/>
      <c r="P1012" s="655"/>
      <c r="Q1012" s="711"/>
      <c r="R1012" s="655"/>
      <c r="S1012" s="674"/>
      <c r="T1012" s="674"/>
      <c r="U1012" s="674"/>
      <c r="V1012" s="674"/>
    </row>
    <row r="1013">
      <c r="A1013" s="712"/>
      <c r="B1013" s="713"/>
      <c r="C1013" s="714"/>
      <c r="D1013" s="715"/>
      <c r="E1013" s="714"/>
      <c r="F1013" s="715"/>
      <c r="G1013" s="716"/>
      <c r="H1013" s="717"/>
      <c r="I1013" s="713"/>
      <c r="J1013" s="718"/>
      <c r="K1013" s="718"/>
      <c r="L1013" s="718"/>
      <c r="M1013" s="713"/>
      <c r="N1013" s="718"/>
      <c r="O1013" s="662"/>
      <c r="P1013" s="662"/>
      <c r="Q1013" s="718"/>
      <c r="R1013" s="662"/>
      <c r="S1013" s="672"/>
      <c r="T1013" s="672"/>
      <c r="U1013" s="672"/>
      <c r="V1013" s="672"/>
    </row>
    <row r="1014">
      <c r="A1014" s="705"/>
      <c r="B1014" s="706"/>
      <c r="C1014" s="707"/>
      <c r="D1014" s="708"/>
      <c r="E1014" s="707"/>
      <c r="F1014" s="708"/>
      <c r="G1014" s="709"/>
      <c r="H1014" s="710"/>
      <c r="I1014" s="706"/>
      <c r="J1014" s="711"/>
      <c r="K1014" s="711"/>
      <c r="L1014" s="711"/>
      <c r="M1014" s="706"/>
      <c r="N1014" s="711"/>
      <c r="O1014" s="655"/>
      <c r="P1014" s="655"/>
      <c r="Q1014" s="711"/>
      <c r="R1014" s="655"/>
      <c r="S1014" s="674"/>
      <c r="T1014" s="674"/>
      <c r="U1014" s="674"/>
      <c r="V1014" s="674"/>
    </row>
    <row r="1015">
      <c r="A1015" s="712"/>
      <c r="B1015" s="713"/>
      <c r="C1015" s="714"/>
      <c r="D1015" s="715"/>
      <c r="E1015" s="714"/>
      <c r="F1015" s="715"/>
      <c r="G1015" s="716"/>
      <c r="H1015" s="717"/>
      <c r="I1015" s="713"/>
      <c r="J1015" s="718"/>
      <c r="K1015" s="718"/>
      <c r="L1015" s="718"/>
      <c r="M1015" s="713"/>
      <c r="N1015" s="718"/>
      <c r="O1015" s="662"/>
      <c r="P1015" s="662"/>
      <c r="Q1015" s="718"/>
      <c r="R1015" s="662"/>
      <c r="S1015" s="672"/>
      <c r="T1015" s="672"/>
      <c r="U1015" s="672"/>
      <c r="V1015" s="672"/>
    </row>
    <row r="1016">
      <c r="A1016" s="705"/>
      <c r="B1016" s="706"/>
      <c r="C1016" s="707"/>
      <c r="D1016" s="708"/>
      <c r="E1016" s="707"/>
      <c r="F1016" s="708"/>
      <c r="G1016" s="709"/>
      <c r="H1016" s="710"/>
      <c r="I1016" s="706"/>
      <c r="J1016" s="711"/>
      <c r="K1016" s="711"/>
      <c r="L1016" s="711"/>
      <c r="M1016" s="706"/>
      <c r="N1016" s="711"/>
      <c r="O1016" s="655"/>
      <c r="P1016" s="655"/>
      <c r="Q1016" s="711"/>
      <c r="R1016" s="655"/>
      <c r="S1016" s="674"/>
      <c r="T1016" s="674"/>
      <c r="U1016" s="674"/>
      <c r="V1016" s="674"/>
    </row>
    <row r="1017">
      <c r="A1017" s="712"/>
      <c r="B1017" s="713"/>
      <c r="C1017" s="714"/>
      <c r="D1017" s="715"/>
      <c r="E1017" s="714"/>
      <c r="F1017" s="715"/>
      <c r="G1017" s="716"/>
      <c r="H1017" s="717"/>
      <c r="I1017" s="713"/>
      <c r="J1017" s="718"/>
      <c r="K1017" s="718"/>
      <c r="L1017" s="718"/>
      <c r="M1017" s="713"/>
      <c r="N1017" s="718"/>
      <c r="O1017" s="662"/>
      <c r="P1017" s="662"/>
      <c r="Q1017" s="718"/>
      <c r="R1017" s="662"/>
      <c r="S1017" s="672"/>
      <c r="T1017" s="672"/>
      <c r="U1017" s="672"/>
      <c r="V1017" s="672"/>
    </row>
    <row r="1018">
      <c r="A1018" s="781"/>
      <c r="B1018" s="655"/>
      <c r="C1018" s="711"/>
      <c r="D1018" s="711"/>
      <c r="E1018" s="711"/>
      <c r="F1018" s="711"/>
      <c r="G1018" s="655"/>
      <c r="H1018" s="711"/>
      <c r="I1018" s="655"/>
      <c r="J1018" s="711"/>
      <c r="K1018" s="711"/>
      <c r="L1018" s="711"/>
      <c r="M1018" s="655"/>
      <c r="N1018" s="711"/>
      <c r="O1018" s="655"/>
      <c r="P1018" s="655"/>
      <c r="Q1018" s="711"/>
      <c r="R1018" s="655"/>
      <c r="S1018" s="674"/>
      <c r="T1018" s="674"/>
      <c r="U1018" s="674"/>
      <c r="V1018" s="674"/>
    </row>
    <row r="1019">
      <c r="A1019" s="782"/>
      <c r="B1019" s="662"/>
      <c r="C1019" s="718"/>
      <c r="D1019" s="718"/>
      <c r="E1019" s="718"/>
      <c r="F1019" s="718"/>
      <c r="G1019" s="662"/>
      <c r="H1019" s="718"/>
      <c r="I1019" s="662"/>
      <c r="J1019" s="718"/>
      <c r="K1019" s="718"/>
      <c r="L1019" s="718"/>
      <c r="M1019" s="662"/>
      <c r="N1019" s="718"/>
      <c r="O1019" s="662"/>
      <c r="P1019" s="662"/>
      <c r="Q1019" s="718"/>
      <c r="R1019" s="662"/>
      <c r="S1019" s="672"/>
      <c r="T1019" s="672"/>
      <c r="U1019" s="672"/>
      <c r="V1019" s="672"/>
    </row>
  </sheetData>
  <mergeCells count="12">
    <mergeCell ref="A22:H22"/>
    <mergeCell ref="A42:H42"/>
    <mergeCell ref="A50:H50"/>
    <mergeCell ref="A64:H64"/>
    <mergeCell ref="A70:H70"/>
    <mergeCell ref="B3:C3"/>
    <mergeCell ref="D3:E3"/>
    <mergeCell ref="F3:G3"/>
    <mergeCell ref="A4:H4"/>
    <mergeCell ref="I14:L14"/>
    <mergeCell ref="A16:H16"/>
    <mergeCell ref="J24:L24"/>
  </mergeCell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1" t="s">
        <v>215</v>
      </c>
      <c r="B1" s="513" t="s">
        <v>31</v>
      </c>
      <c r="C1" s="719" t="s">
        <v>40</v>
      </c>
      <c r="D1" s="518" t="s">
        <v>42</v>
      </c>
      <c r="E1" s="519" t="s">
        <v>16</v>
      </c>
      <c r="F1" s="520" t="s">
        <v>321</v>
      </c>
      <c r="G1" s="522" t="s">
        <v>322</v>
      </c>
      <c r="H1" s="523" t="s">
        <v>323</v>
      </c>
      <c r="I1" s="524"/>
      <c r="J1" s="524" t="s">
        <v>226</v>
      </c>
      <c r="K1" s="524" t="s">
        <v>227</v>
      </c>
      <c r="L1" s="526"/>
      <c r="M1" s="527" t="s">
        <v>228</v>
      </c>
      <c r="N1" s="527" t="s">
        <v>230</v>
      </c>
      <c r="O1" s="527"/>
      <c r="P1" s="528"/>
      <c r="Q1" s="528"/>
      <c r="R1" s="528"/>
      <c r="S1" s="528"/>
      <c r="T1" s="528"/>
      <c r="U1" s="529"/>
      <c r="V1" s="528"/>
      <c r="W1" s="529"/>
      <c r="X1" s="528"/>
      <c r="Y1" s="528"/>
      <c r="Z1" s="528"/>
      <c r="AA1" s="528"/>
      <c r="AB1" s="528"/>
      <c r="AC1" s="529"/>
      <c r="AD1" s="528"/>
    </row>
    <row r="2">
      <c r="A2" s="564" t="s">
        <v>246</v>
      </c>
      <c r="B2" s="565"/>
      <c r="C2" s="565"/>
      <c r="D2" s="565"/>
      <c r="E2" s="720"/>
      <c r="F2" s="592"/>
      <c r="G2" s="567"/>
      <c r="H2" s="568"/>
      <c r="I2" s="539"/>
      <c r="J2" s="539" t="s">
        <v>233</v>
      </c>
      <c r="K2" s="539"/>
      <c r="L2" s="540">
        <v>1.0</v>
      </c>
      <c r="M2" s="540" t="s">
        <v>234</v>
      </c>
      <c r="N2" s="540"/>
      <c r="O2" s="540">
        <v>1.0</v>
      </c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41"/>
      <c r="AB2" s="529"/>
      <c r="AC2" s="529"/>
      <c r="AD2" s="529"/>
    </row>
    <row r="3">
      <c r="A3" s="575" t="s">
        <v>30</v>
      </c>
      <c r="B3" s="547">
        <v>520.0</v>
      </c>
      <c r="C3" s="550">
        <v>570.0</v>
      </c>
      <c r="D3" s="583">
        <v>620.0</v>
      </c>
      <c r="E3" s="584" t="s">
        <v>251</v>
      </c>
      <c r="F3" s="721">
        <f t="shared" ref="F3:H3" si="1">B3/2.05</f>
        <v>253.6585366</v>
      </c>
      <c r="G3" s="722">
        <f t="shared" si="1"/>
        <v>278.0487805</v>
      </c>
      <c r="H3" s="723">
        <f t="shared" si="1"/>
        <v>302.4390244</v>
      </c>
      <c r="I3" s="552"/>
      <c r="J3" s="552">
        <f t="shared" ref="J3:J21" si="3">CEILING(1000/L3,1)</f>
        <v>500</v>
      </c>
      <c r="K3" s="552">
        <f t="shared" ref="K3:K21" si="4">CEILING(1000/(L3-1)-1,1)</f>
        <v>999</v>
      </c>
      <c r="L3" s="558">
        <v>2.0</v>
      </c>
      <c r="M3" s="559">
        <f t="shared" ref="M3:M21" si="5">CEILING(760/O3,1)</f>
        <v>380</v>
      </c>
      <c r="N3" s="559">
        <f t="shared" ref="N3:N21" si="6">CEILING(760/(O3-1)-1,1)</f>
        <v>759</v>
      </c>
      <c r="O3" s="558">
        <v>2.0</v>
      </c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41"/>
      <c r="AB3" s="529"/>
      <c r="AC3" s="529"/>
      <c r="AD3" s="529"/>
    </row>
    <row r="4">
      <c r="A4" s="591" t="s">
        <v>44</v>
      </c>
      <c r="B4" s="592"/>
      <c r="C4" s="567">
        <v>640.0</v>
      </c>
      <c r="D4" s="604">
        <v>700.0</v>
      </c>
      <c r="E4" s="606" t="s">
        <v>260</v>
      </c>
      <c r="F4" s="724"/>
      <c r="G4" s="725">
        <f t="shared" ref="G4:H4" si="2">C4/2.08</f>
        <v>307.6923077</v>
      </c>
      <c r="H4" s="726">
        <f t="shared" si="2"/>
        <v>336.5384615</v>
      </c>
      <c r="I4" s="539"/>
      <c r="J4" s="539">
        <f t="shared" si="3"/>
        <v>334</v>
      </c>
      <c r="K4" s="539">
        <f t="shared" si="4"/>
        <v>499</v>
      </c>
      <c r="L4" s="540">
        <v>3.0</v>
      </c>
      <c r="M4" s="570">
        <f t="shared" si="5"/>
        <v>254</v>
      </c>
      <c r="N4" s="570">
        <f t="shared" si="6"/>
        <v>379</v>
      </c>
      <c r="O4" s="540">
        <v>3.0</v>
      </c>
      <c r="P4" s="528"/>
      <c r="Q4" s="528"/>
      <c r="R4" s="528"/>
      <c r="S4" s="528"/>
      <c r="T4" s="528"/>
      <c r="U4" s="528"/>
      <c r="V4" s="528"/>
      <c r="W4" s="528"/>
      <c r="X4" s="528"/>
      <c r="Y4" s="528"/>
      <c r="Z4" s="528"/>
      <c r="AA4" s="528"/>
      <c r="AB4" s="541"/>
      <c r="AC4" s="541"/>
      <c r="AD4" s="541"/>
    </row>
    <row r="5">
      <c r="A5" s="611" t="s">
        <v>48</v>
      </c>
      <c r="B5" s="585"/>
      <c r="C5" s="588">
        <v>820.0</v>
      </c>
      <c r="D5" s="616">
        <v>900.0</v>
      </c>
      <c r="E5" s="617" t="s">
        <v>264</v>
      </c>
      <c r="F5" s="727"/>
      <c r="G5" s="722">
        <f t="shared" ref="G5:H5" si="7">C5/2.15</f>
        <v>381.3953488</v>
      </c>
      <c r="H5" s="723">
        <f t="shared" si="7"/>
        <v>418.6046512</v>
      </c>
      <c r="I5" s="552"/>
      <c r="J5" s="552">
        <f t="shared" si="3"/>
        <v>250</v>
      </c>
      <c r="K5" s="552">
        <f t="shared" si="4"/>
        <v>333</v>
      </c>
      <c r="L5" s="558">
        <v>4.0</v>
      </c>
      <c r="M5" s="559">
        <f t="shared" si="5"/>
        <v>190</v>
      </c>
      <c r="N5" s="559">
        <f t="shared" si="6"/>
        <v>253</v>
      </c>
      <c r="O5" s="558">
        <v>4.0</v>
      </c>
      <c r="P5" s="528"/>
      <c r="Q5" s="528"/>
      <c r="R5" s="528"/>
      <c r="S5" s="528"/>
      <c r="T5" s="528"/>
      <c r="U5" s="528"/>
      <c r="V5" s="528"/>
      <c r="W5" s="528"/>
      <c r="X5" s="528"/>
      <c r="Y5" s="528"/>
      <c r="Z5" s="528"/>
      <c r="AA5" s="528"/>
      <c r="AB5" s="541"/>
      <c r="AC5" s="541"/>
      <c r="AD5" s="541"/>
    </row>
    <row r="6">
      <c r="A6" s="591" t="s">
        <v>51</v>
      </c>
      <c r="B6" s="592"/>
      <c r="C6" s="567">
        <v>900.0</v>
      </c>
      <c r="D6" s="604">
        <v>960.0</v>
      </c>
      <c r="E6" s="606" t="s">
        <v>266</v>
      </c>
      <c r="F6" s="724"/>
      <c r="G6" s="725">
        <f t="shared" ref="G6:H6" si="8">C6/2.22</f>
        <v>405.4054054</v>
      </c>
      <c r="H6" s="726">
        <f t="shared" si="8"/>
        <v>432.4324324</v>
      </c>
      <c r="I6" s="539"/>
      <c r="J6" s="539">
        <f t="shared" si="3"/>
        <v>200</v>
      </c>
      <c r="K6" s="539">
        <f t="shared" si="4"/>
        <v>249</v>
      </c>
      <c r="L6" s="540">
        <v>5.0</v>
      </c>
      <c r="M6" s="570">
        <f t="shared" si="5"/>
        <v>152</v>
      </c>
      <c r="N6" s="570">
        <f t="shared" si="6"/>
        <v>189</v>
      </c>
      <c r="O6" s="540">
        <v>5.0</v>
      </c>
      <c r="P6" s="528"/>
      <c r="Q6" s="528"/>
      <c r="R6" s="528"/>
      <c r="S6" s="528"/>
      <c r="T6" s="528"/>
      <c r="U6" s="528"/>
      <c r="V6" s="528"/>
      <c r="W6" s="528"/>
      <c r="X6" s="528"/>
      <c r="Y6" s="528"/>
      <c r="Z6" s="528"/>
      <c r="AA6" s="528"/>
      <c r="AB6" s="528"/>
      <c r="AC6" s="528"/>
      <c r="AD6" s="528"/>
    </row>
    <row r="7">
      <c r="A7" s="611" t="s">
        <v>53</v>
      </c>
      <c r="B7" s="585"/>
      <c r="C7" s="588">
        <v>700.0</v>
      </c>
      <c r="D7" s="616">
        <v>750.0</v>
      </c>
      <c r="E7" s="617" t="s">
        <v>264</v>
      </c>
      <c r="F7" s="721"/>
      <c r="G7" s="722">
        <f t="shared" ref="G7:H7" si="9">C7/2.15</f>
        <v>325.5813953</v>
      </c>
      <c r="H7" s="723">
        <f t="shared" si="9"/>
        <v>348.8372093</v>
      </c>
      <c r="I7" s="552"/>
      <c r="J7" s="552">
        <f t="shared" si="3"/>
        <v>167</v>
      </c>
      <c r="K7" s="552">
        <f t="shared" si="4"/>
        <v>199</v>
      </c>
      <c r="L7" s="558">
        <v>6.0</v>
      </c>
      <c r="M7" s="559">
        <f t="shared" si="5"/>
        <v>127</v>
      </c>
      <c r="N7" s="559">
        <f t="shared" si="6"/>
        <v>151</v>
      </c>
      <c r="O7" s="558">
        <v>6.0</v>
      </c>
      <c r="P7" s="528"/>
      <c r="Q7" s="528"/>
      <c r="R7" s="528"/>
      <c r="S7" s="528"/>
      <c r="T7" s="528"/>
      <c r="U7" s="528"/>
      <c r="V7" s="528"/>
      <c r="W7" s="528"/>
      <c r="X7" s="528"/>
      <c r="Y7" s="528"/>
      <c r="Z7" s="528"/>
      <c r="AA7" s="528"/>
      <c r="AB7" s="541"/>
      <c r="AC7" s="541"/>
      <c r="AD7" s="541"/>
    </row>
    <row r="8">
      <c r="A8" s="591" t="s">
        <v>55</v>
      </c>
      <c r="B8" s="592">
        <v>900.0</v>
      </c>
      <c r="C8" s="567">
        <v>960.0</v>
      </c>
      <c r="D8" s="604">
        <v>1060.0</v>
      </c>
      <c r="E8" s="606" t="s">
        <v>271</v>
      </c>
      <c r="F8" s="724">
        <f t="shared" ref="F8:H8" si="10">B8/2.3</f>
        <v>391.3043478</v>
      </c>
      <c r="G8" s="725">
        <f t="shared" si="10"/>
        <v>417.3913043</v>
      </c>
      <c r="H8" s="726">
        <f t="shared" si="10"/>
        <v>460.8695652</v>
      </c>
      <c r="I8" s="539"/>
      <c r="J8" s="539">
        <f t="shared" si="3"/>
        <v>143</v>
      </c>
      <c r="K8" s="539">
        <f t="shared" si="4"/>
        <v>166</v>
      </c>
      <c r="L8" s="540">
        <v>7.0</v>
      </c>
      <c r="M8" s="570">
        <f t="shared" si="5"/>
        <v>109</v>
      </c>
      <c r="N8" s="570">
        <f t="shared" si="6"/>
        <v>126</v>
      </c>
      <c r="O8" s="540">
        <v>7.0</v>
      </c>
      <c r="P8" s="528"/>
      <c r="Q8" s="528"/>
      <c r="R8" s="528"/>
      <c r="S8" s="528"/>
      <c r="T8" s="528"/>
      <c r="U8" s="528"/>
      <c r="V8" s="528"/>
      <c r="W8" s="528"/>
      <c r="X8" s="528"/>
      <c r="Y8" s="528"/>
      <c r="Z8" s="528"/>
      <c r="AA8" s="528"/>
      <c r="AB8" s="528"/>
      <c r="AC8" s="528"/>
      <c r="AD8" s="528"/>
    </row>
    <row r="9">
      <c r="A9" s="611" t="s">
        <v>57</v>
      </c>
      <c r="B9" s="585"/>
      <c r="C9" s="588">
        <v>2300.0</v>
      </c>
      <c r="D9" s="616">
        <v>2500.0</v>
      </c>
      <c r="E9" s="617" t="s">
        <v>272</v>
      </c>
      <c r="F9" s="721"/>
      <c r="G9" s="722">
        <f t="shared" ref="G9:H9" si="11">C9/2.35</f>
        <v>978.7234043</v>
      </c>
      <c r="H9" s="723">
        <f t="shared" si="11"/>
        <v>1063.829787</v>
      </c>
      <c r="I9" s="552"/>
      <c r="J9" s="552">
        <f t="shared" si="3"/>
        <v>125</v>
      </c>
      <c r="K9" s="552">
        <f t="shared" si="4"/>
        <v>142</v>
      </c>
      <c r="L9" s="558">
        <v>8.0</v>
      </c>
      <c r="M9" s="559">
        <f t="shared" si="5"/>
        <v>95</v>
      </c>
      <c r="N9" s="559">
        <f t="shared" si="6"/>
        <v>108</v>
      </c>
      <c r="O9" s="558">
        <v>8.0</v>
      </c>
      <c r="P9" s="528"/>
      <c r="Q9" s="528"/>
      <c r="R9" s="528"/>
      <c r="S9" s="528"/>
      <c r="T9" s="528"/>
      <c r="U9" s="528"/>
      <c r="V9" s="528"/>
      <c r="W9" s="528"/>
      <c r="X9" s="528"/>
      <c r="Y9" s="528"/>
      <c r="Z9" s="528"/>
      <c r="AA9" s="528"/>
      <c r="AB9" s="528"/>
      <c r="AC9" s="528"/>
      <c r="AD9" s="528"/>
    </row>
    <row r="10">
      <c r="A10" s="591" t="s">
        <v>273</v>
      </c>
      <c r="B10" s="592"/>
      <c r="C10" s="567" t="s">
        <v>324</v>
      </c>
      <c r="D10" s="604" t="s">
        <v>325</v>
      </c>
      <c r="E10" s="626"/>
      <c r="F10" s="728"/>
      <c r="G10" s="725"/>
      <c r="H10" s="726"/>
      <c r="I10" s="539"/>
      <c r="J10" s="539">
        <f t="shared" si="3"/>
        <v>112</v>
      </c>
      <c r="K10" s="539">
        <f t="shared" si="4"/>
        <v>124</v>
      </c>
      <c r="L10" s="540">
        <v>9.0</v>
      </c>
      <c r="M10" s="570">
        <f t="shared" si="5"/>
        <v>85</v>
      </c>
      <c r="N10" s="570">
        <f t="shared" si="6"/>
        <v>94</v>
      </c>
      <c r="O10" s="540">
        <v>9.0</v>
      </c>
      <c r="P10" s="528"/>
      <c r="Q10" s="528"/>
      <c r="R10" s="528"/>
      <c r="S10" s="528"/>
      <c r="T10" s="528"/>
      <c r="U10" s="528"/>
      <c r="V10" s="528"/>
      <c r="W10" s="528"/>
      <c r="X10" s="528"/>
      <c r="Y10" s="528"/>
      <c r="Z10" s="528"/>
      <c r="AA10" s="528"/>
      <c r="AB10" s="541"/>
      <c r="AC10" s="541"/>
      <c r="AD10" s="541"/>
    </row>
    <row r="11">
      <c r="A11" s="611" t="s">
        <v>136</v>
      </c>
      <c r="B11" s="585"/>
      <c r="C11" s="588" t="s">
        <v>326</v>
      </c>
      <c r="D11" s="677"/>
      <c r="E11" s="617" t="s">
        <v>275</v>
      </c>
      <c r="F11" s="721"/>
      <c r="G11" s="722" t="s">
        <v>327</v>
      </c>
      <c r="H11" s="723"/>
      <c r="I11" s="552"/>
      <c r="J11" s="552">
        <f t="shared" si="3"/>
        <v>100</v>
      </c>
      <c r="K11" s="552">
        <f t="shared" si="4"/>
        <v>111</v>
      </c>
      <c r="L11" s="558">
        <v>10.0</v>
      </c>
      <c r="M11" s="559">
        <f t="shared" si="5"/>
        <v>76</v>
      </c>
      <c r="N11" s="559">
        <f t="shared" si="6"/>
        <v>84</v>
      </c>
      <c r="O11" s="558">
        <v>10.0</v>
      </c>
      <c r="P11" s="528"/>
      <c r="Q11" s="528"/>
      <c r="R11" s="528"/>
      <c r="S11" s="528"/>
      <c r="T11" s="528"/>
      <c r="U11" s="528"/>
      <c r="V11" s="528"/>
      <c r="W11" s="528"/>
      <c r="X11" s="528"/>
      <c r="Y11" s="528"/>
      <c r="Z11" s="528"/>
      <c r="AA11" s="541"/>
      <c r="AB11" s="541"/>
      <c r="AC11" s="541"/>
      <c r="AD11" s="541"/>
    </row>
    <row r="12">
      <c r="A12" s="591" t="s">
        <v>114</v>
      </c>
      <c r="B12" s="592"/>
      <c r="C12" s="567" t="s">
        <v>233</v>
      </c>
      <c r="D12" s="645"/>
      <c r="E12" s="606" t="s">
        <v>278</v>
      </c>
      <c r="F12" s="724"/>
      <c r="G12" s="725" t="s">
        <v>328</v>
      </c>
      <c r="H12" s="726"/>
      <c r="I12" s="539"/>
      <c r="J12" s="539">
        <f t="shared" si="3"/>
        <v>91</v>
      </c>
      <c r="K12" s="539">
        <f t="shared" si="4"/>
        <v>99</v>
      </c>
      <c r="L12" s="540">
        <v>11.0</v>
      </c>
      <c r="M12" s="570">
        <f t="shared" si="5"/>
        <v>70</v>
      </c>
      <c r="N12" s="570">
        <f t="shared" si="6"/>
        <v>75</v>
      </c>
      <c r="O12" s="540">
        <v>11.0</v>
      </c>
      <c r="P12" s="528"/>
      <c r="Q12" s="528"/>
      <c r="R12" s="528"/>
      <c r="S12" s="528"/>
      <c r="T12" s="528"/>
      <c r="U12" s="528"/>
      <c r="V12" s="528"/>
      <c r="W12" s="528"/>
      <c r="X12" s="528"/>
      <c r="Y12" s="528"/>
      <c r="Z12" s="528"/>
      <c r="AA12" s="528"/>
      <c r="AB12" s="528"/>
      <c r="AC12" s="528"/>
      <c r="AD12" s="528"/>
    </row>
    <row r="13">
      <c r="A13" s="632"/>
      <c r="B13" s="633"/>
      <c r="C13" s="703"/>
      <c r="D13" s="638"/>
      <c r="E13" s="639"/>
      <c r="F13" s="721"/>
      <c r="G13" s="722"/>
      <c r="H13" s="723"/>
      <c r="I13" s="552"/>
      <c r="J13" s="552">
        <f t="shared" si="3"/>
        <v>84</v>
      </c>
      <c r="K13" s="552">
        <f t="shared" si="4"/>
        <v>90</v>
      </c>
      <c r="L13" s="558">
        <v>12.0</v>
      </c>
      <c r="M13" s="559">
        <f t="shared" si="5"/>
        <v>64</v>
      </c>
      <c r="N13" s="559">
        <f t="shared" si="6"/>
        <v>69</v>
      </c>
      <c r="O13" s="558">
        <v>12.0</v>
      </c>
      <c r="P13" s="528"/>
      <c r="Q13" s="528"/>
      <c r="R13" s="528"/>
      <c r="S13" s="528"/>
      <c r="T13" s="528"/>
      <c r="U13" s="528"/>
      <c r="V13" s="528"/>
      <c r="W13" s="528"/>
      <c r="X13" s="528"/>
      <c r="Y13" s="528"/>
      <c r="Z13" s="528"/>
      <c r="AA13" s="528"/>
      <c r="AB13" s="529"/>
      <c r="AC13" s="541"/>
      <c r="AD13" s="541"/>
    </row>
    <row r="14">
      <c r="A14" s="564" t="s">
        <v>282</v>
      </c>
      <c r="B14" s="565"/>
      <c r="C14" s="565"/>
      <c r="D14" s="565"/>
      <c r="E14" s="720"/>
      <c r="F14" s="724"/>
      <c r="G14" s="725"/>
      <c r="H14" s="726"/>
      <c r="I14" s="539"/>
      <c r="J14" s="539">
        <f t="shared" si="3"/>
        <v>77</v>
      </c>
      <c r="K14" s="539">
        <f t="shared" si="4"/>
        <v>83</v>
      </c>
      <c r="L14" s="540">
        <v>13.0</v>
      </c>
      <c r="M14" s="570">
        <f t="shared" si="5"/>
        <v>59</v>
      </c>
      <c r="N14" s="570">
        <f t="shared" si="6"/>
        <v>63</v>
      </c>
      <c r="O14" s="540">
        <v>13.0</v>
      </c>
      <c r="P14" s="528"/>
      <c r="Q14" s="528"/>
      <c r="R14" s="528"/>
      <c r="S14" s="528"/>
      <c r="T14" s="528"/>
      <c r="U14" s="528"/>
      <c r="V14" s="528"/>
      <c r="W14" s="528"/>
      <c r="X14" s="528"/>
      <c r="Y14" s="528"/>
      <c r="Z14" s="528"/>
      <c r="AA14" s="528"/>
      <c r="AB14" s="529"/>
      <c r="AC14" s="541"/>
      <c r="AD14" s="541"/>
    </row>
    <row r="15">
      <c r="A15" s="575" t="s">
        <v>60</v>
      </c>
      <c r="B15" s="547">
        <v>300.0</v>
      </c>
      <c r="C15" s="550">
        <v>320.0</v>
      </c>
      <c r="D15" s="583"/>
      <c r="E15" s="642"/>
      <c r="F15" s="721"/>
      <c r="G15" s="722"/>
      <c r="H15" s="723"/>
      <c r="I15" s="552"/>
      <c r="J15" s="552">
        <f t="shared" si="3"/>
        <v>72</v>
      </c>
      <c r="K15" s="552">
        <f t="shared" si="4"/>
        <v>76</v>
      </c>
      <c r="L15" s="558">
        <v>14.0</v>
      </c>
      <c r="M15" s="559">
        <f t="shared" si="5"/>
        <v>55</v>
      </c>
      <c r="N15" s="559">
        <f t="shared" si="6"/>
        <v>58</v>
      </c>
      <c r="O15" s="558">
        <v>14.0</v>
      </c>
      <c r="P15" s="528"/>
      <c r="Q15" s="528"/>
      <c r="R15" s="528"/>
      <c r="S15" s="528"/>
      <c r="T15" s="528"/>
      <c r="U15" s="528"/>
      <c r="V15" s="528"/>
      <c r="W15" s="528"/>
      <c r="X15" s="528"/>
      <c r="Y15" s="528"/>
      <c r="Z15" s="528"/>
      <c r="AA15" s="541"/>
      <c r="AB15" s="541"/>
      <c r="AC15" s="541"/>
      <c r="AD15" s="541"/>
    </row>
    <row r="16">
      <c r="A16" s="591" t="s">
        <v>62</v>
      </c>
      <c r="B16" s="592">
        <v>240.0</v>
      </c>
      <c r="C16" s="567">
        <v>260.0</v>
      </c>
      <c r="D16" s="645"/>
      <c r="E16" s="626"/>
      <c r="F16" s="724"/>
      <c r="G16" s="725"/>
      <c r="H16" s="726"/>
      <c r="I16" s="539"/>
      <c r="J16" s="539">
        <f t="shared" si="3"/>
        <v>67</v>
      </c>
      <c r="K16" s="539">
        <f t="shared" si="4"/>
        <v>71</v>
      </c>
      <c r="L16" s="540">
        <v>15.0</v>
      </c>
      <c r="M16" s="570">
        <f t="shared" si="5"/>
        <v>51</v>
      </c>
      <c r="N16" s="570">
        <f t="shared" si="6"/>
        <v>54</v>
      </c>
      <c r="O16" s="540">
        <v>15.0</v>
      </c>
      <c r="P16" s="528"/>
      <c r="Q16" s="528"/>
      <c r="R16" s="528"/>
      <c r="S16" s="528"/>
      <c r="T16" s="528"/>
      <c r="U16" s="528"/>
      <c r="V16" s="528"/>
      <c r="W16" s="528"/>
      <c r="X16" s="528"/>
      <c r="Y16" s="528"/>
      <c r="Z16" s="528"/>
      <c r="AA16" s="528"/>
      <c r="AB16" s="528"/>
      <c r="AC16" s="528"/>
      <c r="AD16" s="528"/>
    </row>
    <row r="17">
      <c r="A17" s="611" t="s">
        <v>63</v>
      </c>
      <c r="B17" s="646"/>
      <c r="C17" s="588" t="s">
        <v>329</v>
      </c>
      <c r="D17" s="616" t="s">
        <v>330</v>
      </c>
      <c r="E17" s="617">
        <v>705.0</v>
      </c>
      <c r="F17" s="721"/>
      <c r="G17" s="722">
        <f>VALUE(RIGHT(C17,3))*E17/60</f>
        <v>1351.25</v>
      </c>
      <c r="H17" s="723">
        <f>VALUE(RIGHT(D17,3))*E17/60</f>
        <v>1410</v>
      </c>
      <c r="I17" s="552"/>
      <c r="J17" s="552">
        <f t="shared" si="3"/>
        <v>63</v>
      </c>
      <c r="K17" s="552">
        <f t="shared" si="4"/>
        <v>66</v>
      </c>
      <c r="L17" s="558">
        <v>16.0</v>
      </c>
      <c r="M17" s="559">
        <f t="shared" si="5"/>
        <v>48</v>
      </c>
      <c r="N17" s="559">
        <f t="shared" si="6"/>
        <v>50</v>
      </c>
      <c r="O17" s="558">
        <v>16.0</v>
      </c>
      <c r="P17" s="528"/>
      <c r="Q17" s="528"/>
      <c r="R17" s="528"/>
      <c r="S17" s="528"/>
      <c r="T17" s="528"/>
      <c r="U17" s="528"/>
      <c r="V17" s="528"/>
      <c r="W17" s="528"/>
      <c r="X17" s="528"/>
      <c r="Y17" s="528"/>
      <c r="Z17" s="528"/>
      <c r="AA17" s="528"/>
      <c r="AB17" s="541"/>
      <c r="AC17" s="541"/>
      <c r="AD17" s="541"/>
    </row>
    <row r="18">
      <c r="A18" s="591" t="s">
        <v>65</v>
      </c>
      <c r="B18" s="651"/>
      <c r="C18" s="567">
        <v>110.0</v>
      </c>
      <c r="D18" s="604">
        <v>120.0</v>
      </c>
      <c r="E18" s="626"/>
      <c r="F18" s="724"/>
      <c r="G18" s="725"/>
      <c r="H18" s="726"/>
      <c r="I18" s="539"/>
      <c r="J18" s="539">
        <f t="shared" si="3"/>
        <v>59</v>
      </c>
      <c r="K18" s="539">
        <f t="shared" si="4"/>
        <v>62</v>
      </c>
      <c r="L18" s="540">
        <v>17.0</v>
      </c>
      <c r="M18" s="570">
        <f t="shared" si="5"/>
        <v>45</v>
      </c>
      <c r="N18" s="570">
        <f t="shared" si="6"/>
        <v>47</v>
      </c>
      <c r="O18" s="540">
        <v>17.0</v>
      </c>
      <c r="P18" s="528"/>
      <c r="Q18" s="528"/>
      <c r="R18" s="528"/>
      <c r="S18" s="528"/>
      <c r="T18" s="528"/>
      <c r="U18" s="528"/>
      <c r="V18" s="528"/>
      <c r="W18" s="528"/>
      <c r="X18" s="528"/>
      <c r="Y18" s="528"/>
      <c r="Z18" s="528"/>
      <c r="AA18" s="528"/>
      <c r="AB18" s="541"/>
      <c r="AC18" s="541"/>
      <c r="AD18" s="541"/>
    </row>
    <row r="19">
      <c r="A19" s="652" t="s">
        <v>68</v>
      </c>
      <c r="B19" s="653"/>
      <c r="C19" s="703">
        <v>110.0</v>
      </c>
      <c r="D19" s="638">
        <v>120.0</v>
      </c>
      <c r="E19" s="654"/>
      <c r="F19" s="721"/>
      <c r="G19" s="722"/>
      <c r="H19" s="723"/>
      <c r="I19" s="552"/>
      <c r="J19" s="552">
        <f t="shared" si="3"/>
        <v>56</v>
      </c>
      <c r="K19" s="552">
        <f t="shared" si="4"/>
        <v>58</v>
      </c>
      <c r="L19" s="558">
        <v>18.0</v>
      </c>
      <c r="M19" s="559">
        <f t="shared" si="5"/>
        <v>43</v>
      </c>
      <c r="N19" s="559">
        <f t="shared" si="6"/>
        <v>44</v>
      </c>
      <c r="O19" s="558">
        <v>18.0</v>
      </c>
      <c r="P19" s="528"/>
      <c r="Q19" s="528"/>
      <c r="R19" s="528"/>
      <c r="S19" s="528"/>
      <c r="T19" s="528"/>
      <c r="U19" s="528"/>
      <c r="V19" s="528"/>
      <c r="W19" s="528"/>
      <c r="X19" s="528"/>
      <c r="Y19" s="528"/>
      <c r="Z19" s="528"/>
      <c r="AA19" s="528"/>
      <c r="AB19" s="528"/>
      <c r="AC19" s="528"/>
      <c r="AD19" s="528"/>
    </row>
    <row r="20">
      <c r="A20" s="564" t="s">
        <v>2</v>
      </c>
      <c r="B20" s="565"/>
      <c r="C20" s="565"/>
      <c r="D20" s="565"/>
      <c r="E20" s="720"/>
      <c r="F20" s="724"/>
      <c r="G20" s="725"/>
      <c r="H20" s="726"/>
      <c r="I20" s="539"/>
      <c r="J20" s="539">
        <f t="shared" si="3"/>
        <v>53</v>
      </c>
      <c r="K20" s="539">
        <f t="shared" si="4"/>
        <v>55</v>
      </c>
      <c r="L20" s="540">
        <v>19.0</v>
      </c>
      <c r="M20" s="570">
        <f t="shared" si="5"/>
        <v>40</v>
      </c>
      <c r="N20" s="570">
        <f t="shared" si="6"/>
        <v>42</v>
      </c>
      <c r="O20" s="540">
        <v>19.0</v>
      </c>
      <c r="P20" s="528"/>
      <c r="Q20" s="528"/>
      <c r="R20" s="528"/>
      <c r="S20" s="528"/>
      <c r="T20" s="528"/>
      <c r="U20" s="528"/>
      <c r="V20" s="528"/>
      <c r="W20" s="528"/>
      <c r="X20" s="528"/>
      <c r="Y20" s="528"/>
      <c r="Z20" s="528"/>
      <c r="AA20" s="528"/>
      <c r="AB20" s="529"/>
      <c r="AC20" s="541"/>
      <c r="AD20" s="541"/>
    </row>
    <row r="21">
      <c r="A21" s="575" t="s">
        <v>38</v>
      </c>
      <c r="B21" s="547" t="s">
        <v>330</v>
      </c>
      <c r="C21" s="550" t="s">
        <v>331</v>
      </c>
      <c r="D21" s="661"/>
      <c r="E21" s="584">
        <v>735.0</v>
      </c>
      <c r="F21" s="722">
        <f>VALUE(RIGHT(B21,3))*E21/60</f>
        <v>1470</v>
      </c>
      <c r="G21" s="722">
        <f t="shared" ref="G21:G39" si="12">VALUE(RIGHT(C21,3))*E21/60</f>
        <v>1653.75</v>
      </c>
      <c r="H21" s="723"/>
      <c r="I21" s="552"/>
      <c r="J21" s="552">
        <f t="shared" si="3"/>
        <v>50</v>
      </c>
      <c r="K21" s="552">
        <f t="shared" si="4"/>
        <v>52</v>
      </c>
      <c r="L21" s="558">
        <v>20.0</v>
      </c>
      <c r="M21" s="559">
        <f t="shared" si="5"/>
        <v>38</v>
      </c>
      <c r="N21" s="559">
        <f t="shared" si="6"/>
        <v>39</v>
      </c>
      <c r="O21" s="558">
        <v>20.0</v>
      </c>
      <c r="P21" s="528"/>
      <c r="Q21" s="528"/>
      <c r="R21" s="528"/>
      <c r="S21" s="528"/>
      <c r="T21" s="528"/>
      <c r="U21" s="528"/>
      <c r="V21" s="528"/>
      <c r="W21" s="528"/>
      <c r="X21" s="528"/>
      <c r="Y21" s="528"/>
      <c r="Z21" s="528"/>
      <c r="AA21" s="528"/>
      <c r="AB21" s="541"/>
      <c r="AC21" s="528"/>
      <c r="AD21" s="528"/>
    </row>
    <row r="22">
      <c r="A22" s="591" t="s">
        <v>290</v>
      </c>
      <c r="B22" s="592"/>
      <c r="C22" s="567" t="s">
        <v>332</v>
      </c>
      <c r="D22" s="645"/>
      <c r="E22" s="606">
        <v>828.0</v>
      </c>
      <c r="F22" s="725"/>
      <c r="G22" s="725">
        <f t="shared" si="12"/>
        <v>2553</v>
      </c>
      <c r="H22" s="726"/>
      <c r="I22" s="539"/>
      <c r="J22" s="539"/>
      <c r="K22" s="655"/>
      <c r="L22" s="570"/>
      <c r="M22" s="570"/>
      <c r="N22" s="570"/>
      <c r="O22" s="656"/>
      <c r="P22" s="528"/>
      <c r="Q22" s="528"/>
      <c r="R22" s="528"/>
      <c r="S22" s="528"/>
      <c r="T22" s="528"/>
      <c r="U22" s="528"/>
      <c r="V22" s="528"/>
      <c r="W22" s="528"/>
      <c r="X22" s="528"/>
      <c r="Y22" s="528"/>
      <c r="Z22" s="528"/>
      <c r="AA22" s="528"/>
      <c r="AB22" s="528"/>
      <c r="AC22" s="528"/>
      <c r="AD22" s="528"/>
    </row>
    <row r="23">
      <c r="A23" s="611" t="s">
        <v>47</v>
      </c>
      <c r="B23" s="585"/>
      <c r="C23" s="588" t="s">
        <v>333</v>
      </c>
      <c r="D23" s="616" t="s">
        <v>334</v>
      </c>
      <c r="E23" s="617">
        <v>877.0</v>
      </c>
      <c r="F23" s="722"/>
      <c r="G23" s="722">
        <f t="shared" si="12"/>
        <v>1900.166667</v>
      </c>
      <c r="H23" s="723">
        <f t="shared" ref="H23:H28" si="13">VALUE(RIGHT(D23,3))*E23/60</f>
        <v>2119.416667</v>
      </c>
      <c r="I23" s="552"/>
      <c r="J23" s="552"/>
      <c r="K23" s="662"/>
      <c r="L23" s="559"/>
      <c r="M23" s="559"/>
      <c r="N23" s="663"/>
      <c r="O23" s="663"/>
      <c r="P23" s="541"/>
      <c r="Q23" s="528"/>
      <c r="R23" s="528"/>
      <c r="S23" s="528"/>
      <c r="T23" s="528"/>
      <c r="U23" s="528"/>
      <c r="V23" s="528"/>
      <c r="W23" s="528"/>
      <c r="X23" s="528"/>
      <c r="Y23" s="528"/>
      <c r="Z23" s="528"/>
      <c r="AA23" s="528"/>
      <c r="AB23" s="541"/>
      <c r="AC23" s="541"/>
      <c r="AD23" s="541"/>
    </row>
    <row r="24">
      <c r="A24" s="591" t="s">
        <v>59</v>
      </c>
      <c r="B24" s="592"/>
      <c r="C24" s="567" t="s">
        <v>335</v>
      </c>
      <c r="D24" s="604" t="s">
        <v>336</v>
      </c>
      <c r="E24" s="606">
        <v>844.0</v>
      </c>
      <c r="F24" s="725"/>
      <c r="G24" s="725">
        <f t="shared" si="12"/>
        <v>2321</v>
      </c>
      <c r="H24" s="726">
        <f t="shared" si="13"/>
        <v>2532</v>
      </c>
      <c r="I24" s="539"/>
      <c r="J24" s="539"/>
      <c r="K24" s="539"/>
      <c r="L24" s="540"/>
      <c r="M24" s="570"/>
      <c r="N24" s="656"/>
      <c r="O24" s="656"/>
      <c r="P24" s="541"/>
      <c r="Q24" s="528"/>
      <c r="R24" s="528"/>
      <c r="S24" s="528"/>
      <c r="T24" s="528"/>
      <c r="U24" s="528"/>
      <c r="V24" s="528"/>
      <c r="W24" s="528"/>
      <c r="X24" s="528"/>
      <c r="Y24" s="528"/>
      <c r="Z24" s="528"/>
      <c r="AA24" s="528"/>
      <c r="AB24" s="541"/>
      <c r="AC24" s="541"/>
      <c r="AD24" s="541"/>
    </row>
    <row r="25">
      <c r="A25" s="611" t="s">
        <v>292</v>
      </c>
      <c r="B25" s="585"/>
      <c r="C25" s="588" t="s">
        <v>337</v>
      </c>
      <c r="D25" s="616" t="s">
        <v>338</v>
      </c>
      <c r="E25" s="617">
        <v>682.0</v>
      </c>
      <c r="F25" s="722"/>
      <c r="G25" s="722">
        <f t="shared" si="12"/>
        <v>1932.333333</v>
      </c>
      <c r="H25" s="723">
        <f t="shared" si="13"/>
        <v>2102.833333</v>
      </c>
      <c r="I25" s="552"/>
      <c r="J25" s="552"/>
      <c r="K25" s="552"/>
      <c r="L25" s="558"/>
      <c r="M25" s="559"/>
      <c r="N25" s="663"/>
      <c r="O25" s="663"/>
      <c r="P25" s="541"/>
      <c r="Q25" s="528"/>
      <c r="R25" s="528"/>
      <c r="S25" s="528"/>
      <c r="T25" s="528"/>
      <c r="U25" s="528"/>
      <c r="V25" s="528"/>
      <c r="W25" s="528"/>
      <c r="X25" s="528"/>
      <c r="Y25" s="528"/>
      <c r="Z25" s="528"/>
      <c r="AA25" s="528"/>
      <c r="AB25" s="528"/>
      <c r="AC25" s="528"/>
      <c r="AD25" s="528"/>
    </row>
    <row r="26">
      <c r="A26" s="591" t="s">
        <v>79</v>
      </c>
      <c r="B26" s="592" t="s">
        <v>339</v>
      </c>
      <c r="C26" s="567" t="s">
        <v>340</v>
      </c>
      <c r="D26" s="604" t="s">
        <v>341</v>
      </c>
      <c r="E26" s="606">
        <v>732.0</v>
      </c>
      <c r="F26" s="725">
        <f>VALUE(RIGHT(B26,3))*E26/60</f>
        <v>1525</v>
      </c>
      <c r="G26" s="725">
        <f t="shared" si="12"/>
        <v>1769</v>
      </c>
      <c r="H26" s="726">
        <f t="shared" si="13"/>
        <v>1891</v>
      </c>
      <c r="I26" s="539"/>
      <c r="J26" s="539"/>
      <c r="K26" s="539"/>
      <c r="L26" s="540"/>
      <c r="M26" s="570"/>
      <c r="N26" s="656"/>
      <c r="O26" s="656"/>
      <c r="P26" s="541"/>
      <c r="Q26" s="528"/>
      <c r="R26" s="528"/>
      <c r="S26" s="528"/>
      <c r="T26" s="528"/>
      <c r="U26" s="528"/>
      <c r="V26" s="528"/>
      <c r="W26" s="528"/>
      <c r="X26" s="528"/>
      <c r="Y26" s="528"/>
      <c r="Z26" s="528"/>
      <c r="AA26" s="528"/>
      <c r="AB26" s="529"/>
      <c r="AC26" s="529"/>
      <c r="AD26" s="529"/>
    </row>
    <row r="27">
      <c r="A27" s="611" t="s">
        <v>169</v>
      </c>
      <c r="B27" s="585"/>
      <c r="C27" s="588" t="s">
        <v>335</v>
      </c>
      <c r="D27" s="616" t="s">
        <v>336</v>
      </c>
      <c r="E27" s="617">
        <v>691.0</v>
      </c>
      <c r="F27" s="722"/>
      <c r="G27" s="722">
        <f t="shared" si="12"/>
        <v>1900.25</v>
      </c>
      <c r="H27" s="723">
        <f t="shared" si="13"/>
        <v>2073</v>
      </c>
      <c r="I27" s="662"/>
      <c r="J27" s="662"/>
      <c r="K27" s="552"/>
      <c r="L27" s="558"/>
      <c r="M27" s="672"/>
      <c r="N27" s="672"/>
      <c r="O27" s="672"/>
      <c r="P27" s="541"/>
      <c r="Q27" s="528"/>
      <c r="R27" s="528"/>
      <c r="S27" s="528"/>
      <c r="T27" s="528"/>
      <c r="U27" s="528"/>
      <c r="V27" s="528"/>
      <c r="W27" s="528"/>
      <c r="X27" s="528"/>
      <c r="Y27" s="528"/>
      <c r="Z27" s="528"/>
      <c r="AA27" s="528"/>
      <c r="AB27" s="541"/>
      <c r="AC27" s="541"/>
      <c r="AD27" s="541"/>
    </row>
    <row r="28">
      <c r="A28" s="591" t="s">
        <v>102</v>
      </c>
      <c r="B28" s="592" t="s">
        <v>341</v>
      </c>
      <c r="C28" s="567" t="s">
        <v>337</v>
      </c>
      <c r="D28" s="604" t="s">
        <v>338</v>
      </c>
      <c r="E28" s="606">
        <v>732.0</v>
      </c>
      <c r="F28" s="725">
        <f t="shared" ref="F28:F30" si="14">VALUE(RIGHT(B28,3))*E28/60</f>
        <v>1891</v>
      </c>
      <c r="G28" s="725">
        <f t="shared" si="12"/>
        <v>2074</v>
      </c>
      <c r="H28" s="726">
        <f t="shared" si="13"/>
        <v>2257</v>
      </c>
      <c r="I28" s="655"/>
      <c r="J28" s="655"/>
      <c r="K28" s="539"/>
      <c r="L28" s="540"/>
      <c r="M28" s="674"/>
      <c r="N28" s="674"/>
      <c r="O28" s="674"/>
      <c r="P28" s="541"/>
      <c r="Q28" s="528"/>
      <c r="R28" s="528"/>
      <c r="S28" s="528"/>
      <c r="T28" s="528"/>
      <c r="U28" s="528"/>
      <c r="V28" s="528"/>
      <c r="W28" s="528"/>
      <c r="X28" s="528"/>
      <c r="Y28" s="528"/>
      <c r="Z28" s="528"/>
      <c r="AA28" s="528"/>
      <c r="AB28" s="528"/>
      <c r="AC28" s="528"/>
      <c r="AD28" s="528"/>
    </row>
    <row r="29">
      <c r="A29" s="611" t="s">
        <v>128</v>
      </c>
      <c r="B29" s="585" t="s">
        <v>330</v>
      </c>
      <c r="C29" s="588" t="s">
        <v>331</v>
      </c>
      <c r="D29" s="677"/>
      <c r="E29" s="617">
        <v>970.0</v>
      </c>
      <c r="F29" s="722">
        <f t="shared" si="14"/>
        <v>1940</v>
      </c>
      <c r="G29" s="722">
        <f t="shared" si="12"/>
        <v>2182.5</v>
      </c>
      <c r="H29" s="723"/>
      <c r="I29" s="662"/>
      <c r="J29" s="662"/>
      <c r="K29" s="552"/>
      <c r="L29" s="558"/>
      <c r="M29" s="672"/>
      <c r="N29" s="672"/>
      <c r="O29" s="672"/>
    </row>
    <row r="30">
      <c r="A30" s="591" t="s">
        <v>138</v>
      </c>
      <c r="B30" s="592" t="s">
        <v>342</v>
      </c>
      <c r="C30" s="567" t="s">
        <v>343</v>
      </c>
      <c r="D30" s="645"/>
      <c r="E30" s="606">
        <v>695.0</v>
      </c>
      <c r="F30" s="725">
        <f t="shared" si="14"/>
        <v>1853.333333</v>
      </c>
      <c r="G30" s="725">
        <f t="shared" si="12"/>
        <v>2027.083333</v>
      </c>
      <c r="H30" s="726"/>
      <c r="I30" s="655"/>
      <c r="J30" s="655"/>
      <c r="K30" s="539"/>
      <c r="L30" s="540"/>
      <c r="M30" s="674"/>
      <c r="N30" s="674"/>
      <c r="O30" s="674"/>
    </row>
    <row r="31">
      <c r="A31" s="611" t="s">
        <v>293</v>
      </c>
      <c r="B31" s="585"/>
      <c r="C31" s="588">
        <v>185.0</v>
      </c>
      <c r="D31" s="616">
        <v>200.0</v>
      </c>
      <c r="E31" s="617">
        <v>620.0</v>
      </c>
      <c r="F31" s="722"/>
      <c r="G31" s="722">
        <f t="shared" si="12"/>
        <v>1911.666667</v>
      </c>
      <c r="H31" s="723">
        <f t="shared" ref="H31:H38" si="15">VALUE(RIGHT(D31,3))*E31/60</f>
        <v>2066.666667</v>
      </c>
      <c r="I31" s="662"/>
      <c r="J31" s="662"/>
      <c r="K31" s="552"/>
      <c r="L31" s="558"/>
      <c r="M31" s="672"/>
      <c r="N31" s="672"/>
      <c r="O31" s="672"/>
    </row>
    <row r="32">
      <c r="A32" s="591" t="s">
        <v>148</v>
      </c>
      <c r="B32" s="592" t="s">
        <v>344</v>
      </c>
      <c r="C32" s="567" t="s">
        <v>345</v>
      </c>
      <c r="D32" s="604" t="s">
        <v>346</v>
      </c>
      <c r="E32" s="606">
        <v>588.0</v>
      </c>
      <c r="F32" s="725">
        <f>VALUE(RIGHT(B32,3))*E32/60</f>
        <v>1568</v>
      </c>
      <c r="G32" s="725">
        <f t="shared" si="12"/>
        <v>1764</v>
      </c>
      <c r="H32" s="726">
        <f t="shared" si="15"/>
        <v>1911</v>
      </c>
      <c r="I32" s="655"/>
      <c r="J32" s="655"/>
      <c r="K32" s="539"/>
      <c r="L32" s="540"/>
      <c r="M32" s="674"/>
      <c r="N32" s="674"/>
      <c r="O32" s="674"/>
    </row>
    <row r="33">
      <c r="A33" s="681" t="s">
        <v>164</v>
      </c>
      <c r="B33" s="675"/>
      <c r="C33" s="588" t="s">
        <v>347</v>
      </c>
      <c r="D33" s="616" t="s">
        <v>337</v>
      </c>
      <c r="E33" s="617">
        <v>882.0</v>
      </c>
      <c r="F33" s="722"/>
      <c r="G33" s="722">
        <f t="shared" si="12"/>
        <v>2352</v>
      </c>
      <c r="H33" s="723">
        <f t="shared" si="15"/>
        <v>2499</v>
      </c>
      <c r="I33" s="552"/>
      <c r="J33" s="662"/>
      <c r="K33" s="552"/>
      <c r="L33" s="558"/>
      <c r="M33" s="672"/>
      <c r="N33" s="672"/>
      <c r="O33" s="672"/>
    </row>
    <row r="34">
      <c r="A34" s="682" t="s">
        <v>165</v>
      </c>
      <c r="B34" s="592" t="s">
        <v>348</v>
      </c>
      <c r="C34" s="567" t="s">
        <v>349</v>
      </c>
      <c r="D34" s="604" t="s">
        <v>350</v>
      </c>
      <c r="E34" s="606">
        <v>610.0</v>
      </c>
      <c r="F34" s="725">
        <f t="shared" ref="F34:F35" si="16">VALUE(RIGHT(B34,3))*E34/60</f>
        <v>1880.833333</v>
      </c>
      <c r="G34" s="725">
        <f t="shared" si="12"/>
        <v>2084.166667</v>
      </c>
      <c r="H34" s="726">
        <f t="shared" si="15"/>
        <v>2287.5</v>
      </c>
      <c r="I34" s="539"/>
      <c r="J34" s="655"/>
      <c r="K34" s="539"/>
      <c r="L34" s="540"/>
      <c r="M34" s="674"/>
      <c r="N34" s="674"/>
      <c r="O34" s="674"/>
    </row>
    <row r="35">
      <c r="A35" s="681" t="s">
        <v>166</v>
      </c>
      <c r="B35" s="585" t="s">
        <v>351</v>
      </c>
      <c r="C35" s="588" t="s">
        <v>341</v>
      </c>
      <c r="D35" s="616" t="s">
        <v>335</v>
      </c>
      <c r="E35" s="617">
        <v>780.0</v>
      </c>
      <c r="F35" s="722">
        <f t="shared" si="16"/>
        <v>1820</v>
      </c>
      <c r="G35" s="722">
        <f t="shared" si="12"/>
        <v>2015</v>
      </c>
      <c r="H35" s="723">
        <f t="shared" si="15"/>
        <v>2145</v>
      </c>
      <c r="I35" s="552"/>
      <c r="J35" s="662"/>
      <c r="K35" s="552"/>
      <c r="L35" s="558"/>
      <c r="M35" s="672"/>
      <c r="N35" s="672"/>
      <c r="O35" s="672"/>
    </row>
    <row r="36">
      <c r="A36" s="682" t="s">
        <v>167</v>
      </c>
      <c r="B36" s="683"/>
      <c r="C36" s="567" t="s">
        <v>341</v>
      </c>
      <c r="D36" s="604" t="s">
        <v>335</v>
      </c>
      <c r="E36" s="606">
        <v>832.0</v>
      </c>
      <c r="F36" s="725"/>
      <c r="G36" s="725">
        <f t="shared" si="12"/>
        <v>2149.333333</v>
      </c>
      <c r="H36" s="726">
        <f t="shared" si="15"/>
        <v>2288</v>
      </c>
      <c r="I36" s="539"/>
      <c r="J36" s="655"/>
      <c r="K36" s="539"/>
      <c r="L36" s="540"/>
      <c r="M36" s="674"/>
      <c r="N36" s="674"/>
      <c r="O36" s="674"/>
    </row>
    <row r="37">
      <c r="A37" s="681" t="s">
        <v>294</v>
      </c>
      <c r="B37" s="675"/>
      <c r="C37" s="588" t="s">
        <v>347</v>
      </c>
      <c r="D37" s="616" t="s">
        <v>337</v>
      </c>
      <c r="E37" s="617">
        <v>735.0</v>
      </c>
      <c r="F37" s="722"/>
      <c r="G37" s="722">
        <f t="shared" si="12"/>
        <v>1960</v>
      </c>
      <c r="H37" s="723">
        <f t="shared" si="15"/>
        <v>2082.5</v>
      </c>
      <c r="J37" s="662"/>
      <c r="K37" s="552"/>
      <c r="L37" s="558"/>
      <c r="M37" s="672"/>
      <c r="N37" s="672"/>
      <c r="O37" s="672"/>
    </row>
    <row r="38">
      <c r="A38" s="682" t="s">
        <v>170</v>
      </c>
      <c r="B38" s="683"/>
      <c r="C38" s="567" t="s">
        <v>341</v>
      </c>
      <c r="D38" s="604" t="s">
        <v>335</v>
      </c>
      <c r="E38" s="606">
        <v>828.0</v>
      </c>
      <c r="F38" s="725"/>
      <c r="G38" s="725">
        <f t="shared" si="12"/>
        <v>2139</v>
      </c>
      <c r="H38" s="726">
        <f t="shared" si="15"/>
        <v>2277</v>
      </c>
      <c r="I38" s="539"/>
      <c r="J38" s="655"/>
      <c r="K38" s="539"/>
      <c r="L38" s="540"/>
      <c r="M38" s="674"/>
      <c r="N38" s="674"/>
      <c r="O38" s="674"/>
    </row>
    <row r="39">
      <c r="A39" s="684" t="s">
        <v>171</v>
      </c>
      <c r="B39" s="685"/>
      <c r="C39" s="703" t="s">
        <v>347</v>
      </c>
      <c r="D39" s="638"/>
      <c r="E39" s="639">
        <v>686.0</v>
      </c>
      <c r="F39" s="722"/>
      <c r="G39" s="722">
        <f t="shared" si="12"/>
        <v>1829.333333</v>
      </c>
      <c r="H39" s="723"/>
      <c r="I39" s="552"/>
      <c r="J39" s="662"/>
      <c r="K39" s="552"/>
      <c r="L39" s="558"/>
      <c r="M39" s="672"/>
      <c r="N39" s="672"/>
      <c r="O39" s="672"/>
    </row>
    <row r="40">
      <c r="A40" s="564" t="s">
        <v>12</v>
      </c>
      <c r="B40" s="565"/>
      <c r="C40" s="565"/>
      <c r="D40" s="565"/>
      <c r="E40" s="720"/>
      <c r="F40" s="725"/>
      <c r="G40" s="725"/>
      <c r="H40" s="726"/>
      <c r="I40" s="655"/>
      <c r="J40" s="655"/>
      <c r="K40" s="539"/>
      <c r="L40" s="540"/>
      <c r="M40" s="674"/>
      <c r="N40" s="674"/>
      <c r="O40" s="674"/>
    </row>
    <row r="41">
      <c r="A41" s="691" t="s">
        <v>295</v>
      </c>
      <c r="B41" s="547">
        <v>95.0</v>
      </c>
      <c r="C41" s="550">
        <v>105.0</v>
      </c>
      <c r="D41" s="661"/>
      <c r="E41" s="584">
        <v>702.0</v>
      </c>
      <c r="F41" s="722">
        <f>VALUE(RIGHT(B41,3))*E41/60</f>
        <v>1111.5</v>
      </c>
      <c r="G41" s="722">
        <f t="shared" ref="G41:G46" si="17">VALUE(RIGHT(C41,3))*E41/60</f>
        <v>1228.5</v>
      </c>
      <c r="H41" s="723"/>
      <c r="I41" s="552"/>
      <c r="J41" s="662"/>
      <c r="K41" s="552"/>
      <c r="L41" s="558"/>
      <c r="M41" s="672"/>
      <c r="N41" s="672"/>
      <c r="O41" s="672"/>
    </row>
    <row r="42">
      <c r="A42" s="682" t="s">
        <v>296</v>
      </c>
      <c r="B42" s="683"/>
      <c r="C42" s="567">
        <v>135.0</v>
      </c>
      <c r="D42" s="604">
        <v>150.0</v>
      </c>
      <c r="E42" s="606">
        <v>698.0</v>
      </c>
      <c r="F42" s="725"/>
      <c r="G42" s="725">
        <f t="shared" si="17"/>
        <v>1570.5</v>
      </c>
      <c r="H42" s="726">
        <f t="shared" ref="H42:H43" si="18">VALUE(RIGHT(D42,3))*E42/60</f>
        <v>1745</v>
      </c>
      <c r="I42" s="539"/>
      <c r="J42" s="655"/>
      <c r="K42" s="539"/>
      <c r="L42" s="540"/>
      <c r="M42" s="674"/>
      <c r="N42" s="674"/>
      <c r="O42" s="674"/>
    </row>
    <row r="43">
      <c r="A43" s="681" t="s">
        <v>297</v>
      </c>
      <c r="B43" s="675"/>
      <c r="C43" s="588">
        <v>135.0</v>
      </c>
      <c r="D43" s="616">
        <v>150.0</v>
      </c>
      <c r="E43" s="617">
        <v>698.0</v>
      </c>
      <c r="F43" s="722"/>
      <c r="G43" s="722">
        <f t="shared" si="17"/>
        <v>1570.5</v>
      </c>
      <c r="H43" s="723">
        <f t="shared" si="18"/>
        <v>1745</v>
      </c>
      <c r="I43" s="552"/>
      <c r="J43" s="662"/>
      <c r="K43" s="552"/>
      <c r="L43" s="558"/>
      <c r="M43" s="672"/>
      <c r="N43" s="672"/>
      <c r="O43" s="672"/>
    </row>
    <row r="44">
      <c r="A44" s="682" t="s">
        <v>299</v>
      </c>
      <c r="B44" s="592">
        <v>115.0</v>
      </c>
      <c r="C44" s="567">
        <v>125.0</v>
      </c>
      <c r="D44" s="645"/>
      <c r="E44" s="606">
        <v>636.0</v>
      </c>
      <c r="F44" s="725">
        <f>VALUE(RIGHT(B44,3))*E44/60</f>
        <v>1219</v>
      </c>
      <c r="G44" s="725">
        <f t="shared" si="17"/>
        <v>1325</v>
      </c>
      <c r="H44" s="726"/>
      <c r="I44" s="539"/>
      <c r="J44" s="655"/>
      <c r="K44" s="539"/>
      <c r="L44" s="540"/>
      <c r="M44" s="674"/>
      <c r="N44" s="674"/>
      <c r="O44" s="674"/>
    </row>
    <row r="45">
      <c r="A45" s="681" t="s">
        <v>300</v>
      </c>
      <c r="B45" s="585"/>
      <c r="C45" s="588">
        <v>175.0</v>
      </c>
      <c r="D45" s="616">
        <v>185.0</v>
      </c>
      <c r="E45" s="617">
        <v>590.0</v>
      </c>
      <c r="F45" s="722"/>
      <c r="G45" s="722">
        <f t="shared" si="17"/>
        <v>1720.833333</v>
      </c>
      <c r="H45" s="723">
        <f t="shared" ref="H45:H46" si="19">VALUE(RIGHT(D45,3))*E45/60</f>
        <v>1819.166667</v>
      </c>
      <c r="I45" s="552"/>
      <c r="J45" s="662"/>
      <c r="K45" s="552"/>
      <c r="L45" s="558"/>
      <c r="M45" s="672"/>
      <c r="N45" s="672"/>
      <c r="O45" s="672"/>
    </row>
    <row r="46">
      <c r="A46" s="682" t="s">
        <v>301</v>
      </c>
      <c r="B46" s="683"/>
      <c r="C46" s="567">
        <v>100.0</v>
      </c>
      <c r="D46" s="604">
        <v>105.0</v>
      </c>
      <c r="E46" s="606">
        <v>891.0</v>
      </c>
      <c r="F46" s="725"/>
      <c r="G46" s="725">
        <f t="shared" si="17"/>
        <v>1485</v>
      </c>
      <c r="H46" s="726">
        <f t="shared" si="19"/>
        <v>1559.25</v>
      </c>
      <c r="I46" s="539"/>
      <c r="J46" s="655"/>
      <c r="K46" s="539"/>
      <c r="L46" s="540"/>
      <c r="M46" s="674"/>
      <c r="N46" s="674"/>
      <c r="O46" s="674"/>
    </row>
    <row r="47">
      <c r="A47" s="684"/>
      <c r="B47" s="685"/>
      <c r="C47" s="703"/>
      <c r="D47" s="638"/>
      <c r="E47" s="654"/>
      <c r="F47" s="722"/>
      <c r="G47" s="722"/>
      <c r="H47" s="723"/>
      <c r="I47" s="662"/>
      <c r="J47" s="662"/>
      <c r="K47" s="552"/>
      <c r="L47" s="558"/>
      <c r="M47" s="672"/>
      <c r="N47" s="672"/>
      <c r="O47" s="672"/>
    </row>
    <row r="48">
      <c r="A48" s="564" t="s">
        <v>302</v>
      </c>
      <c r="B48" s="565"/>
      <c r="C48" s="565"/>
      <c r="D48" s="565"/>
      <c r="E48" s="720"/>
      <c r="F48" s="725"/>
      <c r="G48" s="725"/>
      <c r="H48" s="726"/>
      <c r="I48" s="655"/>
      <c r="J48" s="655"/>
      <c r="K48" s="539"/>
      <c r="L48" s="540"/>
      <c r="M48" s="674"/>
      <c r="N48" s="674"/>
      <c r="O48" s="674"/>
    </row>
    <row r="49">
      <c r="A49" s="691" t="s">
        <v>39</v>
      </c>
      <c r="B49" s="695"/>
      <c r="C49" s="550" t="s">
        <v>352</v>
      </c>
      <c r="D49" s="583" t="s">
        <v>353</v>
      </c>
      <c r="E49" s="584">
        <v>780.0</v>
      </c>
      <c r="F49" s="722"/>
      <c r="G49" s="722">
        <f t="shared" ref="G49:G60" si="20">VALUE(RIGHT(C49,3))*E49/60</f>
        <v>1690</v>
      </c>
      <c r="H49" s="723">
        <f>VALUE(RIGHT(D49,3))*E49/60</f>
        <v>1820</v>
      </c>
      <c r="I49" s="552"/>
      <c r="J49" s="662"/>
      <c r="K49" s="552"/>
      <c r="L49" s="558"/>
      <c r="M49" s="672"/>
      <c r="N49" s="672"/>
      <c r="O49" s="672"/>
    </row>
    <row r="50">
      <c r="A50" s="682" t="s">
        <v>49</v>
      </c>
      <c r="B50" s="592" t="s">
        <v>349</v>
      </c>
      <c r="C50" s="567" t="s">
        <v>350</v>
      </c>
      <c r="D50" s="645"/>
      <c r="E50" s="606">
        <v>590.0</v>
      </c>
      <c r="F50" s="725">
        <f>VALUE(RIGHT(B50,3))*E50/60</f>
        <v>2015.833333</v>
      </c>
      <c r="G50" s="725">
        <f t="shared" si="20"/>
        <v>2212.5</v>
      </c>
      <c r="H50" s="726"/>
      <c r="I50" s="539"/>
      <c r="J50" s="655"/>
      <c r="K50" s="539"/>
      <c r="L50" s="540"/>
      <c r="M50" s="674"/>
      <c r="N50" s="674"/>
      <c r="O50" s="674"/>
    </row>
    <row r="51">
      <c r="A51" s="681" t="s">
        <v>61</v>
      </c>
      <c r="B51" s="675"/>
      <c r="C51" s="588" t="s">
        <v>347</v>
      </c>
      <c r="D51" s="616" t="s">
        <v>337</v>
      </c>
      <c r="E51" s="617">
        <v>878.0</v>
      </c>
      <c r="F51" s="722"/>
      <c r="G51" s="722">
        <f t="shared" si="20"/>
        <v>2341.333333</v>
      </c>
      <c r="H51" s="723">
        <f t="shared" ref="H51:H59" si="21">VALUE(RIGHT(D51,3))*E51/60</f>
        <v>2487.666667</v>
      </c>
      <c r="I51" s="552"/>
      <c r="J51" s="662"/>
      <c r="K51" s="552"/>
      <c r="L51" s="558"/>
      <c r="M51" s="672"/>
      <c r="N51" s="672"/>
      <c r="O51" s="672"/>
    </row>
    <row r="52">
      <c r="A52" s="682" t="s">
        <v>66</v>
      </c>
      <c r="B52" s="683"/>
      <c r="C52" s="567" t="s">
        <v>347</v>
      </c>
      <c r="D52" s="604" t="s">
        <v>337</v>
      </c>
      <c r="E52" s="606">
        <v>685.0</v>
      </c>
      <c r="F52" s="725"/>
      <c r="G52" s="725">
        <f t="shared" si="20"/>
        <v>1826.666667</v>
      </c>
      <c r="H52" s="726">
        <f t="shared" si="21"/>
        <v>1940.833333</v>
      </c>
      <c r="I52" s="539"/>
      <c r="J52" s="655"/>
      <c r="K52" s="655"/>
      <c r="L52" s="674"/>
      <c r="M52" s="674"/>
      <c r="N52" s="674"/>
      <c r="O52" s="674"/>
    </row>
    <row r="53">
      <c r="A53" s="681" t="s">
        <v>139</v>
      </c>
      <c r="B53" s="675"/>
      <c r="C53" s="588" t="s">
        <v>352</v>
      </c>
      <c r="D53" s="616" t="s">
        <v>353</v>
      </c>
      <c r="E53" s="617">
        <v>730.0</v>
      </c>
      <c r="F53" s="722"/>
      <c r="G53" s="722">
        <f t="shared" si="20"/>
        <v>1581.666667</v>
      </c>
      <c r="H53" s="723">
        <f t="shared" si="21"/>
        <v>1703.333333</v>
      </c>
      <c r="I53" s="552"/>
      <c r="J53" s="662"/>
      <c r="K53" s="662"/>
      <c r="L53" s="672"/>
      <c r="M53" s="672"/>
      <c r="N53" s="672"/>
      <c r="O53" s="672"/>
    </row>
    <row r="54">
      <c r="A54" s="682" t="s">
        <v>303</v>
      </c>
      <c r="B54" s="683"/>
      <c r="C54" s="567" t="s">
        <v>354</v>
      </c>
      <c r="D54" s="604" t="s">
        <v>352</v>
      </c>
      <c r="E54" s="606">
        <v>923.0</v>
      </c>
      <c r="F54" s="725"/>
      <c r="G54" s="725">
        <f t="shared" si="20"/>
        <v>1846</v>
      </c>
      <c r="H54" s="726">
        <f t="shared" si="21"/>
        <v>1999.833333</v>
      </c>
      <c r="I54" s="539"/>
      <c r="J54" s="655"/>
      <c r="K54" s="655"/>
      <c r="L54" s="674"/>
      <c r="M54" s="674"/>
      <c r="N54" s="674"/>
      <c r="O54" s="674"/>
    </row>
    <row r="55">
      <c r="A55" s="681" t="s">
        <v>77</v>
      </c>
      <c r="B55" s="675"/>
      <c r="C55" s="588" t="s">
        <v>355</v>
      </c>
      <c r="D55" s="616" t="s">
        <v>342</v>
      </c>
      <c r="E55" s="617">
        <v>828.0</v>
      </c>
      <c r="F55" s="722"/>
      <c r="G55" s="722">
        <f t="shared" si="20"/>
        <v>2070</v>
      </c>
      <c r="H55" s="723">
        <f t="shared" si="21"/>
        <v>2208</v>
      </c>
      <c r="I55" s="552"/>
      <c r="J55" s="662"/>
      <c r="K55" s="662"/>
      <c r="L55" s="672"/>
      <c r="M55" s="672"/>
      <c r="N55" s="672"/>
      <c r="O55" s="672"/>
    </row>
    <row r="56">
      <c r="A56" s="682" t="s">
        <v>96</v>
      </c>
      <c r="B56" s="683"/>
      <c r="C56" s="567" t="s">
        <v>347</v>
      </c>
      <c r="D56" s="604" t="s">
        <v>337</v>
      </c>
      <c r="E56" s="606">
        <v>780.0</v>
      </c>
      <c r="F56" s="725"/>
      <c r="G56" s="725">
        <f t="shared" si="20"/>
        <v>2080</v>
      </c>
      <c r="H56" s="726">
        <f t="shared" si="21"/>
        <v>2210</v>
      </c>
      <c r="I56" s="539"/>
      <c r="J56" s="655"/>
      <c r="K56" s="655"/>
      <c r="L56" s="674"/>
      <c r="M56" s="674"/>
      <c r="N56" s="674"/>
      <c r="O56" s="674"/>
    </row>
    <row r="57">
      <c r="A57" s="681" t="s">
        <v>304</v>
      </c>
      <c r="B57" s="675"/>
      <c r="C57" s="588">
        <v>255.0</v>
      </c>
      <c r="D57" s="616">
        <v>270.0</v>
      </c>
      <c r="E57" s="617">
        <v>538.0</v>
      </c>
      <c r="F57" s="722"/>
      <c r="G57" s="722">
        <f t="shared" si="20"/>
        <v>2286.5</v>
      </c>
      <c r="H57" s="723">
        <f t="shared" si="21"/>
        <v>2421</v>
      </c>
      <c r="I57" s="552"/>
      <c r="J57" s="662"/>
      <c r="K57" s="662"/>
      <c r="L57" s="672"/>
      <c r="M57" s="672"/>
      <c r="N57" s="672"/>
      <c r="O57" s="672"/>
    </row>
    <row r="58">
      <c r="A58" s="682" t="s">
        <v>305</v>
      </c>
      <c r="B58" s="683"/>
      <c r="C58" s="567" t="s">
        <v>343</v>
      </c>
      <c r="D58" s="604" t="s">
        <v>356</v>
      </c>
      <c r="E58" s="606">
        <v>682.0</v>
      </c>
      <c r="F58" s="725"/>
      <c r="G58" s="725">
        <f t="shared" si="20"/>
        <v>1989.166667</v>
      </c>
      <c r="H58" s="726">
        <f t="shared" si="21"/>
        <v>2159.666667</v>
      </c>
      <c r="I58" s="539"/>
      <c r="J58" s="655"/>
      <c r="K58" s="655"/>
      <c r="L58" s="674"/>
      <c r="M58" s="674"/>
      <c r="N58" s="674"/>
      <c r="O58" s="674"/>
    </row>
    <row r="59">
      <c r="A59" s="681" t="s">
        <v>306</v>
      </c>
      <c r="B59" s="675"/>
      <c r="C59" s="588" t="s">
        <v>357</v>
      </c>
      <c r="D59" s="616" t="s">
        <v>329</v>
      </c>
      <c r="E59" s="617">
        <v>1111.0</v>
      </c>
      <c r="F59" s="722"/>
      <c r="G59" s="722">
        <f t="shared" si="20"/>
        <v>1944.25</v>
      </c>
      <c r="H59" s="723">
        <f t="shared" si="21"/>
        <v>2129.416667</v>
      </c>
      <c r="I59" s="552"/>
      <c r="J59" s="662"/>
      <c r="K59" s="662"/>
      <c r="L59" s="672"/>
      <c r="M59" s="672"/>
      <c r="N59" s="672"/>
      <c r="O59" s="672"/>
    </row>
    <row r="60">
      <c r="A60" s="682" t="s">
        <v>137</v>
      </c>
      <c r="B60" s="592" t="s">
        <v>357</v>
      </c>
      <c r="C60" s="567" t="s">
        <v>329</v>
      </c>
      <c r="D60" s="604"/>
      <c r="E60" s="606">
        <v>1137.0</v>
      </c>
      <c r="F60" s="725">
        <f>VALUE(RIGHT(B60,3))*E60/60</f>
        <v>1989.75</v>
      </c>
      <c r="G60" s="725">
        <f t="shared" si="20"/>
        <v>2179.25</v>
      </c>
      <c r="H60" s="726"/>
      <c r="I60" s="539"/>
      <c r="J60" s="655"/>
      <c r="K60" s="655"/>
      <c r="L60" s="674"/>
      <c r="M60" s="674"/>
      <c r="N60" s="674"/>
      <c r="O60" s="674"/>
    </row>
    <row r="61">
      <c r="A61" s="684"/>
      <c r="B61" s="685"/>
      <c r="C61" s="703"/>
      <c r="D61" s="638"/>
      <c r="E61" s="654"/>
      <c r="F61" s="585"/>
      <c r="G61" s="588"/>
      <c r="H61" s="589"/>
      <c r="I61" s="662"/>
      <c r="J61" s="662"/>
      <c r="K61" s="662"/>
      <c r="L61" s="672"/>
      <c r="M61" s="672"/>
      <c r="N61" s="672"/>
      <c r="O61" s="672"/>
    </row>
    <row r="62">
      <c r="A62" s="564" t="s">
        <v>204</v>
      </c>
      <c r="B62" s="565"/>
      <c r="C62" s="565"/>
      <c r="D62" s="565"/>
      <c r="E62" s="720"/>
      <c r="F62" s="592"/>
      <c r="G62" s="567"/>
      <c r="H62" s="568"/>
      <c r="I62" s="655"/>
      <c r="J62" s="655"/>
      <c r="K62" s="655"/>
      <c r="L62" s="674"/>
      <c r="M62" s="674"/>
      <c r="N62" s="674"/>
      <c r="O62" s="674"/>
    </row>
    <row r="63">
      <c r="A63" s="691" t="s">
        <v>206</v>
      </c>
      <c r="B63" s="695"/>
      <c r="C63" s="550" t="s">
        <v>233</v>
      </c>
      <c r="D63" s="583" t="s">
        <v>233</v>
      </c>
      <c r="E63" s="642"/>
      <c r="F63" s="585"/>
      <c r="G63" s="588"/>
      <c r="H63" s="589"/>
      <c r="I63" s="662"/>
      <c r="J63" s="662"/>
      <c r="K63" s="662"/>
      <c r="L63" s="672"/>
      <c r="M63" s="672"/>
      <c r="N63" s="672"/>
      <c r="O63" s="672"/>
    </row>
    <row r="64">
      <c r="A64" s="682" t="s">
        <v>208</v>
      </c>
      <c r="B64" s="683"/>
      <c r="C64" s="567" t="s">
        <v>358</v>
      </c>
      <c r="D64" s="604" t="s">
        <v>358</v>
      </c>
      <c r="E64" s="626"/>
      <c r="F64" s="592"/>
      <c r="G64" s="567"/>
      <c r="H64" s="568"/>
      <c r="I64" s="655"/>
      <c r="J64" s="655"/>
      <c r="K64" s="655"/>
      <c r="L64" s="674"/>
      <c r="M64" s="674"/>
      <c r="N64" s="674"/>
      <c r="O64" s="674"/>
    </row>
    <row r="65">
      <c r="A65" s="681" t="s">
        <v>359</v>
      </c>
      <c r="B65" s="675"/>
      <c r="C65" s="588" t="s">
        <v>360</v>
      </c>
      <c r="D65" s="616" t="s">
        <v>360</v>
      </c>
      <c r="E65" s="617">
        <v>300.0</v>
      </c>
      <c r="F65" s="585"/>
      <c r="G65" s="588" t="s">
        <v>361</v>
      </c>
      <c r="H65" s="589" t="s">
        <v>361</v>
      </c>
      <c r="I65" s="552"/>
      <c r="J65" s="662"/>
      <c r="K65" s="662"/>
      <c r="L65" s="672"/>
      <c r="M65" s="672"/>
      <c r="N65" s="672"/>
      <c r="O65" s="672"/>
    </row>
    <row r="66">
      <c r="A66" s="682" t="s">
        <v>310</v>
      </c>
      <c r="B66" s="592" t="s">
        <v>358</v>
      </c>
      <c r="C66" s="567" t="s">
        <v>358</v>
      </c>
      <c r="D66" s="604" t="s">
        <v>358</v>
      </c>
      <c r="E66" s="626"/>
      <c r="F66" s="683"/>
      <c r="G66" s="567"/>
      <c r="H66" s="679"/>
      <c r="I66" s="655"/>
      <c r="J66" s="655"/>
      <c r="K66" s="655"/>
      <c r="L66" s="674"/>
      <c r="M66" s="674"/>
      <c r="N66" s="674"/>
      <c r="O66" s="674"/>
    </row>
    <row r="67">
      <c r="A67" s="681" t="s">
        <v>259</v>
      </c>
      <c r="B67" s="675"/>
      <c r="C67" s="588" t="s">
        <v>358</v>
      </c>
      <c r="D67" s="677"/>
      <c r="E67" s="699"/>
      <c r="F67" s="675"/>
      <c r="G67" s="588"/>
      <c r="H67" s="678"/>
      <c r="I67" s="662"/>
      <c r="J67" s="662"/>
      <c r="K67" s="662"/>
      <c r="L67" s="672"/>
      <c r="M67" s="672"/>
      <c r="N67" s="672"/>
      <c r="O67" s="672"/>
    </row>
    <row r="68">
      <c r="A68" s="682" t="s">
        <v>311</v>
      </c>
      <c r="B68" s="683"/>
      <c r="C68" s="567" t="s">
        <v>358</v>
      </c>
      <c r="D68" s="645"/>
      <c r="E68" s="626"/>
      <c r="F68" s="683"/>
      <c r="G68" s="567"/>
      <c r="H68" s="679"/>
      <c r="I68" s="655"/>
      <c r="J68" s="655"/>
      <c r="K68" s="655"/>
      <c r="L68" s="674"/>
      <c r="M68" s="674"/>
      <c r="N68" s="674"/>
      <c r="O68" s="674"/>
    </row>
    <row r="69">
      <c r="A69" s="684"/>
      <c r="B69" s="685"/>
      <c r="C69" s="703"/>
      <c r="D69" s="700"/>
      <c r="E69" s="654"/>
      <c r="F69" s="675"/>
      <c r="G69" s="588"/>
      <c r="H69" s="678"/>
      <c r="I69" s="662"/>
      <c r="J69" s="662"/>
      <c r="K69" s="662"/>
    </row>
    <row r="70">
      <c r="A70" s="564" t="s">
        <v>312</v>
      </c>
      <c r="B70" s="565"/>
      <c r="C70" s="565"/>
      <c r="D70" s="565"/>
      <c r="E70" s="720"/>
      <c r="F70" s="683"/>
      <c r="G70" s="567"/>
      <c r="H70" s="679"/>
      <c r="I70" s="655"/>
      <c r="J70" s="655"/>
      <c r="K70" s="655"/>
    </row>
    <row r="71">
      <c r="A71" s="691" t="s">
        <v>212</v>
      </c>
      <c r="B71" s="695"/>
      <c r="C71" s="550">
        <v>95.0</v>
      </c>
      <c r="D71" s="661"/>
      <c r="E71" s="642"/>
      <c r="F71" s="675"/>
      <c r="G71" s="588"/>
      <c r="H71" s="678"/>
      <c r="I71" s="662"/>
      <c r="J71" s="662"/>
      <c r="K71" s="662"/>
      <c r="L71" s="672"/>
      <c r="M71" s="672"/>
      <c r="N71" s="672"/>
      <c r="O71" s="672"/>
    </row>
    <row r="72">
      <c r="A72" s="682" t="s">
        <v>214</v>
      </c>
      <c r="B72" s="683"/>
      <c r="C72" s="567">
        <v>100.0</v>
      </c>
      <c r="D72" s="645"/>
      <c r="E72" s="626"/>
      <c r="F72" s="683"/>
      <c r="G72" s="567"/>
      <c r="H72" s="679"/>
      <c r="I72" s="655"/>
      <c r="J72" s="655"/>
      <c r="K72" s="655"/>
      <c r="L72" s="674"/>
      <c r="M72" s="674"/>
      <c r="N72" s="674"/>
      <c r="O72" s="674"/>
    </row>
    <row r="73">
      <c r="A73" s="681" t="s">
        <v>229</v>
      </c>
      <c r="B73" s="675"/>
      <c r="C73" s="588">
        <v>95.0</v>
      </c>
      <c r="D73" s="677"/>
      <c r="E73" s="699"/>
      <c r="F73" s="675"/>
      <c r="G73" s="588"/>
      <c r="H73" s="678"/>
      <c r="I73" s="662"/>
      <c r="J73" s="662"/>
      <c r="K73" s="662"/>
      <c r="L73" s="672"/>
      <c r="M73" s="672"/>
      <c r="N73" s="672"/>
      <c r="O73" s="672"/>
    </row>
    <row r="74">
      <c r="A74" s="682" t="s">
        <v>232</v>
      </c>
      <c r="B74" s="683"/>
      <c r="C74" s="567">
        <v>100.0</v>
      </c>
      <c r="D74" s="645"/>
      <c r="E74" s="626"/>
      <c r="F74" s="683"/>
      <c r="G74" s="567"/>
      <c r="H74" s="679"/>
      <c r="I74" s="655"/>
      <c r="J74" s="655"/>
      <c r="K74" s="655"/>
      <c r="L74" s="674"/>
      <c r="M74" s="674"/>
      <c r="N74" s="674"/>
      <c r="O74" s="674"/>
    </row>
    <row r="75">
      <c r="A75" s="681" t="s">
        <v>236</v>
      </c>
      <c r="B75" s="675"/>
      <c r="C75" s="588">
        <v>105.0</v>
      </c>
      <c r="D75" s="677"/>
      <c r="E75" s="699"/>
      <c r="F75" s="675"/>
      <c r="G75" s="588"/>
      <c r="H75" s="678"/>
      <c r="I75" s="662"/>
      <c r="J75" s="662"/>
      <c r="K75" s="662"/>
      <c r="L75" s="672"/>
      <c r="M75" s="672"/>
      <c r="N75" s="672"/>
      <c r="O75" s="672"/>
    </row>
    <row r="76">
      <c r="A76" s="682" t="s">
        <v>317</v>
      </c>
      <c r="B76" s="683"/>
      <c r="C76" s="567">
        <v>275.0</v>
      </c>
      <c r="D76" s="645"/>
      <c r="E76" s="626"/>
      <c r="F76" s="683"/>
      <c r="G76" s="567"/>
      <c r="H76" s="679"/>
      <c r="I76" s="655"/>
      <c r="J76" s="655"/>
      <c r="K76" s="655"/>
      <c r="L76" s="674"/>
      <c r="M76" s="674"/>
      <c r="N76" s="674"/>
      <c r="O76" s="674"/>
    </row>
    <row r="77">
      <c r="A77" s="681" t="s">
        <v>284</v>
      </c>
      <c r="B77" s="675"/>
      <c r="C77" s="588">
        <v>235.0</v>
      </c>
      <c r="D77" s="677"/>
      <c r="E77" s="699"/>
      <c r="F77" s="675"/>
      <c r="G77" s="588"/>
      <c r="H77" s="678"/>
      <c r="I77" s="662"/>
      <c r="J77" s="662"/>
      <c r="K77" s="662"/>
      <c r="L77" s="672"/>
      <c r="M77" s="672"/>
      <c r="N77" s="672"/>
      <c r="O77" s="672"/>
    </row>
    <row r="78">
      <c r="A78" s="682" t="s">
        <v>279</v>
      </c>
      <c r="B78" s="683"/>
      <c r="C78" s="567">
        <v>250.0</v>
      </c>
      <c r="D78" s="645"/>
      <c r="E78" s="626"/>
      <c r="F78" s="683"/>
      <c r="G78" s="567"/>
      <c r="H78" s="679"/>
      <c r="I78" s="655"/>
      <c r="J78" s="655"/>
      <c r="K78" s="655"/>
      <c r="L78" s="674"/>
      <c r="M78" s="674"/>
      <c r="N78" s="674"/>
      <c r="O78" s="674"/>
    </row>
    <row r="79">
      <c r="A79" s="681" t="s">
        <v>318</v>
      </c>
      <c r="B79" s="675"/>
      <c r="C79" s="588">
        <v>300.0</v>
      </c>
      <c r="D79" s="677"/>
      <c r="E79" s="699"/>
      <c r="F79" s="675"/>
      <c r="G79" s="588"/>
      <c r="H79" s="678"/>
      <c r="I79" s="662"/>
      <c r="J79" s="662"/>
      <c r="K79" s="662"/>
      <c r="L79" s="672"/>
      <c r="M79" s="672"/>
      <c r="N79" s="672"/>
      <c r="O79" s="672"/>
    </row>
    <row r="80">
      <c r="A80" s="682" t="s">
        <v>319</v>
      </c>
      <c r="B80" s="683"/>
      <c r="C80" s="567">
        <v>53.0</v>
      </c>
      <c r="D80" s="645"/>
      <c r="E80" s="606">
        <v>1160.0</v>
      </c>
      <c r="F80" s="683"/>
      <c r="G80" s="725">
        <f t="shared" ref="G80:G81" si="22">VALUE(RIGHT(C80,3))*E80/60</f>
        <v>1024.666667</v>
      </c>
      <c r="H80" s="568"/>
      <c r="I80" s="539"/>
      <c r="J80" s="655"/>
      <c r="K80" s="655"/>
      <c r="L80" s="674"/>
      <c r="M80" s="674"/>
      <c r="N80" s="674"/>
      <c r="O80" s="674"/>
    </row>
    <row r="81">
      <c r="A81" s="684" t="s">
        <v>320</v>
      </c>
      <c r="B81" s="685"/>
      <c r="C81" s="703">
        <v>75.0</v>
      </c>
      <c r="D81" s="700"/>
      <c r="E81" s="639">
        <v>885.0</v>
      </c>
      <c r="F81" s="685"/>
      <c r="G81" s="729">
        <f t="shared" si="22"/>
        <v>1106.25</v>
      </c>
      <c r="H81" s="704"/>
      <c r="I81" s="552"/>
      <c r="J81" s="662"/>
      <c r="K81" s="662"/>
      <c r="L81" s="672"/>
      <c r="M81" s="672"/>
      <c r="N81" s="672"/>
      <c r="O81" s="672"/>
    </row>
    <row r="82">
      <c r="A82" s="408"/>
      <c r="B82" s="730"/>
      <c r="C82" s="731"/>
      <c r="D82" s="732"/>
      <c r="E82" s="733"/>
      <c r="F82" s="730"/>
      <c r="G82" s="731"/>
      <c r="H82" s="731"/>
      <c r="I82" s="731"/>
      <c r="J82" s="731"/>
      <c r="K82" s="731"/>
    </row>
    <row r="83">
      <c r="A83" s="408"/>
      <c r="B83" s="730"/>
      <c r="C83" s="731"/>
      <c r="D83" s="732"/>
      <c r="E83" s="733"/>
      <c r="F83" s="730"/>
      <c r="G83" s="731"/>
      <c r="H83" s="731"/>
      <c r="I83" s="731"/>
      <c r="J83" s="731"/>
      <c r="K83" s="731"/>
    </row>
    <row r="84">
      <c r="A84" s="408"/>
      <c r="B84" s="730"/>
      <c r="C84" s="731"/>
      <c r="D84" s="732"/>
      <c r="E84" s="733"/>
      <c r="F84" s="730"/>
      <c r="G84" s="731"/>
      <c r="H84" s="731"/>
      <c r="I84" s="731"/>
      <c r="J84" s="731"/>
      <c r="K84" s="731"/>
    </row>
    <row r="85">
      <c r="A85" s="408"/>
      <c r="B85" s="730"/>
      <c r="C85" s="731"/>
      <c r="D85" s="732"/>
      <c r="E85" s="733"/>
      <c r="F85" s="730"/>
      <c r="G85" s="731"/>
      <c r="H85" s="731"/>
      <c r="I85" s="731"/>
      <c r="J85" s="731"/>
      <c r="K85" s="731"/>
    </row>
    <row r="86">
      <c r="A86" s="408"/>
      <c r="B86" s="730"/>
      <c r="C86" s="731"/>
      <c r="D86" s="732"/>
      <c r="E86" s="733"/>
      <c r="F86" s="730"/>
      <c r="G86" s="731"/>
      <c r="H86" s="731"/>
      <c r="I86" s="731"/>
      <c r="J86" s="731"/>
      <c r="K86" s="731"/>
    </row>
    <row r="87">
      <c r="A87" s="408"/>
      <c r="B87" s="730"/>
      <c r="C87" s="731"/>
      <c r="D87" s="732"/>
      <c r="E87" s="733"/>
      <c r="F87" s="730"/>
      <c r="G87" s="731"/>
      <c r="H87" s="731"/>
      <c r="I87" s="731"/>
      <c r="J87" s="731"/>
      <c r="K87" s="731"/>
    </row>
    <row r="88">
      <c r="A88" s="408"/>
      <c r="B88" s="730"/>
      <c r="C88" s="731"/>
      <c r="D88" s="732"/>
      <c r="E88" s="733"/>
      <c r="F88" s="730"/>
      <c r="G88" s="731"/>
      <c r="H88" s="731"/>
      <c r="I88" s="731"/>
      <c r="J88" s="731"/>
      <c r="K88" s="731"/>
    </row>
    <row r="89">
      <c r="A89" s="408"/>
      <c r="B89" s="730"/>
      <c r="C89" s="731"/>
      <c r="D89" s="732"/>
      <c r="E89" s="733"/>
      <c r="F89" s="730"/>
      <c r="G89" s="731"/>
      <c r="H89" s="731"/>
      <c r="I89" s="731"/>
      <c r="J89" s="731"/>
      <c r="K89" s="731"/>
    </row>
    <row r="90">
      <c r="A90" s="408"/>
      <c r="B90" s="730"/>
      <c r="C90" s="731"/>
      <c r="D90" s="732"/>
      <c r="E90" s="733"/>
      <c r="F90" s="730"/>
      <c r="G90" s="731"/>
      <c r="H90" s="731"/>
      <c r="I90" s="731"/>
      <c r="J90" s="731"/>
      <c r="K90" s="731"/>
    </row>
    <row r="91">
      <c r="A91" s="408"/>
      <c r="B91" s="730"/>
      <c r="C91" s="731"/>
      <c r="D91" s="732"/>
      <c r="E91" s="733"/>
      <c r="F91" s="730"/>
      <c r="G91" s="731"/>
      <c r="H91" s="731"/>
      <c r="I91" s="731"/>
      <c r="J91" s="731"/>
      <c r="K91" s="731"/>
    </row>
    <row r="92">
      <c r="A92" s="408"/>
      <c r="B92" s="730"/>
      <c r="C92" s="731"/>
      <c r="D92" s="732"/>
      <c r="E92" s="733"/>
      <c r="F92" s="730"/>
      <c r="G92" s="731"/>
      <c r="H92" s="731"/>
      <c r="I92" s="731"/>
      <c r="J92" s="731"/>
      <c r="K92" s="731"/>
    </row>
    <row r="93">
      <c r="A93" s="408"/>
      <c r="B93" s="730"/>
      <c r="C93" s="731"/>
      <c r="D93" s="732"/>
      <c r="E93" s="733"/>
      <c r="F93" s="730"/>
      <c r="G93" s="731"/>
      <c r="H93" s="731"/>
      <c r="I93" s="731"/>
      <c r="J93" s="731"/>
      <c r="K93" s="731"/>
    </row>
    <row r="94">
      <c r="A94" s="408"/>
      <c r="B94" s="730"/>
      <c r="C94" s="731"/>
      <c r="D94" s="732"/>
      <c r="E94" s="733"/>
      <c r="F94" s="730"/>
      <c r="G94" s="731"/>
      <c r="H94" s="731"/>
      <c r="I94" s="731"/>
      <c r="J94" s="731"/>
      <c r="K94" s="731"/>
    </row>
    <row r="95">
      <c r="A95" s="408"/>
      <c r="B95" s="730"/>
      <c r="C95" s="731"/>
      <c r="D95" s="732"/>
      <c r="E95" s="733"/>
      <c r="F95" s="730"/>
      <c r="G95" s="731"/>
      <c r="H95" s="731"/>
      <c r="I95" s="731"/>
      <c r="J95" s="731"/>
      <c r="K95" s="731"/>
    </row>
    <row r="96">
      <c r="A96" s="408"/>
      <c r="B96" s="730"/>
      <c r="C96" s="731"/>
      <c r="D96" s="732"/>
      <c r="E96" s="733"/>
      <c r="F96" s="730"/>
      <c r="G96" s="731"/>
      <c r="H96" s="731"/>
      <c r="I96" s="731"/>
      <c r="J96" s="731"/>
      <c r="K96" s="731"/>
    </row>
    <row r="97">
      <c r="A97" s="408"/>
      <c r="B97" s="730"/>
      <c r="C97" s="731"/>
      <c r="D97" s="732"/>
      <c r="E97" s="733"/>
      <c r="F97" s="730"/>
      <c r="G97" s="731"/>
      <c r="H97" s="731"/>
      <c r="I97" s="731"/>
      <c r="J97" s="731"/>
      <c r="K97" s="731"/>
    </row>
    <row r="98">
      <c r="A98" s="408"/>
      <c r="B98" s="730"/>
      <c r="C98" s="731"/>
      <c r="D98" s="732"/>
      <c r="E98" s="733"/>
      <c r="F98" s="730"/>
      <c r="G98" s="731"/>
      <c r="H98" s="731"/>
      <c r="I98" s="731"/>
      <c r="J98" s="731"/>
      <c r="K98" s="731"/>
    </row>
    <row r="99">
      <c r="A99" s="408"/>
      <c r="B99" s="730"/>
      <c r="C99" s="731"/>
      <c r="D99" s="732"/>
      <c r="E99" s="733"/>
      <c r="F99" s="730"/>
      <c r="G99" s="731"/>
      <c r="H99" s="731"/>
      <c r="I99" s="731"/>
      <c r="J99" s="731"/>
      <c r="K99" s="731"/>
    </row>
    <row r="100">
      <c r="A100" s="408"/>
      <c r="B100" s="730"/>
      <c r="C100" s="731"/>
      <c r="D100" s="732"/>
      <c r="E100" s="733"/>
      <c r="F100" s="730"/>
      <c r="G100" s="731"/>
      <c r="H100" s="731"/>
      <c r="I100" s="731"/>
      <c r="J100" s="731"/>
      <c r="K100" s="731"/>
    </row>
    <row r="101">
      <c r="A101" s="408"/>
      <c r="B101" s="730"/>
      <c r="C101" s="731"/>
      <c r="D101" s="732"/>
      <c r="E101" s="733"/>
      <c r="F101" s="730"/>
      <c r="G101" s="731"/>
      <c r="H101" s="731"/>
      <c r="I101" s="731"/>
      <c r="J101" s="731"/>
      <c r="K101" s="731"/>
    </row>
    <row r="102">
      <c r="A102" s="408"/>
      <c r="B102" s="730"/>
      <c r="C102" s="731"/>
      <c r="D102" s="732"/>
      <c r="E102" s="733"/>
      <c r="F102" s="730"/>
      <c r="G102" s="731"/>
      <c r="H102" s="731"/>
      <c r="I102" s="731"/>
      <c r="J102" s="731"/>
      <c r="K102" s="731"/>
    </row>
    <row r="103">
      <c r="A103" s="408"/>
      <c r="B103" s="730"/>
      <c r="C103" s="731"/>
      <c r="D103" s="732"/>
      <c r="E103" s="733"/>
      <c r="F103" s="730"/>
      <c r="G103" s="731"/>
      <c r="H103" s="731"/>
      <c r="I103" s="731"/>
      <c r="J103" s="731"/>
      <c r="K103" s="731"/>
    </row>
    <row r="104">
      <c r="A104" s="408"/>
      <c r="B104" s="730"/>
      <c r="C104" s="731"/>
      <c r="D104" s="732"/>
      <c r="E104" s="733"/>
      <c r="F104" s="730"/>
      <c r="G104" s="731"/>
      <c r="H104" s="731"/>
      <c r="I104" s="731"/>
      <c r="J104" s="731"/>
      <c r="K104" s="731"/>
    </row>
    <row r="105">
      <c r="A105" s="408"/>
      <c r="B105" s="730"/>
      <c r="C105" s="731"/>
      <c r="D105" s="732"/>
      <c r="E105" s="733"/>
      <c r="F105" s="730"/>
      <c r="G105" s="731"/>
      <c r="H105" s="731"/>
      <c r="I105" s="731"/>
      <c r="J105" s="731"/>
      <c r="K105" s="731"/>
    </row>
    <row r="106">
      <c r="A106" s="408"/>
      <c r="B106" s="730"/>
      <c r="C106" s="731"/>
      <c r="D106" s="732"/>
      <c r="E106" s="733"/>
      <c r="F106" s="730"/>
      <c r="G106" s="731"/>
      <c r="H106" s="731"/>
      <c r="I106" s="731"/>
      <c r="J106" s="731"/>
      <c r="K106" s="731"/>
    </row>
    <row r="107">
      <c r="A107" s="408"/>
      <c r="B107" s="730"/>
      <c r="C107" s="731"/>
      <c r="D107" s="732"/>
      <c r="E107" s="733"/>
      <c r="F107" s="730"/>
      <c r="G107" s="731"/>
      <c r="H107" s="731"/>
      <c r="I107" s="731"/>
      <c r="J107" s="731"/>
      <c r="K107" s="731"/>
    </row>
    <row r="108">
      <c r="A108" s="408"/>
      <c r="B108" s="730"/>
      <c r="C108" s="731"/>
      <c r="D108" s="732"/>
      <c r="E108" s="733"/>
      <c r="F108" s="730"/>
      <c r="G108" s="731"/>
      <c r="H108" s="731"/>
      <c r="I108" s="731"/>
      <c r="J108" s="731"/>
      <c r="K108" s="731"/>
    </row>
    <row r="109">
      <c r="A109" s="408"/>
      <c r="B109" s="730"/>
      <c r="C109" s="731"/>
      <c r="D109" s="732"/>
      <c r="E109" s="733"/>
      <c r="F109" s="730"/>
      <c r="G109" s="731"/>
      <c r="H109" s="731"/>
      <c r="I109" s="731"/>
      <c r="J109" s="731"/>
      <c r="K109" s="731"/>
    </row>
    <row r="110">
      <c r="A110" s="408"/>
      <c r="B110" s="730"/>
      <c r="C110" s="731"/>
      <c r="D110" s="732"/>
      <c r="E110" s="733"/>
      <c r="F110" s="730"/>
      <c r="G110" s="731"/>
      <c r="H110" s="731"/>
      <c r="I110" s="731"/>
      <c r="J110" s="731"/>
      <c r="K110" s="731"/>
    </row>
    <row r="111">
      <c r="A111" s="408"/>
      <c r="B111" s="730"/>
      <c r="C111" s="731"/>
      <c r="D111" s="732"/>
      <c r="E111" s="733"/>
      <c r="F111" s="730"/>
      <c r="G111" s="731"/>
      <c r="H111" s="731"/>
      <c r="I111" s="731"/>
      <c r="J111" s="731"/>
      <c r="K111" s="731"/>
    </row>
    <row r="112">
      <c r="A112" s="408"/>
      <c r="B112" s="730"/>
      <c r="C112" s="731"/>
      <c r="D112" s="732"/>
      <c r="E112" s="733"/>
      <c r="F112" s="730"/>
      <c r="G112" s="731"/>
      <c r="H112" s="731"/>
      <c r="I112" s="731"/>
      <c r="J112" s="731"/>
      <c r="K112" s="731"/>
    </row>
    <row r="113">
      <c r="A113" s="408"/>
      <c r="B113" s="730"/>
      <c r="C113" s="731"/>
      <c r="D113" s="732"/>
      <c r="E113" s="733"/>
      <c r="F113" s="730"/>
      <c r="G113" s="731"/>
      <c r="H113" s="731"/>
      <c r="I113" s="731"/>
      <c r="J113" s="731"/>
      <c r="K113" s="731"/>
    </row>
    <row r="114">
      <c r="A114" s="408"/>
      <c r="B114" s="730"/>
      <c r="C114" s="731"/>
      <c r="D114" s="732"/>
      <c r="E114" s="733"/>
      <c r="F114" s="730"/>
      <c r="G114" s="731"/>
      <c r="H114" s="731"/>
      <c r="I114" s="731"/>
      <c r="J114" s="731"/>
      <c r="K114" s="731"/>
    </row>
    <row r="115">
      <c r="A115" s="408"/>
      <c r="B115" s="730"/>
      <c r="C115" s="731"/>
      <c r="D115" s="732"/>
      <c r="E115" s="733"/>
      <c r="F115" s="730"/>
      <c r="G115" s="731"/>
      <c r="H115" s="731"/>
      <c r="I115" s="731"/>
      <c r="J115" s="731"/>
      <c r="K115" s="731"/>
    </row>
    <row r="116">
      <c r="A116" s="408"/>
      <c r="B116" s="730"/>
      <c r="C116" s="731"/>
      <c r="D116" s="732"/>
      <c r="E116" s="733"/>
      <c r="F116" s="730"/>
      <c r="G116" s="731"/>
      <c r="H116" s="731"/>
      <c r="I116" s="731"/>
      <c r="J116" s="731"/>
      <c r="K116" s="731"/>
    </row>
    <row r="117">
      <c r="A117" s="408"/>
      <c r="B117" s="730"/>
      <c r="C117" s="731"/>
      <c r="D117" s="732"/>
      <c r="E117" s="733"/>
      <c r="F117" s="730"/>
      <c r="G117" s="731"/>
      <c r="H117" s="731"/>
      <c r="I117" s="731"/>
      <c r="J117" s="731"/>
      <c r="K117" s="731"/>
    </row>
    <row r="118">
      <c r="A118" s="408"/>
      <c r="B118" s="730"/>
      <c r="C118" s="731"/>
      <c r="D118" s="732"/>
      <c r="E118" s="733"/>
      <c r="F118" s="730"/>
      <c r="G118" s="731"/>
      <c r="H118" s="731"/>
      <c r="I118" s="731"/>
      <c r="J118" s="731"/>
      <c r="K118" s="731"/>
    </row>
    <row r="119">
      <c r="A119" s="408"/>
      <c r="B119" s="730"/>
      <c r="C119" s="731"/>
      <c r="D119" s="732"/>
      <c r="E119" s="733"/>
      <c r="F119" s="730"/>
      <c r="G119" s="731"/>
      <c r="H119" s="731"/>
      <c r="I119" s="731"/>
      <c r="J119" s="731"/>
      <c r="K119" s="731"/>
    </row>
    <row r="120">
      <c r="A120" s="408"/>
      <c r="B120" s="730"/>
      <c r="C120" s="731"/>
      <c r="D120" s="732"/>
      <c r="E120" s="733"/>
      <c r="F120" s="730"/>
      <c r="G120" s="731"/>
      <c r="H120" s="731"/>
      <c r="I120" s="731"/>
      <c r="J120" s="731"/>
      <c r="K120" s="731"/>
    </row>
    <row r="121">
      <c r="A121" s="408"/>
      <c r="B121" s="730"/>
      <c r="C121" s="731"/>
      <c r="D121" s="732"/>
      <c r="E121" s="733"/>
      <c r="F121" s="730"/>
      <c r="G121" s="731"/>
      <c r="H121" s="731"/>
      <c r="I121" s="731"/>
      <c r="J121" s="731"/>
      <c r="K121" s="731"/>
    </row>
    <row r="122">
      <c r="A122" s="408"/>
      <c r="B122" s="730"/>
      <c r="C122" s="731"/>
      <c r="D122" s="732"/>
      <c r="E122" s="733"/>
      <c r="F122" s="730"/>
      <c r="G122" s="731"/>
      <c r="H122" s="731"/>
      <c r="I122" s="731"/>
      <c r="J122" s="731"/>
      <c r="K122" s="731"/>
    </row>
    <row r="123">
      <c r="A123" s="408"/>
      <c r="B123" s="730"/>
      <c r="C123" s="731"/>
      <c r="D123" s="732"/>
      <c r="E123" s="733"/>
      <c r="F123" s="730"/>
      <c r="G123" s="731"/>
      <c r="H123" s="731"/>
      <c r="I123" s="731"/>
      <c r="J123" s="731"/>
      <c r="K123" s="731"/>
    </row>
    <row r="124">
      <c r="A124" s="408"/>
      <c r="B124" s="730"/>
      <c r="C124" s="731"/>
      <c r="D124" s="732"/>
      <c r="E124" s="733"/>
      <c r="F124" s="730"/>
      <c r="G124" s="731"/>
      <c r="H124" s="731"/>
      <c r="I124" s="731"/>
      <c r="J124" s="731"/>
      <c r="K124" s="731"/>
    </row>
    <row r="125">
      <c r="A125" s="408"/>
      <c r="B125" s="730"/>
      <c r="C125" s="731"/>
      <c r="D125" s="732"/>
      <c r="E125" s="733"/>
      <c r="F125" s="730"/>
      <c r="G125" s="731"/>
      <c r="H125" s="731"/>
      <c r="I125" s="731"/>
      <c r="J125" s="731"/>
      <c r="K125" s="731"/>
    </row>
    <row r="126">
      <c r="A126" s="408"/>
      <c r="B126" s="730"/>
      <c r="C126" s="731"/>
      <c r="D126" s="732"/>
      <c r="E126" s="733"/>
      <c r="F126" s="730"/>
      <c r="G126" s="731"/>
      <c r="H126" s="731"/>
      <c r="I126" s="731"/>
      <c r="J126" s="731"/>
      <c r="K126" s="731"/>
    </row>
    <row r="127">
      <c r="A127" s="408"/>
      <c r="B127" s="730"/>
      <c r="C127" s="731"/>
      <c r="D127" s="732"/>
      <c r="E127" s="733"/>
      <c r="F127" s="730"/>
      <c r="G127" s="731"/>
      <c r="H127" s="731"/>
      <c r="I127" s="731"/>
      <c r="J127" s="731"/>
      <c r="K127" s="731"/>
    </row>
    <row r="128">
      <c r="A128" s="408"/>
      <c r="B128" s="730"/>
      <c r="C128" s="731"/>
      <c r="D128" s="732"/>
      <c r="E128" s="733"/>
      <c r="F128" s="730"/>
      <c r="G128" s="731"/>
      <c r="H128" s="731"/>
      <c r="I128" s="731"/>
      <c r="J128" s="731"/>
      <c r="K128" s="731"/>
    </row>
    <row r="129">
      <c r="A129" s="408"/>
      <c r="B129" s="730"/>
      <c r="C129" s="731"/>
      <c r="D129" s="732"/>
      <c r="E129" s="733"/>
      <c r="F129" s="730"/>
      <c r="G129" s="731"/>
      <c r="H129" s="731"/>
      <c r="I129" s="731"/>
      <c r="J129" s="731"/>
      <c r="K129" s="731"/>
    </row>
    <row r="130">
      <c r="A130" s="408"/>
      <c r="B130" s="730"/>
      <c r="C130" s="731"/>
      <c r="D130" s="732"/>
      <c r="E130" s="733"/>
      <c r="F130" s="730"/>
      <c r="G130" s="731"/>
      <c r="H130" s="731"/>
      <c r="I130" s="731"/>
      <c r="J130" s="731"/>
      <c r="K130" s="731"/>
    </row>
    <row r="131">
      <c r="A131" s="408"/>
      <c r="B131" s="730"/>
      <c r="C131" s="731"/>
      <c r="D131" s="732"/>
      <c r="E131" s="733"/>
      <c r="F131" s="730"/>
      <c r="G131" s="731"/>
      <c r="H131" s="731"/>
      <c r="I131" s="731"/>
      <c r="J131" s="731"/>
      <c r="K131" s="731"/>
    </row>
    <row r="132">
      <c r="A132" s="408"/>
      <c r="B132" s="730"/>
      <c r="C132" s="731"/>
      <c r="D132" s="732"/>
      <c r="E132" s="733"/>
      <c r="F132" s="730"/>
      <c r="G132" s="731"/>
      <c r="H132" s="731"/>
      <c r="I132" s="731"/>
      <c r="J132" s="731"/>
      <c r="K132" s="731"/>
    </row>
    <row r="133">
      <c r="A133" s="408"/>
      <c r="B133" s="730"/>
      <c r="C133" s="731"/>
      <c r="D133" s="732"/>
      <c r="E133" s="733"/>
      <c r="F133" s="730"/>
      <c r="G133" s="731"/>
      <c r="H133" s="731"/>
      <c r="I133" s="731"/>
      <c r="J133" s="731"/>
      <c r="K133" s="731"/>
    </row>
    <row r="134">
      <c r="A134" s="408"/>
      <c r="B134" s="730"/>
      <c r="C134" s="731"/>
      <c r="D134" s="732"/>
      <c r="E134" s="733"/>
      <c r="F134" s="730"/>
      <c r="G134" s="731"/>
      <c r="H134" s="731"/>
      <c r="I134" s="731"/>
      <c r="J134" s="731"/>
      <c r="K134" s="731"/>
    </row>
    <row r="135">
      <c r="A135" s="408"/>
      <c r="B135" s="730"/>
      <c r="C135" s="731"/>
      <c r="D135" s="732"/>
      <c r="E135" s="733"/>
      <c r="F135" s="730"/>
      <c r="G135" s="731"/>
      <c r="H135" s="731"/>
      <c r="I135" s="731"/>
      <c r="J135" s="731"/>
      <c r="K135" s="731"/>
    </row>
    <row r="136">
      <c r="A136" s="408"/>
      <c r="B136" s="730"/>
      <c r="C136" s="731"/>
      <c r="D136" s="732"/>
      <c r="E136" s="733"/>
      <c r="F136" s="730"/>
      <c r="G136" s="731"/>
      <c r="H136" s="731"/>
      <c r="I136" s="731"/>
      <c r="J136" s="731"/>
      <c r="K136" s="731"/>
    </row>
    <row r="137">
      <c r="A137" s="408"/>
      <c r="B137" s="730"/>
      <c r="C137" s="731"/>
      <c r="D137" s="732"/>
      <c r="E137" s="733"/>
      <c r="F137" s="730"/>
      <c r="G137" s="731"/>
      <c r="H137" s="731"/>
      <c r="I137" s="731"/>
      <c r="J137" s="731"/>
      <c r="K137" s="731"/>
    </row>
    <row r="138">
      <c r="A138" s="408"/>
      <c r="B138" s="730"/>
      <c r="C138" s="731"/>
      <c r="D138" s="732"/>
      <c r="E138" s="733"/>
      <c r="F138" s="730"/>
      <c r="G138" s="731"/>
      <c r="H138" s="731"/>
      <c r="I138" s="731"/>
      <c r="J138" s="731"/>
      <c r="K138" s="731"/>
    </row>
    <row r="139">
      <c r="A139" s="408"/>
      <c r="B139" s="730"/>
      <c r="C139" s="731"/>
      <c r="D139" s="732"/>
      <c r="E139" s="733"/>
      <c r="F139" s="730"/>
      <c r="G139" s="731"/>
      <c r="H139" s="731"/>
      <c r="I139" s="731"/>
      <c r="J139" s="731"/>
      <c r="K139" s="731"/>
    </row>
    <row r="140">
      <c r="A140" s="408"/>
      <c r="B140" s="730"/>
      <c r="C140" s="731"/>
      <c r="D140" s="732"/>
      <c r="E140" s="733"/>
      <c r="F140" s="730"/>
      <c r="G140" s="731"/>
      <c r="H140" s="731"/>
      <c r="I140" s="731"/>
      <c r="J140" s="731"/>
      <c r="K140" s="731"/>
    </row>
    <row r="141">
      <c r="A141" s="408"/>
      <c r="B141" s="730"/>
      <c r="C141" s="731"/>
      <c r="D141" s="732"/>
      <c r="E141" s="733"/>
      <c r="F141" s="730"/>
      <c r="G141" s="731"/>
      <c r="H141" s="731"/>
      <c r="I141" s="731"/>
      <c r="J141" s="731"/>
      <c r="K141" s="731"/>
    </row>
    <row r="142">
      <c r="A142" s="408"/>
      <c r="B142" s="730"/>
      <c r="C142" s="731"/>
      <c r="D142" s="732"/>
      <c r="E142" s="733"/>
      <c r="F142" s="730"/>
      <c r="G142" s="731"/>
      <c r="H142" s="731"/>
      <c r="I142" s="731"/>
      <c r="J142" s="731"/>
      <c r="K142" s="731"/>
    </row>
    <row r="143">
      <c r="A143" s="408"/>
      <c r="B143" s="730"/>
      <c r="C143" s="731"/>
      <c r="D143" s="732"/>
      <c r="E143" s="733"/>
      <c r="F143" s="730"/>
      <c r="G143" s="731"/>
      <c r="H143" s="731"/>
      <c r="I143" s="731"/>
      <c r="J143" s="731"/>
      <c r="K143" s="731"/>
    </row>
    <row r="144">
      <c r="A144" s="408"/>
      <c r="B144" s="730"/>
      <c r="C144" s="731"/>
      <c r="D144" s="732"/>
      <c r="E144" s="733"/>
      <c r="F144" s="730"/>
      <c r="G144" s="731"/>
      <c r="H144" s="731"/>
      <c r="I144" s="731"/>
      <c r="J144" s="731"/>
      <c r="K144" s="731"/>
    </row>
    <row r="145">
      <c r="A145" s="408"/>
      <c r="B145" s="730"/>
      <c r="C145" s="731"/>
      <c r="D145" s="732"/>
      <c r="E145" s="733"/>
      <c r="F145" s="730"/>
      <c r="G145" s="731"/>
      <c r="H145" s="731"/>
      <c r="I145" s="731"/>
      <c r="J145" s="731"/>
      <c r="K145" s="731"/>
    </row>
    <row r="146">
      <c r="A146" s="408"/>
      <c r="B146" s="730"/>
      <c r="C146" s="731"/>
      <c r="D146" s="732"/>
      <c r="E146" s="733"/>
      <c r="F146" s="730"/>
      <c r="G146" s="731"/>
      <c r="H146" s="731"/>
      <c r="I146" s="731"/>
      <c r="J146" s="731"/>
      <c r="K146" s="731"/>
    </row>
    <row r="147">
      <c r="A147" s="408"/>
      <c r="B147" s="730"/>
      <c r="C147" s="731"/>
      <c r="D147" s="732"/>
      <c r="E147" s="733"/>
      <c r="F147" s="730"/>
      <c r="G147" s="731"/>
      <c r="H147" s="731"/>
      <c r="I147" s="731"/>
      <c r="J147" s="731"/>
      <c r="K147" s="731"/>
    </row>
    <row r="148">
      <c r="A148" s="408"/>
      <c r="B148" s="730"/>
      <c r="C148" s="731"/>
      <c r="D148" s="732"/>
      <c r="E148" s="733"/>
      <c r="F148" s="730"/>
      <c r="G148" s="731"/>
      <c r="H148" s="731"/>
      <c r="I148" s="731"/>
      <c r="J148" s="731"/>
      <c r="K148" s="731"/>
    </row>
    <row r="149">
      <c r="A149" s="408"/>
      <c r="B149" s="730"/>
      <c r="C149" s="731"/>
      <c r="D149" s="732"/>
      <c r="E149" s="733"/>
      <c r="F149" s="730"/>
      <c r="G149" s="731"/>
      <c r="H149" s="731"/>
      <c r="I149" s="731"/>
      <c r="J149" s="731"/>
      <c r="K149" s="731"/>
    </row>
    <row r="150">
      <c r="A150" s="408"/>
      <c r="B150" s="730"/>
      <c r="C150" s="731"/>
      <c r="D150" s="732"/>
      <c r="E150" s="733"/>
      <c r="F150" s="730"/>
      <c r="G150" s="731"/>
      <c r="H150" s="731"/>
      <c r="I150" s="731"/>
      <c r="J150" s="731"/>
      <c r="K150" s="731"/>
    </row>
    <row r="151">
      <c r="A151" s="408"/>
      <c r="B151" s="730"/>
      <c r="C151" s="731"/>
      <c r="D151" s="732"/>
      <c r="E151" s="733"/>
      <c r="F151" s="730"/>
      <c r="G151" s="731"/>
      <c r="H151" s="731"/>
      <c r="I151" s="731"/>
      <c r="J151" s="731"/>
      <c r="K151" s="731"/>
    </row>
    <row r="152">
      <c r="A152" s="408"/>
      <c r="B152" s="730"/>
      <c r="C152" s="731"/>
      <c r="D152" s="732"/>
      <c r="E152" s="733"/>
      <c r="F152" s="730"/>
      <c r="G152" s="731"/>
      <c r="H152" s="731"/>
      <c r="I152" s="731"/>
      <c r="J152" s="731"/>
      <c r="K152" s="731"/>
    </row>
    <row r="153">
      <c r="A153" s="408"/>
      <c r="B153" s="730"/>
      <c r="C153" s="731"/>
      <c r="D153" s="732"/>
      <c r="E153" s="733"/>
      <c r="F153" s="730"/>
      <c r="G153" s="731"/>
      <c r="H153" s="731"/>
      <c r="I153" s="731"/>
      <c r="J153" s="731"/>
      <c r="K153" s="731"/>
    </row>
    <row r="154">
      <c r="A154" s="408"/>
      <c r="B154" s="730"/>
      <c r="C154" s="731"/>
      <c r="D154" s="732"/>
      <c r="E154" s="733"/>
      <c r="F154" s="730"/>
      <c r="G154" s="731"/>
      <c r="H154" s="731"/>
      <c r="I154" s="731"/>
      <c r="J154" s="731"/>
      <c r="K154" s="731"/>
    </row>
    <row r="155">
      <c r="A155" s="408"/>
      <c r="B155" s="730"/>
      <c r="C155" s="731"/>
      <c r="D155" s="732"/>
      <c r="E155" s="733"/>
      <c r="F155" s="730"/>
      <c r="G155" s="731"/>
      <c r="H155" s="731"/>
      <c r="I155" s="731"/>
      <c r="J155" s="731"/>
      <c r="K155" s="731"/>
    </row>
    <row r="156">
      <c r="A156" s="408"/>
      <c r="B156" s="730"/>
      <c r="C156" s="731"/>
      <c r="D156" s="732"/>
      <c r="E156" s="733"/>
      <c r="F156" s="730"/>
      <c r="G156" s="731"/>
      <c r="H156" s="731"/>
      <c r="I156" s="731"/>
      <c r="J156" s="731"/>
      <c r="K156" s="731"/>
    </row>
    <row r="157">
      <c r="A157" s="408"/>
      <c r="B157" s="730"/>
      <c r="C157" s="731"/>
      <c r="D157" s="732"/>
      <c r="E157" s="733"/>
      <c r="F157" s="730"/>
      <c r="G157" s="731"/>
      <c r="H157" s="731"/>
      <c r="I157" s="731"/>
      <c r="J157" s="731"/>
      <c r="K157" s="731"/>
    </row>
    <row r="158">
      <c r="A158" s="408"/>
      <c r="B158" s="730"/>
      <c r="C158" s="731"/>
      <c r="D158" s="732"/>
      <c r="E158" s="733"/>
      <c r="F158" s="730"/>
      <c r="G158" s="731"/>
      <c r="H158" s="731"/>
      <c r="I158" s="731"/>
      <c r="J158" s="731"/>
      <c r="K158" s="731"/>
    </row>
    <row r="159">
      <c r="A159" s="408"/>
      <c r="B159" s="730"/>
      <c r="C159" s="731"/>
      <c r="D159" s="732"/>
      <c r="E159" s="733"/>
      <c r="F159" s="730"/>
      <c r="G159" s="731"/>
      <c r="H159" s="731"/>
      <c r="I159" s="731"/>
      <c r="J159" s="731"/>
      <c r="K159" s="731"/>
    </row>
    <row r="160">
      <c r="A160" s="408"/>
      <c r="B160" s="730"/>
      <c r="C160" s="731"/>
      <c r="D160" s="732"/>
      <c r="E160" s="733"/>
      <c r="F160" s="730"/>
      <c r="G160" s="731"/>
      <c r="H160" s="731"/>
      <c r="I160" s="731"/>
      <c r="J160" s="731"/>
      <c r="K160" s="731"/>
    </row>
    <row r="161">
      <c r="A161" s="408"/>
      <c r="B161" s="730"/>
      <c r="C161" s="731"/>
      <c r="D161" s="732"/>
      <c r="E161" s="733"/>
      <c r="F161" s="730"/>
      <c r="G161" s="731"/>
      <c r="H161" s="731"/>
      <c r="I161" s="731"/>
      <c r="J161" s="731"/>
      <c r="K161" s="731"/>
    </row>
    <row r="162">
      <c r="A162" s="408"/>
      <c r="B162" s="730"/>
      <c r="C162" s="731"/>
      <c r="D162" s="732"/>
      <c r="E162" s="733"/>
      <c r="F162" s="730"/>
      <c r="G162" s="731"/>
      <c r="H162" s="731"/>
      <c r="I162" s="731"/>
      <c r="J162" s="731"/>
      <c r="K162" s="731"/>
    </row>
    <row r="163">
      <c r="A163" s="408"/>
      <c r="B163" s="730"/>
      <c r="C163" s="731"/>
      <c r="D163" s="732"/>
      <c r="E163" s="733"/>
      <c r="F163" s="730"/>
      <c r="G163" s="731"/>
      <c r="H163" s="731"/>
      <c r="I163" s="731"/>
      <c r="J163" s="731"/>
      <c r="K163" s="731"/>
    </row>
    <row r="164">
      <c r="A164" s="408"/>
      <c r="B164" s="730"/>
      <c r="C164" s="731"/>
      <c r="D164" s="732"/>
      <c r="E164" s="733"/>
      <c r="F164" s="730"/>
      <c r="G164" s="731"/>
      <c r="H164" s="731"/>
      <c r="I164" s="731"/>
      <c r="J164" s="731"/>
      <c r="K164" s="731"/>
    </row>
    <row r="165">
      <c r="A165" s="408"/>
      <c r="B165" s="730"/>
      <c r="C165" s="731"/>
      <c r="D165" s="732"/>
      <c r="E165" s="733"/>
      <c r="F165" s="730"/>
      <c r="G165" s="731"/>
      <c r="H165" s="731"/>
      <c r="I165" s="731"/>
      <c r="J165" s="731"/>
      <c r="K165" s="731"/>
    </row>
    <row r="166">
      <c r="A166" s="408"/>
      <c r="B166" s="730"/>
      <c r="C166" s="731"/>
      <c r="D166" s="732"/>
      <c r="E166" s="733"/>
      <c r="F166" s="730"/>
      <c r="G166" s="731"/>
      <c r="H166" s="731"/>
      <c r="I166" s="731"/>
      <c r="J166" s="731"/>
      <c r="K166" s="731"/>
    </row>
    <row r="167">
      <c r="A167" s="408"/>
      <c r="B167" s="730"/>
      <c r="C167" s="731"/>
      <c r="D167" s="732"/>
      <c r="E167" s="733"/>
      <c r="F167" s="730"/>
      <c r="G167" s="731"/>
      <c r="H167" s="731"/>
      <c r="I167" s="731"/>
      <c r="J167" s="731"/>
      <c r="K167" s="731"/>
    </row>
    <row r="168">
      <c r="A168" s="408"/>
      <c r="B168" s="730"/>
      <c r="C168" s="731"/>
      <c r="D168" s="732"/>
      <c r="E168" s="733"/>
      <c r="F168" s="730"/>
      <c r="G168" s="731"/>
      <c r="H168" s="731"/>
      <c r="I168" s="731"/>
      <c r="J168" s="731"/>
      <c r="K168" s="731"/>
    </row>
    <row r="169">
      <c r="A169" s="408"/>
      <c r="B169" s="730"/>
      <c r="C169" s="731"/>
      <c r="D169" s="732"/>
      <c r="E169" s="733"/>
      <c r="F169" s="730"/>
      <c r="G169" s="731"/>
      <c r="H169" s="731"/>
      <c r="I169" s="731"/>
      <c r="J169" s="731"/>
      <c r="K169" s="731"/>
    </row>
    <row r="170">
      <c r="A170" s="408"/>
      <c r="B170" s="730"/>
      <c r="C170" s="731"/>
      <c r="D170" s="732"/>
      <c r="E170" s="733"/>
      <c r="F170" s="730"/>
      <c r="G170" s="731"/>
      <c r="H170" s="731"/>
      <c r="I170" s="731"/>
      <c r="J170" s="731"/>
      <c r="K170" s="731"/>
    </row>
    <row r="171">
      <c r="A171" s="408"/>
      <c r="B171" s="730"/>
      <c r="C171" s="731"/>
      <c r="D171" s="732"/>
      <c r="E171" s="733"/>
      <c r="F171" s="730"/>
      <c r="G171" s="731"/>
      <c r="H171" s="731"/>
      <c r="I171" s="731"/>
      <c r="J171" s="731"/>
      <c r="K171" s="731"/>
    </row>
    <row r="172">
      <c r="A172" s="408"/>
      <c r="B172" s="730"/>
      <c r="C172" s="731"/>
      <c r="D172" s="732"/>
      <c r="E172" s="733"/>
      <c r="F172" s="730"/>
      <c r="G172" s="731"/>
      <c r="H172" s="731"/>
      <c r="I172" s="731"/>
      <c r="J172" s="731"/>
      <c r="K172" s="731"/>
    </row>
    <row r="173">
      <c r="A173" s="408"/>
      <c r="B173" s="730"/>
      <c r="C173" s="731"/>
      <c r="D173" s="732"/>
      <c r="E173" s="733"/>
      <c r="F173" s="730"/>
      <c r="G173" s="731"/>
      <c r="H173" s="731"/>
      <c r="I173" s="731"/>
      <c r="J173" s="731"/>
      <c r="K173" s="731"/>
    </row>
    <row r="174">
      <c r="A174" s="408"/>
      <c r="B174" s="730"/>
      <c r="C174" s="731"/>
      <c r="D174" s="732"/>
      <c r="E174" s="733"/>
      <c r="F174" s="730"/>
      <c r="G174" s="731"/>
      <c r="H174" s="731"/>
      <c r="I174" s="731"/>
      <c r="J174" s="731"/>
      <c r="K174" s="731"/>
    </row>
    <row r="175">
      <c r="A175" s="408"/>
      <c r="B175" s="730"/>
      <c r="C175" s="731"/>
      <c r="D175" s="732"/>
      <c r="E175" s="733"/>
      <c r="F175" s="730"/>
      <c r="G175" s="731"/>
      <c r="H175" s="731"/>
      <c r="I175" s="731"/>
      <c r="J175" s="731"/>
      <c r="K175" s="731"/>
    </row>
    <row r="176">
      <c r="A176" s="408"/>
      <c r="B176" s="730"/>
      <c r="C176" s="731"/>
      <c r="D176" s="732"/>
      <c r="E176" s="733"/>
      <c r="F176" s="730"/>
      <c r="G176" s="731"/>
      <c r="H176" s="731"/>
      <c r="I176" s="731"/>
      <c r="J176" s="731"/>
      <c r="K176" s="731"/>
    </row>
    <row r="177">
      <c r="A177" s="408"/>
      <c r="B177" s="730"/>
      <c r="C177" s="731"/>
      <c r="D177" s="732"/>
      <c r="E177" s="733"/>
      <c r="F177" s="730"/>
      <c r="G177" s="731"/>
      <c r="H177" s="731"/>
      <c r="I177" s="731"/>
      <c r="J177" s="731"/>
      <c r="K177" s="731"/>
    </row>
    <row r="178">
      <c r="A178" s="408"/>
      <c r="B178" s="730"/>
      <c r="C178" s="731"/>
      <c r="D178" s="732"/>
      <c r="E178" s="733"/>
      <c r="F178" s="730"/>
      <c r="G178" s="731"/>
      <c r="H178" s="731"/>
      <c r="I178" s="731"/>
      <c r="J178" s="731"/>
      <c r="K178" s="731"/>
    </row>
    <row r="179">
      <c r="A179" s="408"/>
      <c r="B179" s="730"/>
      <c r="C179" s="731"/>
      <c r="D179" s="732"/>
      <c r="E179" s="733"/>
      <c r="F179" s="730"/>
      <c r="G179" s="731"/>
      <c r="H179" s="731"/>
      <c r="I179" s="731"/>
      <c r="J179" s="731"/>
      <c r="K179" s="731"/>
    </row>
    <row r="180">
      <c r="A180" s="408"/>
      <c r="B180" s="730"/>
      <c r="C180" s="731"/>
      <c r="D180" s="732"/>
      <c r="E180" s="733"/>
      <c r="F180" s="730"/>
      <c r="G180" s="731"/>
      <c r="H180" s="731"/>
      <c r="I180" s="731"/>
      <c r="J180" s="731"/>
      <c r="K180" s="731"/>
    </row>
    <row r="181">
      <c r="A181" s="408"/>
      <c r="B181" s="730"/>
      <c r="C181" s="731"/>
      <c r="D181" s="732"/>
      <c r="E181" s="733"/>
      <c r="F181" s="730"/>
      <c r="G181" s="731"/>
      <c r="H181" s="731"/>
      <c r="I181" s="731"/>
      <c r="J181" s="731"/>
      <c r="K181" s="731"/>
    </row>
    <row r="182">
      <c r="A182" s="408"/>
      <c r="B182" s="730"/>
      <c r="C182" s="731"/>
      <c r="D182" s="732"/>
      <c r="E182" s="733"/>
      <c r="F182" s="730"/>
      <c r="G182" s="731"/>
      <c r="H182" s="731"/>
      <c r="I182" s="731"/>
      <c r="J182" s="731"/>
      <c r="K182" s="731"/>
    </row>
    <row r="183">
      <c r="A183" s="408"/>
      <c r="B183" s="730"/>
      <c r="C183" s="731"/>
      <c r="D183" s="732"/>
      <c r="E183" s="733"/>
      <c r="F183" s="730"/>
      <c r="G183" s="731"/>
      <c r="H183" s="731"/>
      <c r="I183" s="731"/>
      <c r="J183" s="731"/>
      <c r="K183" s="731"/>
    </row>
    <row r="184">
      <c r="A184" s="408"/>
      <c r="B184" s="730"/>
      <c r="C184" s="731"/>
      <c r="D184" s="732"/>
      <c r="E184" s="733"/>
      <c r="F184" s="730"/>
      <c r="G184" s="731"/>
      <c r="H184" s="731"/>
      <c r="I184" s="731"/>
      <c r="J184" s="731"/>
      <c r="K184" s="731"/>
    </row>
    <row r="185">
      <c r="A185" s="408"/>
      <c r="B185" s="730"/>
      <c r="C185" s="731"/>
      <c r="D185" s="732"/>
      <c r="E185" s="733"/>
      <c r="F185" s="730"/>
      <c r="G185" s="731"/>
      <c r="H185" s="731"/>
      <c r="I185" s="731"/>
      <c r="J185" s="731"/>
      <c r="K185" s="731"/>
    </row>
    <row r="186">
      <c r="A186" s="408"/>
      <c r="B186" s="730"/>
      <c r="C186" s="731"/>
      <c r="D186" s="732"/>
      <c r="E186" s="733"/>
      <c r="F186" s="730"/>
      <c r="G186" s="731"/>
      <c r="H186" s="731"/>
      <c r="I186" s="731"/>
      <c r="J186" s="731"/>
      <c r="K186" s="731"/>
    </row>
    <row r="187">
      <c r="A187" s="408"/>
      <c r="B187" s="730"/>
      <c r="C187" s="731"/>
      <c r="D187" s="732"/>
      <c r="E187" s="733"/>
      <c r="F187" s="730"/>
      <c r="G187" s="731"/>
      <c r="H187" s="731"/>
      <c r="I187" s="731"/>
      <c r="J187" s="731"/>
      <c r="K187" s="731"/>
    </row>
    <row r="188">
      <c r="A188" s="408"/>
      <c r="B188" s="730"/>
      <c r="C188" s="731"/>
      <c r="D188" s="732"/>
      <c r="E188" s="733"/>
      <c r="F188" s="730"/>
      <c r="G188" s="731"/>
      <c r="H188" s="731"/>
      <c r="I188" s="731"/>
      <c r="J188" s="731"/>
      <c r="K188" s="731"/>
    </row>
    <row r="189">
      <c r="A189" s="408"/>
      <c r="B189" s="730"/>
      <c r="C189" s="731"/>
      <c r="D189" s="732"/>
      <c r="E189" s="733"/>
      <c r="F189" s="730"/>
      <c r="G189" s="731"/>
      <c r="H189" s="731"/>
      <c r="I189" s="731"/>
      <c r="J189" s="731"/>
      <c r="K189" s="731"/>
    </row>
    <row r="190">
      <c r="A190" s="408"/>
      <c r="B190" s="730"/>
      <c r="C190" s="731"/>
      <c r="D190" s="732"/>
      <c r="E190" s="733"/>
      <c r="F190" s="730"/>
      <c r="G190" s="731"/>
      <c r="H190" s="731"/>
      <c r="I190" s="731"/>
      <c r="J190" s="731"/>
      <c r="K190" s="731"/>
    </row>
    <row r="191">
      <c r="A191" s="408"/>
      <c r="B191" s="730"/>
      <c r="C191" s="731"/>
      <c r="D191" s="732"/>
      <c r="E191" s="733"/>
      <c r="F191" s="730"/>
      <c r="G191" s="731"/>
      <c r="H191" s="731"/>
      <c r="I191" s="731"/>
      <c r="J191" s="731"/>
      <c r="K191" s="731"/>
    </row>
    <row r="192">
      <c r="A192" s="408"/>
      <c r="B192" s="730"/>
      <c r="C192" s="731"/>
      <c r="D192" s="732"/>
      <c r="E192" s="733"/>
      <c r="F192" s="730"/>
      <c r="G192" s="731"/>
      <c r="H192" s="731"/>
      <c r="I192" s="731"/>
      <c r="J192" s="731"/>
      <c r="K192" s="731"/>
    </row>
    <row r="193">
      <c r="A193" s="408"/>
      <c r="B193" s="730"/>
      <c r="C193" s="731"/>
      <c r="D193" s="732"/>
      <c r="E193" s="733"/>
      <c r="F193" s="730"/>
      <c r="G193" s="731"/>
      <c r="H193" s="731"/>
      <c r="I193" s="731"/>
      <c r="J193" s="731"/>
      <c r="K193" s="731"/>
    </row>
    <row r="194">
      <c r="A194" s="408"/>
      <c r="B194" s="730"/>
      <c r="C194" s="731"/>
      <c r="D194" s="732"/>
      <c r="E194" s="733"/>
      <c r="F194" s="730"/>
      <c r="G194" s="731"/>
      <c r="H194" s="731"/>
      <c r="I194" s="731"/>
      <c r="J194" s="731"/>
      <c r="K194" s="731"/>
    </row>
    <row r="195">
      <c r="A195" s="408"/>
      <c r="B195" s="730"/>
      <c r="C195" s="731"/>
      <c r="D195" s="732"/>
      <c r="E195" s="733"/>
      <c r="F195" s="730"/>
      <c r="G195" s="731"/>
      <c r="H195" s="731"/>
      <c r="I195" s="731"/>
      <c r="J195" s="731"/>
      <c r="K195" s="731"/>
    </row>
    <row r="196">
      <c r="A196" s="408"/>
      <c r="B196" s="730"/>
      <c r="C196" s="731"/>
      <c r="D196" s="732"/>
      <c r="E196" s="733"/>
      <c r="F196" s="730"/>
      <c r="G196" s="731"/>
      <c r="H196" s="731"/>
      <c r="I196" s="731"/>
      <c r="J196" s="731"/>
      <c r="K196" s="731"/>
    </row>
    <row r="197">
      <c r="A197" s="408"/>
      <c r="B197" s="730"/>
      <c r="C197" s="731"/>
      <c r="D197" s="732"/>
      <c r="E197" s="733"/>
      <c r="F197" s="730"/>
      <c r="G197" s="731"/>
      <c r="H197" s="731"/>
      <c r="I197" s="731"/>
      <c r="J197" s="731"/>
      <c r="K197" s="731"/>
    </row>
    <row r="198">
      <c r="A198" s="408"/>
      <c r="B198" s="730"/>
      <c r="C198" s="731"/>
      <c r="D198" s="732"/>
      <c r="E198" s="733"/>
      <c r="F198" s="730"/>
      <c r="G198" s="731"/>
      <c r="H198" s="731"/>
      <c r="I198" s="731"/>
      <c r="J198" s="731"/>
      <c r="K198" s="731"/>
    </row>
    <row r="199">
      <c r="A199" s="408"/>
      <c r="B199" s="730"/>
      <c r="C199" s="731"/>
      <c r="D199" s="732"/>
      <c r="E199" s="733"/>
      <c r="F199" s="730"/>
      <c r="G199" s="731"/>
      <c r="H199" s="731"/>
      <c r="I199" s="731"/>
      <c r="J199" s="731"/>
      <c r="K199" s="731"/>
    </row>
    <row r="200">
      <c r="A200" s="408"/>
      <c r="B200" s="730"/>
      <c r="C200" s="731"/>
      <c r="D200" s="732"/>
      <c r="E200" s="733"/>
      <c r="F200" s="730"/>
      <c r="G200" s="731"/>
      <c r="H200" s="731"/>
      <c r="I200" s="731"/>
      <c r="J200" s="731"/>
      <c r="K200" s="731"/>
    </row>
    <row r="201">
      <c r="A201" s="408"/>
      <c r="B201" s="730"/>
      <c r="C201" s="731"/>
      <c r="D201" s="732"/>
      <c r="E201" s="733"/>
      <c r="F201" s="730"/>
      <c r="G201" s="731"/>
      <c r="H201" s="731"/>
      <c r="I201" s="731"/>
      <c r="J201" s="731"/>
      <c r="K201" s="731"/>
    </row>
    <row r="202">
      <c r="A202" s="408"/>
      <c r="B202" s="730"/>
      <c r="C202" s="731"/>
      <c r="D202" s="732"/>
      <c r="E202" s="733"/>
      <c r="F202" s="730"/>
      <c r="G202" s="731"/>
      <c r="H202" s="731"/>
      <c r="I202" s="731"/>
      <c r="J202" s="731"/>
      <c r="K202" s="731"/>
    </row>
    <row r="203">
      <c r="A203" s="408"/>
      <c r="B203" s="730"/>
      <c r="C203" s="731"/>
      <c r="D203" s="732"/>
      <c r="E203" s="733"/>
      <c r="F203" s="730"/>
      <c r="G203" s="731"/>
      <c r="H203" s="731"/>
      <c r="I203" s="731"/>
      <c r="J203" s="731"/>
      <c r="K203" s="731"/>
    </row>
    <row r="204">
      <c r="A204" s="408"/>
      <c r="B204" s="730"/>
      <c r="C204" s="731"/>
      <c r="D204" s="732"/>
      <c r="E204" s="733"/>
      <c r="F204" s="730"/>
      <c r="G204" s="731"/>
      <c r="H204" s="731"/>
      <c r="I204" s="731"/>
      <c r="J204" s="731"/>
      <c r="K204" s="731"/>
    </row>
    <row r="205">
      <c r="A205" s="408"/>
      <c r="B205" s="730"/>
      <c r="C205" s="731"/>
      <c r="D205" s="732"/>
      <c r="E205" s="733"/>
      <c r="F205" s="730"/>
      <c r="G205" s="731"/>
      <c r="H205" s="731"/>
      <c r="I205" s="731"/>
      <c r="J205" s="731"/>
      <c r="K205" s="731"/>
    </row>
    <row r="206">
      <c r="A206" s="408"/>
      <c r="B206" s="730"/>
      <c r="C206" s="731"/>
      <c r="D206" s="732"/>
      <c r="E206" s="733"/>
      <c r="F206" s="730"/>
      <c r="G206" s="731"/>
      <c r="H206" s="731"/>
      <c r="I206" s="731"/>
      <c r="J206" s="731"/>
      <c r="K206" s="731"/>
    </row>
    <row r="207">
      <c r="A207" s="408"/>
      <c r="B207" s="730"/>
      <c r="C207" s="731"/>
      <c r="D207" s="732"/>
      <c r="E207" s="733"/>
      <c r="F207" s="730"/>
      <c r="G207" s="731"/>
      <c r="H207" s="731"/>
      <c r="I207" s="731"/>
      <c r="J207" s="731"/>
      <c r="K207" s="731"/>
    </row>
    <row r="208">
      <c r="A208" s="408"/>
      <c r="B208" s="730"/>
      <c r="C208" s="731"/>
      <c r="D208" s="732"/>
      <c r="E208" s="733"/>
      <c r="F208" s="730"/>
      <c r="G208" s="731"/>
      <c r="H208" s="731"/>
      <c r="I208" s="731"/>
      <c r="J208" s="731"/>
      <c r="K208" s="731"/>
    </row>
    <row r="209">
      <c r="A209" s="408"/>
      <c r="B209" s="730"/>
      <c r="C209" s="731"/>
      <c r="D209" s="732"/>
      <c r="E209" s="733"/>
      <c r="F209" s="730"/>
      <c r="G209" s="731"/>
      <c r="H209" s="731"/>
      <c r="I209" s="731"/>
      <c r="J209" s="731"/>
      <c r="K209" s="731"/>
    </row>
    <row r="210">
      <c r="A210" s="408"/>
      <c r="B210" s="730"/>
      <c r="C210" s="731"/>
      <c r="D210" s="732"/>
      <c r="E210" s="733"/>
      <c r="F210" s="730"/>
      <c r="G210" s="731"/>
      <c r="H210" s="731"/>
      <c r="I210" s="731"/>
      <c r="J210" s="731"/>
      <c r="K210" s="731"/>
    </row>
    <row r="211">
      <c r="A211" s="408"/>
      <c r="B211" s="730"/>
      <c r="C211" s="731"/>
      <c r="D211" s="732"/>
      <c r="E211" s="733"/>
      <c r="F211" s="730"/>
      <c r="G211" s="731"/>
      <c r="H211" s="731"/>
      <c r="I211" s="731"/>
      <c r="J211" s="731"/>
      <c r="K211" s="731"/>
    </row>
    <row r="212">
      <c r="A212" s="408"/>
      <c r="B212" s="730"/>
      <c r="C212" s="731"/>
      <c r="D212" s="732"/>
      <c r="E212" s="733"/>
      <c r="F212" s="730"/>
      <c r="G212" s="731"/>
      <c r="H212" s="731"/>
      <c r="I212" s="731"/>
      <c r="J212" s="731"/>
      <c r="K212" s="731"/>
    </row>
    <row r="213">
      <c r="A213" s="408"/>
      <c r="B213" s="730"/>
      <c r="C213" s="731"/>
      <c r="D213" s="732"/>
      <c r="E213" s="733"/>
      <c r="F213" s="730"/>
      <c r="G213" s="731"/>
      <c r="H213" s="731"/>
      <c r="I213" s="731"/>
      <c r="J213" s="731"/>
      <c r="K213" s="731"/>
    </row>
    <row r="214">
      <c r="A214" s="408"/>
      <c r="B214" s="730"/>
      <c r="C214" s="731"/>
      <c r="D214" s="732"/>
      <c r="E214" s="733"/>
      <c r="F214" s="730"/>
      <c r="G214" s="731"/>
      <c r="H214" s="731"/>
      <c r="I214" s="731"/>
      <c r="J214" s="731"/>
      <c r="K214" s="731"/>
    </row>
    <row r="215">
      <c r="A215" s="408"/>
      <c r="B215" s="730"/>
      <c r="C215" s="731"/>
      <c r="D215" s="732"/>
      <c r="E215" s="733"/>
      <c r="F215" s="730"/>
      <c r="G215" s="731"/>
      <c r="H215" s="731"/>
      <c r="I215" s="731"/>
      <c r="J215" s="731"/>
      <c r="K215" s="731"/>
    </row>
    <row r="216">
      <c r="A216" s="408"/>
      <c r="B216" s="730"/>
      <c r="C216" s="731"/>
      <c r="D216" s="732"/>
      <c r="E216" s="733"/>
      <c r="F216" s="730"/>
      <c r="G216" s="731"/>
      <c r="H216" s="731"/>
      <c r="I216" s="731"/>
      <c r="J216" s="731"/>
      <c r="K216" s="731"/>
    </row>
    <row r="217">
      <c r="A217" s="408"/>
      <c r="B217" s="730"/>
      <c r="C217" s="731"/>
      <c r="D217" s="732"/>
      <c r="E217" s="733"/>
      <c r="F217" s="730"/>
      <c r="G217" s="731"/>
      <c r="H217" s="731"/>
      <c r="I217" s="731"/>
      <c r="J217" s="731"/>
      <c r="K217" s="731"/>
    </row>
    <row r="218">
      <c r="A218" s="408"/>
      <c r="B218" s="730"/>
      <c r="C218" s="731"/>
      <c r="D218" s="732"/>
      <c r="E218" s="733"/>
      <c r="F218" s="730"/>
      <c r="G218" s="731"/>
      <c r="H218" s="731"/>
      <c r="I218" s="731"/>
      <c r="J218" s="731"/>
      <c r="K218" s="731"/>
    </row>
    <row r="219">
      <c r="A219" s="408"/>
      <c r="B219" s="730"/>
      <c r="C219" s="731"/>
      <c r="D219" s="732"/>
      <c r="E219" s="733"/>
      <c r="F219" s="730"/>
      <c r="G219" s="731"/>
      <c r="H219" s="731"/>
      <c r="I219" s="731"/>
      <c r="J219" s="731"/>
      <c r="K219" s="731"/>
    </row>
    <row r="220">
      <c r="A220" s="408"/>
      <c r="B220" s="730"/>
      <c r="C220" s="731"/>
      <c r="D220" s="732"/>
      <c r="E220" s="733"/>
      <c r="F220" s="730"/>
      <c r="G220" s="731"/>
      <c r="H220" s="731"/>
      <c r="I220" s="731"/>
      <c r="J220" s="731"/>
      <c r="K220" s="731"/>
    </row>
    <row r="221">
      <c r="A221" s="408"/>
      <c r="B221" s="730"/>
      <c r="C221" s="731"/>
      <c r="D221" s="732"/>
      <c r="E221" s="733"/>
      <c r="F221" s="730"/>
      <c r="G221" s="731"/>
      <c r="H221" s="731"/>
      <c r="I221" s="731"/>
      <c r="J221" s="731"/>
      <c r="K221" s="731"/>
    </row>
    <row r="222">
      <c r="A222" s="408"/>
      <c r="B222" s="730"/>
      <c r="C222" s="731"/>
      <c r="D222" s="732"/>
      <c r="E222" s="733"/>
      <c r="F222" s="730"/>
      <c r="G222" s="731"/>
      <c r="H222" s="731"/>
      <c r="I222" s="731"/>
      <c r="J222" s="731"/>
      <c r="K222" s="731"/>
    </row>
    <row r="223">
      <c r="A223" s="408"/>
      <c r="B223" s="730"/>
      <c r="C223" s="731"/>
      <c r="D223" s="732"/>
      <c r="E223" s="733"/>
      <c r="F223" s="730"/>
      <c r="G223" s="731"/>
      <c r="H223" s="731"/>
      <c r="I223" s="731"/>
      <c r="J223" s="731"/>
      <c r="K223" s="731"/>
    </row>
    <row r="224">
      <c r="A224" s="408"/>
      <c r="B224" s="730"/>
      <c r="C224" s="731"/>
      <c r="D224" s="732"/>
      <c r="E224" s="733"/>
      <c r="F224" s="730"/>
      <c r="G224" s="731"/>
      <c r="H224" s="731"/>
      <c r="I224" s="731"/>
      <c r="J224" s="731"/>
      <c r="K224" s="731"/>
    </row>
    <row r="225">
      <c r="A225" s="408"/>
      <c r="B225" s="730"/>
      <c r="C225" s="731"/>
      <c r="D225" s="732"/>
      <c r="E225" s="733"/>
      <c r="F225" s="730"/>
      <c r="G225" s="731"/>
      <c r="H225" s="731"/>
      <c r="I225" s="731"/>
      <c r="J225" s="731"/>
      <c r="K225" s="731"/>
    </row>
    <row r="226">
      <c r="A226" s="408"/>
      <c r="B226" s="730"/>
      <c r="C226" s="731"/>
      <c r="D226" s="732"/>
      <c r="E226" s="733"/>
      <c r="F226" s="730"/>
      <c r="G226" s="731"/>
      <c r="H226" s="731"/>
      <c r="I226" s="731"/>
      <c r="J226" s="731"/>
      <c r="K226" s="731"/>
    </row>
    <row r="227">
      <c r="A227" s="408"/>
      <c r="B227" s="730"/>
      <c r="C227" s="731"/>
      <c r="D227" s="732"/>
      <c r="E227" s="733"/>
      <c r="F227" s="730"/>
      <c r="G227" s="731"/>
      <c r="H227" s="731"/>
      <c r="I227" s="731"/>
      <c r="J227" s="731"/>
      <c r="K227" s="731"/>
    </row>
    <row r="228">
      <c r="A228" s="408"/>
      <c r="B228" s="730"/>
      <c r="C228" s="731"/>
      <c r="D228" s="732"/>
      <c r="E228" s="733"/>
      <c r="F228" s="730"/>
      <c r="G228" s="731"/>
      <c r="H228" s="731"/>
      <c r="I228" s="731"/>
      <c r="J228" s="731"/>
      <c r="K228" s="731"/>
    </row>
    <row r="229">
      <c r="A229" s="408"/>
      <c r="B229" s="730"/>
      <c r="C229" s="731"/>
      <c r="D229" s="732"/>
      <c r="E229" s="733"/>
      <c r="F229" s="730"/>
      <c r="G229" s="731"/>
      <c r="H229" s="731"/>
      <c r="I229" s="731"/>
      <c r="J229" s="731"/>
      <c r="K229" s="731"/>
    </row>
    <row r="230">
      <c r="A230" s="408"/>
      <c r="B230" s="730"/>
      <c r="C230" s="731"/>
      <c r="D230" s="732"/>
      <c r="E230" s="733"/>
      <c r="F230" s="730"/>
      <c r="G230" s="731"/>
      <c r="H230" s="731"/>
      <c r="I230" s="731"/>
      <c r="J230" s="731"/>
      <c r="K230" s="731"/>
    </row>
    <row r="231">
      <c r="A231" s="408"/>
      <c r="B231" s="730"/>
      <c r="C231" s="731"/>
      <c r="D231" s="732"/>
      <c r="E231" s="733"/>
      <c r="F231" s="730"/>
      <c r="G231" s="731"/>
      <c r="H231" s="731"/>
      <c r="I231" s="731"/>
      <c r="J231" s="731"/>
      <c r="K231" s="731"/>
    </row>
    <row r="232">
      <c r="A232" s="408"/>
      <c r="B232" s="730"/>
      <c r="C232" s="731"/>
      <c r="D232" s="732"/>
      <c r="E232" s="733"/>
      <c r="F232" s="730"/>
      <c r="G232" s="731"/>
      <c r="H232" s="731"/>
      <c r="I232" s="731"/>
      <c r="J232" s="731"/>
      <c r="K232" s="731"/>
    </row>
    <row r="233">
      <c r="A233" s="408"/>
      <c r="B233" s="730"/>
      <c r="C233" s="731"/>
      <c r="D233" s="732"/>
      <c r="E233" s="733"/>
      <c r="F233" s="730"/>
      <c r="G233" s="731"/>
      <c r="H233" s="731"/>
      <c r="I233" s="731"/>
      <c r="J233" s="731"/>
      <c r="K233" s="731"/>
    </row>
    <row r="234">
      <c r="A234" s="408"/>
      <c r="B234" s="730"/>
      <c r="C234" s="731"/>
      <c r="D234" s="732"/>
      <c r="E234" s="733"/>
      <c r="F234" s="730"/>
      <c r="G234" s="731"/>
      <c r="H234" s="731"/>
      <c r="I234" s="731"/>
      <c r="J234" s="731"/>
      <c r="K234" s="731"/>
    </row>
    <row r="235">
      <c r="A235" s="408"/>
      <c r="B235" s="730"/>
      <c r="C235" s="731"/>
      <c r="D235" s="732"/>
      <c r="E235" s="733"/>
      <c r="F235" s="730"/>
      <c r="G235" s="731"/>
      <c r="H235" s="731"/>
      <c r="I235" s="731"/>
      <c r="J235" s="731"/>
      <c r="K235" s="731"/>
    </row>
    <row r="236">
      <c r="A236" s="408"/>
      <c r="B236" s="730"/>
      <c r="C236" s="731"/>
      <c r="D236" s="732"/>
      <c r="E236" s="733"/>
      <c r="F236" s="730"/>
      <c r="G236" s="731"/>
      <c r="H236" s="731"/>
      <c r="I236" s="731"/>
      <c r="J236" s="731"/>
      <c r="K236" s="731"/>
    </row>
    <row r="237">
      <c r="A237" s="408"/>
      <c r="B237" s="730"/>
      <c r="C237" s="731"/>
      <c r="D237" s="732"/>
      <c r="E237" s="733"/>
      <c r="F237" s="730"/>
      <c r="G237" s="731"/>
      <c r="H237" s="731"/>
      <c r="I237" s="731"/>
      <c r="J237" s="731"/>
      <c r="K237" s="731"/>
    </row>
    <row r="238">
      <c r="A238" s="408"/>
      <c r="B238" s="730"/>
      <c r="C238" s="731"/>
      <c r="D238" s="732"/>
      <c r="E238" s="733"/>
      <c r="F238" s="730"/>
      <c r="G238" s="731"/>
      <c r="H238" s="731"/>
      <c r="I238" s="731"/>
      <c r="J238" s="731"/>
      <c r="K238" s="731"/>
    </row>
    <row r="239">
      <c r="A239" s="408"/>
      <c r="B239" s="730"/>
      <c r="C239" s="731"/>
      <c r="D239" s="732"/>
      <c r="E239" s="733"/>
      <c r="F239" s="730"/>
      <c r="G239" s="731"/>
      <c r="H239" s="731"/>
      <c r="I239" s="731"/>
      <c r="J239" s="731"/>
      <c r="K239" s="731"/>
    </row>
    <row r="240">
      <c r="A240" s="408"/>
      <c r="B240" s="730"/>
      <c r="C240" s="731"/>
      <c r="D240" s="732"/>
      <c r="E240" s="733"/>
      <c r="F240" s="730"/>
      <c r="G240" s="731"/>
      <c r="H240" s="731"/>
      <c r="I240" s="731"/>
      <c r="J240" s="731"/>
      <c r="K240" s="731"/>
    </row>
    <row r="241">
      <c r="A241" s="408"/>
      <c r="B241" s="730"/>
      <c r="C241" s="731"/>
      <c r="D241" s="732"/>
      <c r="E241" s="733"/>
      <c r="F241" s="730"/>
      <c r="G241" s="731"/>
      <c r="H241" s="731"/>
      <c r="I241" s="731"/>
      <c r="J241" s="731"/>
      <c r="K241" s="731"/>
    </row>
    <row r="242">
      <c r="A242" s="408"/>
      <c r="B242" s="730"/>
      <c r="C242" s="731"/>
      <c r="D242" s="732"/>
      <c r="E242" s="733"/>
      <c r="F242" s="730"/>
      <c r="G242" s="731"/>
      <c r="H242" s="731"/>
      <c r="I242" s="731"/>
      <c r="J242" s="731"/>
      <c r="K242" s="731"/>
    </row>
    <row r="243">
      <c r="A243" s="408"/>
      <c r="B243" s="730"/>
      <c r="C243" s="731"/>
      <c r="D243" s="732"/>
      <c r="E243" s="733"/>
      <c r="F243" s="730"/>
      <c r="G243" s="731"/>
      <c r="H243" s="731"/>
      <c r="I243" s="731"/>
      <c r="J243" s="731"/>
      <c r="K243" s="731"/>
    </row>
    <row r="244">
      <c r="A244" s="408"/>
      <c r="B244" s="730"/>
      <c r="C244" s="731"/>
      <c r="D244" s="732"/>
      <c r="E244" s="733"/>
      <c r="F244" s="730"/>
      <c r="G244" s="731"/>
      <c r="H244" s="731"/>
      <c r="I244" s="731"/>
      <c r="J244" s="731"/>
      <c r="K244" s="731"/>
    </row>
    <row r="245">
      <c r="A245" s="408"/>
      <c r="B245" s="730"/>
      <c r="C245" s="731"/>
      <c r="D245" s="732"/>
      <c r="E245" s="733"/>
      <c r="F245" s="730"/>
      <c r="G245" s="731"/>
      <c r="H245" s="731"/>
      <c r="I245" s="731"/>
      <c r="J245" s="731"/>
      <c r="K245" s="731"/>
    </row>
    <row r="246">
      <c r="A246" s="408"/>
      <c r="B246" s="730"/>
      <c r="C246" s="731"/>
      <c r="D246" s="732"/>
      <c r="E246" s="733"/>
      <c r="F246" s="730"/>
      <c r="G246" s="731"/>
      <c r="H246" s="731"/>
      <c r="I246" s="731"/>
      <c r="J246" s="731"/>
      <c r="K246" s="731"/>
    </row>
    <row r="247">
      <c r="A247" s="408"/>
      <c r="B247" s="730"/>
      <c r="C247" s="731"/>
      <c r="D247" s="732"/>
      <c r="E247" s="733"/>
      <c r="F247" s="730"/>
      <c r="G247" s="731"/>
      <c r="H247" s="731"/>
      <c r="I247" s="731"/>
      <c r="J247" s="731"/>
      <c r="K247" s="731"/>
    </row>
    <row r="248">
      <c r="A248" s="408"/>
      <c r="B248" s="730"/>
      <c r="C248" s="731"/>
      <c r="D248" s="732"/>
      <c r="E248" s="733"/>
      <c r="F248" s="730"/>
      <c r="G248" s="731"/>
      <c r="H248" s="731"/>
      <c r="I248" s="731"/>
      <c r="J248" s="731"/>
      <c r="K248" s="731"/>
    </row>
    <row r="249">
      <c r="A249" s="408"/>
      <c r="B249" s="730"/>
      <c r="C249" s="731"/>
      <c r="D249" s="732"/>
      <c r="E249" s="733"/>
      <c r="F249" s="730"/>
      <c r="G249" s="731"/>
      <c r="H249" s="731"/>
      <c r="I249" s="731"/>
      <c r="J249" s="731"/>
      <c r="K249" s="731"/>
    </row>
    <row r="250">
      <c r="A250" s="408"/>
      <c r="B250" s="730"/>
      <c r="C250" s="731"/>
      <c r="D250" s="732"/>
      <c r="E250" s="733"/>
      <c r="F250" s="730"/>
      <c r="G250" s="731"/>
      <c r="H250" s="731"/>
      <c r="I250" s="731"/>
      <c r="J250" s="731"/>
      <c r="K250" s="731"/>
    </row>
    <row r="251">
      <c r="A251" s="408"/>
      <c r="B251" s="730"/>
      <c r="C251" s="731"/>
      <c r="D251" s="732"/>
      <c r="E251" s="733"/>
      <c r="F251" s="730"/>
      <c r="G251" s="731"/>
      <c r="H251" s="731"/>
      <c r="I251" s="731"/>
      <c r="J251" s="731"/>
      <c r="K251" s="731"/>
    </row>
    <row r="252">
      <c r="A252" s="408"/>
      <c r="B252" s="730"/>
      <c r="C252" s="731"/>
      <c r="D252" s="732"/>
      <c r="E252" s="733"/>
      <c r="F252" s="730"/>
      <c r="G252" s="731"/>
      <c r="H252" s="731"/>
      <c r="I252" s="731"/>
      <c r="J252" s="731"/>
      <c r="K252" s="731"/>
    </row>
    <row r="253">
      <c r="A253" s="408"/>
      <c r="B253" s="730"/>
      <c r="C253" s="731"/>
      <c r="D253" s="732"/>
      <c r="E253" s="733"/>
      <c r="F253" s="730"/>
      <c r="G253" s="731"/>
      <c r="H253" s="731"/>
      <c r="I253" s="731"/>
      <c r="J253" s="731"/>
      <c r="K253" s="731"/>
    </row>
    <row r="254">
      <c r="A254" s="408"/>
      <c r="B254" s="730"/>
      <c r="C254" s="731"/>
      <c r="D254" s="732"/>
      <c r="E254" s="733"/>
      <c r="F254" s="730"/>
      <c r="G254" s="731"/>
      <c r="H254" s="731"/>
      <c r="I254" s="731"/>
      <c r="J254" s="731"/>
      <c r="K254" s="731"/>
    </row>
    <row r="255">
      <c r="A255" s="408"/>
      <c r="B255" s="730"/>
      <c r="C255" s="731"/>
      <c r="D255" s="732"/>
      <c r="E255" s="733"/>
      <c r="F255" s="730"/>
      <c r="G255" s="731"/>
      <c r="H255" s="731"/>
      <c r="I255" s="731"/>
      <c r="J255" s="731"/>
      <c r="K255" s="731"/>
    </row>
    <row r="256">
      <c r="A256" s="408"/>
      <c r="B256" s="730"/>
      <c r="C256" s="731"/>
      <c r="D256" s="732"/>
      <c r="E256" s="733"/>
      <c r="F256" s="730"/>
      <c r="G256" s="731"/>
      <c r="H256" s="731"/>
      <c r="I256" s="731"/>
      <c r="J256" s="731"/>
      <c r="K256" s="731"/>
    </row>
    <row r="257">
      <c r="A257" s="408"/>
      <c r="B257" s="730"/>
      <c r="C257" s="731"/>
      <c r="D257" s="732"/>
      <c r="E257" s="733"/>
      <c r="F257" s="730"/>
      <c r="G257" s="731"/>
      <c r="H257" s="731"/>
      <c r="I257" s="731"/>
      <c r="J257" s="731"/>
      <c r="K257" s="731"/>
    </row>
    <row r="258">
      <c r="A258" s="408"/>
      <c r="B258" s="730"/>
      <c r="C258" s="731"/>
      <c r="D258" s="732"/>
      <c r="E258" s="733"/>
      <c r="F258" s="730"/>
      <c r="G258" s="731"/>
      <c r="H258" s="731"/>
      <c r="I258" s="731"/>
      <c r="J258" s="731"/>
      <c r="K258" s="731"/>
    </row>
    <row r="259">
      <c r="A259" s="408"/>
      <c r="B259" s="730"/>
      <c r="C259" s="731"/>
      <c r="D259" s="732"/>
      <c r="E259" s="733"/>
      <c r="F259" s="730"/>
      <c r="G259" s="731"/>
      <c r="H259" s="731"/>
      <c r="I259" s="731"/>
      <c r="J259" s="731"/>
      <c r="K259" s="731"/>
    </row>
    <row r="260">
      <c r="A260" s="408"/>
      <c r="B260" s="730"/>
      <c r="C260" s="731"/>
      <c r="D260" s="732"/>
      <c r="E260" s="733"/>
      <c r="F260" s="730"/>
      <c r="G260" s="731"/>
      <c r="H260" s="731"/>
      <c r="I260" s="731"/>
      <c r="J260" s="731"/>
      <c r="K260" s="731"/>
    </row>
    <row r="261">
      <c r="A261" s="408"/>
      <c r="B261" s="730"/>
      <c r="C261" s="731"/>
      <c r="D261" s="732"/>
      <c r="E261" s="733"/>
      <c r="F261" s="730"/>
      <c r="G261" s="731"/>
      <c r="H261" s="731"/>
      <c r="I261" s="731"/>
      <c r="J261" s="731"/>
      <c r="K261" s="731"/>
    </row>
    <row r="262">
      <c r="A262" s="408"/>
      <c r="B262" s="730"/>
      <c r="C262" s="731"/>
      <c r="D262" s="732"/>
      <c r="E262" s="733"/>
      <c r="F262" s="730"/>
      <c r="G262" s="731"/>
      <c r="H262" s="731"/>
      <c r="I262" s="731"/>
      <c r="J262" s="731"/>
      <c r="K262" s="731"/>
    </row>
    <row r="263">
      <c r="A263" s="408"/>
      <c r="B263" s="730"/>
      <c r="C263" s="731"/>
      <c r="D263" s="732"/>
      <c r="E263" s="733"/>
      <c r="F263" s="730"/>
      <c r="G263" s="731"/>
      <c r="H263" s="731"/>
      <c r="I263" s="731"/>
      <c r="J263" s="731"/>
      <c r="K263" s="731"/>
    </row>
    <row r="264">
      <c r="A264" s="408"/>
      <c r="B264" s="730"/>
      <c r="C264" s="731"/>
      <c r="D264" s="732"/>
      <c r="E264" s="733"/>
      <c r="F264" s="730"/>
      <c r="G264" s="731"/>
      <c r="H264" s="731"/>
      <c r="I264" s="731"/>
      <c r="J264" s="731"/>
      <c r="K264" s="731"/>
    </row>
    <row r="265">
      <c r="A265" s="408"/>
      <c r="B265" s="730"/>
      <c r="C265" s="731"/>
      <c r="D265" s="732"/>
      <c r="E265" s="733"/>
      <c r="F265" s="730"/>
      <c r="G265" s="731"/>
      <c r="H265" s="731"/>
      <c r="I265" s="731"/>
      <c r="J265" s="731"/>
      <c r="K265" s="731"/>
    </row>
    <row r="266">
      <c r="A266" s="408"/>
      <c r="B266" s="730"/>
      <c r="C266" s="731"/>
      <c r="D266" s="732"/>
      <c r="E266" s="733"/>
      <c r="F266" s="730"/>
      <c r="G266" s="731"/>
      <c r="H266" s="731"/>
      <c r="I266" s="731"/>
      <c r="J266" s="731"/>
      <c r="K266" s="731"/>
    </row>
    <row r="267">
      <c r="A267" s="408"/>
      <c r="B267" s="730"/>
      <c r="C267" s="731"/>
      <c r="D267" s="732"/>
      <c r="E267" s="733"/>
      <c r="F267" s="730"/>
      <c r="G267" s="731"/>
      <c r="H267" s="731"/>
      <c r="I267" s="731"/>
      <c r="J267" s="731"/>
      <c r="K267" s="731"/>
    </row>
    <row r="268">
      <c r="A268" s="408"/>
      <c r="B268" s="730"/>
      <c r="C268" s="731"/>
      <c r="D268" s="732"/>
      <c r="E268" s="733"/>
      <c r="F268" s="730"/>
      <c r="G268" s="731"/>
      <c r="H268" s="731"/>
      <c r="I268" s="731"/>
      <c r="J268" s="731"/>
      <c r="K268" s="731"/>
    </row>
    <row r="269">
      <c r="A269" s="408"/>
      <c r="B269" s="730"/>
      <c r="C269" s="731"/>
      <c r="D269" s="732"/>
      <c r="E269" s="733"/>
      <c r="F269" s="730"/>
      <c r="G269" s="731"/>
      <c r="H269" s="731"/>
      <c r="I269" s="731"/>
      <c r="J269" s="731"/>
      <c r="K269" s="731"/>
    </row>
    <row r="270">
      <c r="A270" s="408"/>
      <c r="B270" s="730"/>
      <c r="C270" s="731"/>
      <c r="D270" s="732"/>
      <c r="E270" s="733"/>
      <c r="F270" s="730"/>
      <c r="G270" s="731"/>
      <c r="H270" s="731"/>
      <c r="I270" s="731"/>
      <c r="J270" s="731"/>
      <c r="K270" s="731"/>
    </row>
    <row r="271">
      <c r="A271" s="408"/>
      <c r="B271" s="730"/>
      <c r="C271" s="731"/>
      <c r="D271" s="732"/>
      <c r="E271" s="733"/>
      <c r="F271" s="730"/>
      <c r="G271" s="731"/>
      <c r="H271" s="731"/>
      <c r="I271" s="731"/>
      <c r="J271" s="731"/>
      <c r="K271" s="731"/>
    </row>
    <row r="272">
      <c r="A272" s="408"/>
      <c r="B272" s="730"/>
      <c r="C272" s="731"/>
      <c r="D272" s="732"/>
      <c r="E272" s="733"/>
      <c r="F272" s="730"/>
      <c r="G272" s="731"/>
      <c r="H272" s="731"/>
      <c r="I272" s="731"/>
      <c r="J272" s="731"/>
      <c r="K272" s="731"/>
    </row>
    <row r="273">
      <c r="A273" s="408"/>
      <c r="B273" s="730"/>
      <c r="C273" s="731"/>
      <c r="D273" s="732"/>
      <c r="E273" s="733"/>
      <c r="F273" s="730"/>
      <c r="G273" s="731"/>
      <c r="H273" s="731"/>
      <c r="I273" s="731"/>
      <c r="J273" s="731"/>
      <c r="K273" s="731"/>
    </row>
    <row r="274">
      <c r="A274" s="408"/>
      <c r="B274" s="730"/>
      <c r="C274" s="731"/>
      <c r="D274" s="732"/>
      <c r="E274" s="733"/>
      <c r="F274" s="730"/>
      <c r="G274" s="731"/>
      <c r="H274" s="731"/>
      <c r="I274" s="731"/>
      <c r="J274" s="731"/>
      <c r="K274" s="731"/>
    </row>
    <row r="275">
      <c r="A275" s="408"/>
      <c r="B275" s="730"/>
      <c r="C275" s="731"/>
      <c r="D275" s="732"/>
      <c r="E275" s="733"/>
      <c r="F275" s="730"/>
      <c r="G275" s="731"/>
      <c r="H275" s="731"/>
      <c r="I275" s="731"/>
      <c r="J275" s="731"/>
      <c r="K275" s="731"/>
    </row>
    <row r="276">
      <c r="A276" s="408"/>
      <c r="B276" s="730"/>
      <c r="C276" s="731"/>
      <c r="D276" s="732"/>
      <c r="E276" s="733"/>
      <c r="F276" s="730"/>
      <c r="G276" s="731"/>
      <c r="H276" s="731"/>
      <c r="I276" s="731"/>
      <c r="J276" s="731"/>
      <c r="K276" s="731"/>
    </row>
    <row r="277">
      <c r="A277" s="408"/>
      <c r="B277" s="730"/>
      <c r="C277" s="731"/>
      <c r="D277" s="732"/>
      <c r="E277" s="733"/>
      <c r="F277" s="730"/>
      <c r="G277" s="731"/>
      <c r="H277" s="731"/>
      <c r="I277" s="731"/>
      <c r="J277" s="731"/>
      <c r="K277" s="731"/>
    </row>
    <row r="278">
      <c r="A278" s="408"/>
      <c r="B278" s="730"/>
      <c r="C278" s="731"/>
      <c r="D278" s="732"/>
      <c r="E278" s="733"/>
      <c r="F278" s="730"/>
      <c r="G278" s="731"/>
      <c r="H278" s="731"/>
      <c r="I278" s="731"/>
      <c r="J278" s="731"/>
      <c r="K278" s="731"/>
    </row>
    <row r="279">
      <c r="A279" s="408"/>
      <c r="B279" s="730"/>
      <c r="C279" s="731"/>
      <c r="D279" s="732"/>
      <c r="E279" s="733"/>
      <c r="F279" s="730"/>
      <c r="G279" s="731"/>
      <c r="H279" s="731"/>
      <c r="I279" s="731"/>
      <c r="J279" s="731"/>
      <c r="K279" s="731"/>
    </row>
    <row r="280">
      <c r="A280" s="408"/>
      <c r="B280" s="730"/>
      <c r="C280" s="731"/>
      <c r="D280" s="732"/>
      <c r="E280" s="733"/>
      <c r="F280" s="730"/>
      <c r="G280" s="731"/>
      <c r="H280" s="731"/>
      <c r="I280" s="731"/>
      <c r="J280" s="731"/>
      <c r="K280" s="731"/>
    </row>
    <row r="281">
      <c r="A281" s="408"/>
      <c r="B281" s="730"/>
      <c r="C281" s="731"/>
      <c r="D281" s="732"/>
      <c r="E281" s="733"/>
      <c r="F281" s="730"/>
      <c r="G281" s="731"/>
      <c r="H281" s="731"/>
      <c r="I281" s="731"/>
      <c r="J281" s="731"/>
      <c r="K281" s="731"/>
    </row>
    <row r="282">
      <c r="A282" s="408"/>
      <c r="B282" s="730"/>
      <c r="C282" s="731"/>
      <c r="D282" s="732"/>
      <c r="E282" s="733"/>
      <c r="F282" s="730"/>
      <c r="G282" s="731"/>
      <c r="H282" s="731"/>
      <c r="I282" s="731"/>
      <c r="J282" s="731"/>
      <c r="K282" s="731"/>
    </row>
    <row r="283">
      <c r="A283" s="408"/>
      <c r="B283" s="730"/>
      <c r="C283" s="731"/>
      <c r="D283" s="732"/>
      <c r="E283" s="733"/>
      <c r="F283" s="730"/>
      <c r="G283" s="731"/>
      <c r="H283" s="731"/>
      <c r="I283" s="731"/>
      <c r="J283" s="731"/>
      <c r="K283" s="731"/>
    </row>
    <row r="284">
      <c r="A284" s="408"/>
      <c r="B284" s="730"/>
      <c r="C284" s="731"/>
      <c r="D284" s="732"/>
      <c r="E284" s="733"/>
      <c r="F284" s="730"/>
      <c r="G284" s="731"/>
      <c r="H284" s="731"/>
      <c r="I284" s="731"/>
      <c r="J284" s="731"/>
      <c r="K284" s="731"/>
    </row>
    <row r="285">
      <c r="A285" s="408"/>
      <c r="B285" s="730"/>
      <c r="C285" s="731"/>
      <c r="D285" s="732"/>
      <c r="E285" s="733"/>
      <c r="F285" s="730"/>
      <c r="G285" s="731"/>
      <c r="H285" s="731"/>
      <c r="I285" s="731"/>
      <c r="J285" s="731"/>
      <c r="K285" s="731"/>
    </row>
    <row r="286">
      <c r="A286" s="408"/>
      <c r="B286" s="730"/>
      <c r="C286" s="731"/>
      <c r="D286" s="732"/>
      <c r="E286" s="733"/>
      <c r="F286" s="730"/>
      <c r="G286" s="731"/>
      <c r="H286" s="731"/>
      <c r="I286" s="731"/>
      <c r="J286" s="731"/>
      <c r="K286" s="731"/>
    </row>
    <row r="287">
      <c r="A287" s="408"/>
      <c r="B287" s="730"/>
      <c r="C287" s="731"/>
      <c r="D287" s="732"/>
      <c r="E287" s="733"/>
      <c r="F287" s="730"/>
      <c r="G287" s="731"/>
      <c r="H287" s="731"/>
      <c r="I287" s="731"/>
      <c r="J287" s="731"/>
      <c r="K287" s="731"/>
    </row>
    <row r="288">
      <c r="A288" s="408"/>
      <c r="B288" s="730"/>
      <c r="C288" s="731"/>
      <c r="D288" s="732"/>
      <c r="E288" s="733"/>
      <c r="F288" s="730"/>
      <c r="G288" s="731"/>
      <c r="H288" s="731"/>
      <c r="I288" s="731"/>
      <c r="J288" s="731"/>
      <c r="K288" s="731"/>
    </row>
    <row r="289">
      <c r="A289" s="408"/>
      <c r="B289" s="730"/>
      <c r="C289" s="731"/>
      <c r="D289" s="732"/>
      <c r="E289" s="733"/>
      <c r="F289" s="730"/>
      <c r="G289" s="731"/>
      <c r="H289" s="731"/>
      <c r="I289" s="731"/>
      <c r="J289" s="731"/>
      <c r="K289" s="731"/>
    </row>
    <row r="290">
      <c r="A290" s="408"/>
      <c r="B290" s="730"/>
      <c r="C290" s="731"/>
      <c r="D290" s="732"/>
      <c r="E290" s="733"/>
      <c r="F290" s="730"/>
      <c r="G290" s="731"/>
      <c r="H290" s="731"/>
      <c r="I290" s="731"/>
      <c r="J290" s="731"/>
      <c r="K290" s="731"/>
    </row>
    <row r="291">
      <c r="A291" s="408"/>
      <c r="B291" s="730"/>
      <c r="C291" s="731"/>
      <c r="D291" s="732"/>
      <c r="E291" s="733"/>
      <c r="F291" s="730"/>
      <c r="G291" s="731"/>
      <c r="H291" s="731"/>
      <c r="I291" s="731"/>
      <c r="J291" s="731"/>
      <c r="K291" s="731"/>
    </row>
    <row r="292">
      <c r="A292" s="408"/>
      <c r="B292" s="730"/>
      <c r="C292" s="731"/>
      <c r="D292" s="732"/>
      <c r="E292" s="733"/>
      <c r="F292" s="730"/>
      <c r="G292" s="731"/>
      <c r="H292" s="731"/>
      <c r="I292" s="731"/>
      <c r="J292" s="731"/>
      <c r="K292" s="731"/>
    </row>
    <row r="293">
      <c r="A293" s="408"/>
      <c r="B293" s="730"/>
      <c r="C293" s="731"/>
      <c r="D293" s="732"/>
      <c r="E293" s="733"/>
      <c r="F293" s="730"/>
      <c r="G293" s="731"/>
      <c r="H293" s="731"/>
      <c r="I293" s="731"/>
      <c r="J293" s="731"/>
      <c r="K293" s="731"/>
    </row>
    <row r="294">
      <c r="A294" s="408"/>
      <c r="B294" s="730"/>
      <c r="C294" s="731"/>
      <c r="D294" s="732"/>
      <c r="E294" s="733"/>
      <c r="F294" s="730"/>
      <c r="G294" s="731"/>
      <c r="H294" s="731"/>
      <c r="I294" s="731"/>
      <c r="J294" s="731"/>
      <c r="K294" s="731"/>
    </row>
    <row r="295">
      <c r="A295" s="408"/>
      <c r="B295" s="730"/>
      <c r="C295" s="731"/>
      <c r="D295" s="732"/>
      <c r="E295" s="733"/>
      <c r="F295" s="730"/>
      <c r="G295" s="731"/>
      <c r="H295" s="731"/>
      <c r="I295" s="731"/>
      <c r="J295" s="731"/>
      <c r="K295" s="731"/>
    </row>
    <row r="296">
      <c r="A296" s="408"/>
      <c r="B296" s="730"/>
      <c r="C296" s="731"/>
      <c r="D296" s="732"/>
      <c r="E296" s="733"/>
      <c r="F296" s="730"/>
      <c r="G296" s="731"/>
      <c r="H296" s="731"/>
      <c r="I296" s="731"/>
      <c r="J296" s="731"/>
      <c r="K296" s="731"/>
    </row>
    <row r="297">
      <c r="A297" s="408"/>
      <c r="B297" s="730"/>
      <c r="C297" s="731"/>
      <c r="D297" s="732"/>
      <c r="E297" s="733"/>
      <c r="F297" s="730"/>
      <c r="G297" s="731"/>
      <c r="H297" s="731"/>
      <c r="I297" s="731"/>
      <c r="J297" s="731"/>
      <c r="K297" s="731"/>
    </row>
    <row r="298">
      <c r="A298" s="408"/>
      <c r="B298" s="730"/>
      <c r="C298" s="731"/>
      <c r="D298" s="732"/>
      <c r="E298" s="733"/>
      <c r="F298" s="730"/>
      <c r="G298" s="731"/>
      <c r="H298" s="731"/>
      <c r="I298" s="731"/>
      <c r="J298" s="731"/>
      <c r="K298" s="731"/>
    </row>
    <row r="299">
      <c r="A299" s="408"/>
      <c r="B299" s="730"/>
      <c r="C299" s="731"/>
      <c r="D299" s="732"/>
      <c r="E299" s="733"/>
      <c r="F299" s="730"/>
      <c r="G299" s="731"/>
      <c r="H299" s="731"/>
      <c r="I299" s="731"/>
      <c r="J299" s="731"/>
      <c r="K299" s="731"/>
    </row>
    <row r="300">
      <c r="A300" s="408"/>
      <c r="B300" s="730"/>
      <c r="C300" s="731"/>
      <c r="D300" s="732"/>
      <c r="E300" s="733"/>
      <c r="F300" s="730"/>
      <c r="G300" s="731"/>
      <c r="H300" s="731"/>
      <c r="I300" s="731"/>
      <c r="J300" s="731"/>
      <c r="K300" s="731"/>
    </row>
    <row r="301">
      <c r="A301" s="408"/>
      <c r="B301" s="730"/>
      <c r="C301" s="731"/>
      <c r="D301" s="732"/>
      <c r="E301" s="733"/>
      <c r="F301" s="730"/>
      <c r="G301" s="731"/>
      <c r="H301" s="731"/>
      <c r="I301" s="731"/>
      <c r="J301" s="731"/>
      <c r="K301" s="731"/>
    </row>
    <row r="302">
      <c r="A302" s="408"/>
      <c r="B302" s="730"/>
      <c r="C302" s="731"/>
      <c r="D302" s="732"/>
      <c r="E302" s="733"/>
      <c r="F302" s="730"/>
      <c r="G302" s="731"/>
      <c r="H302" s="731"/>
      <c r="I302" s="731"/>
      <c r="J302" s="731"/>
      <c r="K302" s="731"/>
    </row>
    <row r="303">
      <c r="A303" s="408"/>
      <c r="B303" s="730"/>
      <c r="C303" s="731"/>
      <c r="D303" s="732"/>
      <c r="E303" s="733"/>
      <c r="F303" s="730"/>
      <c r="G303" s="731"/>
      <c r="H303" s="731"/>
      <c r="I303" s="731"/>
      <c r="J303" s="731"/>
      <c r="K303" s="731"/>
    </row>
    <row r="304">
      <c r="A304" s="408"/>
      <c r="B304" s="730"/>
      <c r="C304" s="731"/>
      <c r="D304" s="732"/>
      <c r="E304" s="733"/>
      <c r="F304" s="730"/>
      <c r="G304" s="731"/>
      <c r="H304" s="731"/>
      <c r="I304" s="731"/>
      <c r="J304" s="731"/>
      <c r="K304" s="731"/>
    </row>
    <row r="305">
      <c r="A305" s="408"/>
      <c r="B305" s="730"/>
      <c r="C305" s="731"/>
      <c r="D305" s="732"/>
      <c r="E305" s="733"/>
      <c r="F305" s="730"/>
      <c r="G305" s="731"/>
      <c r="H305" s="731"/>
      <c r="I305" s="731"/>
      <c r="J305" s="731"/>
      <c r="K305" s="731"/>
    </row>
    <row r="306">
      <c r="A306" s="408"/>
      <c r="B306" s="730"/>
      <c r="C306" s="731"/>
      <c r="D306" s="732"/>
      <c r="E306" s="733"/>
      <c r="F306" s="730"/>
      <c r="G306" s="731"/>
      <c r="H306" s="731"/>
      <c r="I306" s="731"/>
      <c r="J306" s="731"/>
      <c r="K306" s="731"/>
    </row>
    <row r="307">
      <c r="A307" s="408"/>
      <c r="B307" s="730"/>
      <c r="C307" s="731"/>
      <c r="D307" s="732"/>
      <c r="E307" s="733"/>
      <c r="F307" s="730"/>
      <c r="G307" s="731"/>
      <c r="H307" s="731"/>
      <c r="I307" s="731"/>
      <c r="J307" s="731"/>
      <c r="K307" s="731"/>
    </row>
    <row r="308">
      <c r="A308" s="408"/>
      <c r="B308" s="730"/>
      <c r="C308" s="731"/>
      <c r="D308" s="732"/>
      <c r="E308" s="733"/>
      <c r="F308" s="730"/>
      <c r="G308" s="731"/>
      <c r="H308" s="731"/>
      <c r="I308" s="731"/>
      <c r="J308" s="731"/>
      <c r="K308" s="731"/>
    </row>
    <row r="309">
      <c r="A309" s="408"/>
      <c r="B309" s="730"/>
      <c r="C309" s="731"/>
      <c r="D309" s="732"/>
      <c r="E309" s="733"/>
      <c r="F309" s="730"/>
      <c r="G309" s="731"/>
      <c r="H309" s="731"/>
      <c r="I309" s="731"/>
      <c r="J309" s="731"/>
      <c r="K309" s="731"/>
    </row>
    <row r="310">
      <c r="A310" s="408"/>
      <c r="B310" s="730"/>
      <c r="C310" s="731"/>
      <c r="D310" s="732"/>
      <c r="E310" s="733"/>
      <c r="F310" s="730"/>
      <c r="G310" s="731"/>
      <c r="H310" s="731"/>
      <c r="I310" s="731"/>
      <c r="J310" s="731"/>
      <c r="K310" s="731"/>
    </row>
    <row r="311">
      <c r="A311" s="408"/>
      <c r="B311" s="730"/>
      <c r="C311" s="731"/>
      <c r="D311" s="732"/>
      <c r="E311" s="733"/>
      <c r="F311" s="730"/>
      <c r="G311" s="731"/>
      <c r="H311" s="731"/>
      <c r="I311" s="731"/>
      <c r="J311" s="731"/>
      <c r="K311" s="731"/>
    </row>
    <row r="312">
      <c r="A312" s="408"/>
      <c r="B312" s="730"/>
      <c r="C312" s="731"/>
      <c r="D312" s="732"/>
      <c r="E312" s="733"/>
      <c r="F312" s="730"/>
      <c r="G312" s="731"/>
      <c r="H312" s="731"/>
      <c r="I312" s="731"/>
      <c r="J312" s="731"/>
      <c r="K312" s="731"/>
    </row>
    <row r="313">
      <c r="A313" s="408"/>
      <c r="B313" s="730"/>
      <c r="C313" s="731"/>
      <c r="D313" s="732"/>
      <c r="E313" s="733"/>
      <c r="F313" s="730"/>
      <c r="G313" s="731"/>
      <c r="H313" s="731"/>
      <c r="I313" s="731"/>
      <c r="J313" s="731"/>
      <c r="K313" s="731"/>
    </row>
    <row r="314">
      <c r="A314" s="408"/>
      <c r="B314" s="730"/>
      <c r="C314" s="731"/>
      <c r="D314" s="732"/>
      <c r="E314" s="733"/>
      <c r="F314" s="730"/>
      <c r="G314" s="731"/>
      <c r="H314" s="731"/>
      <c r="I314" s="731"/>
      <c r="J314" s="731"/>
      <c r="K314" s="731"/>
    </row>
    <row r="315">
      <c r="A315" s="408"/>
      <c r="B315" s="730"/>
      <c r="C315" s="731"/>
      <c r="D315" s="732"/>
      <c r="E315" s="733"/>
      <c r="F315" s="730"/>
      <c r="G315" s="731"/>
      <c r="H315" s="731"/>
      <c r="I315" s="731"/>
      <c r="J315" s="731"/>
      <c r="K315" s="731"/>
    </row>
    <row r="316">
      <c r="A316" s="408"/>
      <c r="B316" s="730"/>
      <c r="C316" s="731"/>
      <c r="D316" s="732"/>
      <c r="E316" s="733"/>
      <c r="F316" s="730"/>
      <c r="G316" s="731"/>
      <c r="H316" s="731"/>
      <c r="I316" s="731"/>
      <c r="J316" s="731"/>
      <c r="K316" s="731"/>
    </row>
    <row r="317">
      <c r="A317" s="408"/>
      <c r="B317" s="730"/>
      <c r="C317" s="731"/>
      <c r="D317" s="732"/>
      <c r="E317" s="733"/>
      <c r="F317" s="730"/>
      <c r="G317" s="731"/>
      <c r="H317" s="731"/>
      <c r="I317" s="731"/>
      <c r="J317" s="731"/>
      <c r="K317" s="731"/>
    </row>
    <row r="318">
      <c r="A318" s="408"/>
      <c r="B318" s="730"/>
      <c r="C318" s="731"/>
      <c r="D318" s="732"/>
      <c r="E318" s="733"/>
      <c r="F318" s="730"/>
      <c r="G318" s="731"/>
      <c r="H318" s="731"/>
      <c r="I318" s="731"/>
      <c r="J318" s="731"/>
      <c r="K318" s="731"/>
    </row>
    <row r="319">
      <c r="A319" s="408"/>
      <c r="B319" s="730"/>
      <c r="C319" s="731"/>
      <c r="D319" s="732"/>
      <c r="E319" s="733"/>
      <c r="F319" s="730"/>
      <c r="G319" s="731"/>
      <c r="H319" s="731"/>
      <c r="I319" s="731"/>
      <c r="J319" s="731"/>
      <c r="K319" s="731"/>
    </row>
    <row r="320">
      <c r="A320" s="408"/>
      <c r="B320" s="730"/>
      <c r="C320" s="731"/>
      <c r="D320" s="732"/>
      <c r="E320" s="733"/>
      <c r="F320" s="730"/>
      <c r="G320" s="731"/>
      <c r="H320" s="731"/>
      <c r="I320" s="731"/>
      <c r="J320" s="731"/>
      <c r="K320" s="731"/>
    </row>
    <row r="321">
      <c r="A321" s="408"/>
      <c r="B321" s="730"/>
      <c r="C321" s="731"/>
      <c r="D321" s="732"/>
      <c r="E321" s="733"/>
      <c r="F321" s="730"/>
      <c r="G321" s="731"/>
      <c r="H321" s="731"/>
      <c r="I321" s="731"/>
      <c r="J321" s="731"/>
      <c r="K321" s="731"/>
    </row>
    <row r="322">
      <c r="A322" s="408"/>
      <c r="B322" s="730"/>
      <c r="C322" s="731"/>
      <c r="D322" s="732"/>
      <c r="E322" s="733"/>
      <c r="F322" s="730"/>
      <c r="G322" s="731"/>
      <c r="H322" s="731"/>
      <c r="I322" s="731"/>
      <c r="J322" s="731"/>
      <c r="K322" s="731"/>
    </row>
    <row r="323">
      <c r="A323" s="408"/>
      <c r="B323" s="730"/>
      <c r="C323" s="731"/>
      <c r="D323" s="732"/>
      <c r="E323" s="733"/>
      <c r="F323" s="730"/>
      <c r="G323" s="731"/>
      <c r="H323" s="731"/>
      <c r="I323" s="731"/>
      <c r="J323" s="731"/>
      <c r="K323" s="731"/>
    </row>
    <row r="324">
      <c r="A324" s="408"/>
      <c r="B324" s="730"/>
      <c r="C324" s="731"/>
      <c r="D324" s="732"/>
      <c r="E324" s="733"/>
      <c r="F324" s="730"/>
      <c r="G324" s="731"/>
      <c r="H324" s="731"/>
      <c r="I324" s="731"/>
      <c r="J324" s="731"/>
      <c r="K324" s="731"/>
    </row>
    <row r="325">
      <c r="A325" s="408"/>
      <c r="B325" s="730"/>
      <c r="C325" s="731"/>
      <c r="D325" s="732"/>
      <c r="E325" s="733"/>
      <c r="F325" s="730"/>
      <c r="G325" s="731"/>
      <c r="H325" s="731"/>
      <c r="I325" s="731"/>
      <c r="J325" s="731"/>
      <c r="K325" s="731"/>
    </row>
    <row r="326">
      <c r="A326" s="408"/>
      <c r="B326" s="730"/>
      <c r="C326" s="731"/>
      <c r="D326" s="732"/>
      <c r="E326" s="733"/>
      <c r="F326" s="730"/>
      <c r="G326" s="731"/>
      <c r="H326" s="731"/>
      <c r="I326" s="731"/>
      <c r="J326" s="731"/>
      <c r="K326" s="731"/>
    </row>
    <row r="327">
      <c r="A327" s="408"/>
      <c r="B327" s="730"/>
      <c r="C327" s="731"/>
      <c r="D327" s="732"/>
      <c r="E327" s="733"/>
      <c r="F327" s="730"/>
      <c r="G327" s="731"/>
      <c r="H327" s="731"/>
      <c r="I327" s="731"/>
      <c r="J327" s="731"/>
      <c r="K327" s="731"/>
    </row>
    <row r="328">
      <c r="A328" s="408"/>
      <c r="B328" s="730"/>
      <c r="C328" s="731"/>
      <c r="D328" s="732"/>
      <c r="E328" s="733"/>
      <c r="F328" s="730"/>
      <c r="G328" s="731"/>
      <c r="H328" s="731"/>
      <c r="I328" s="731"/>
      <c r="J328" s="731"/>
      <c r="K328" s="731"/>
    </row>
    <row r="329">
      <c r="A329" s="408"/>
      <c r="B329" s="730"/>
      <c r="C329" s="731"/>
      <c r="D329" s="732"/>
      <c r="E329" s="733"/>
      <c r="F329" s="730"/>
      <c r="G329" s="731"/>
      <c r="H329" s="731"/>
      <c r="I329" s="731"/>
      <c r="J329" s="731"/>
      <c r="K329" s="731"/>
    </row>
    <row r="330">
      <c r="A330" s="408"/>
      <c r="B330" s="730"/>
      <c r="C330" s="731"/>
      <c r="D330" s="732"/>
      <c r="E330" s="733"/>
      <c r="F330" s="730"/>
      <c r="G330" s="731"/>
      <c r="H330" s="731"/>
      <c r="I330" s="731"/>
      <c r="J330" s="731"/>
      <c r="K330" s="731"/>
    </row>
    <row r="331">
      <c r="A331" s="408"/>
      <c r="B331" s="730"/>
      <c r="C331" s="731"/>
      <c r="D331" s="732"/>
      <c r="E331" s="733"/>
      <c r="F331" s="730"/>
      <c r="G331" s="731"/>
      <c r="H331" s="731"/>
      <c r="I331" s="731"/>
      <c r="J331" s="731"/>
      <c r="K331" s="731"/>
    </row>
    <row r="332">
      <c r="A332" s="408"/>
      <c r="B332" s="730"/>
      <c r="C332" s="731"/>
      <c r="D332" s="732"/>
      <c r="E332" s="733"/>
      <c r="F332" s="730"/>
      <c r="G332" s="731"/>
      <c r="H332" s="731"/>
      <c r="I332" s="731"/>
      <c r="J332" s="731"/>
      <c r="K332" s="731"/>
    </row>
    <row r="333">
      <c r="A333" s="408"/>
      <c r="B333" s="730"/>
      <c r="C333" s="731"/>
      <c r="D333" s="732"/>
      <c r="E333" s="733"/>
      <c r="F333" s="730"/>
      <c r="G333" s="731"/>
      <c r="H333" s="731"/>
      <c r="I333" s="731"/>
      <c r="J333" s="731"/>
      <c r="K333" s="731"/>
    </row>
    <row r="334">
      <c r="A334" s="408"/>
      <c r="B334" s="730"/>
      <c r="C334" s="731"/>
      <c r="D334" s="732"/>
      <c r="E334" s="733"/>
      <c r="F334" s="730"/>
      <c r="G334" s="731"/>
      <c r="H334" s="731"/>
      <c r="I334" s="731"/>
      <c r="J334" s="731"/>
      <c r="K334" s="731"/>
    </row>
    <row r="335">
      <c r="A335" s="408"/>
      <c r="B335" s="730"/>
      <c r="C335" s="731"/>
      <c r="D335" s="732"/>
      <c r="E335" s="733"/>
      <c r="F335" s="730"/>
      <c r="G335" s="731"/>
      <c r="H335" s="731"/>
      <c r="I335" s="731"/>
      <c r="J335" s="731"/>
      <c r="K335" s="731"/>
    </row>
    <row r="336">
      <c r="A336" s="408"/>
      <c r="B336" s="730"/>
      <c r="C336" s="731"/>
      <c r="D336" s="732"/>
      <c r="E336" s="733"/>
      <c r="F336" s="730"/>
      <c r="G336" s="731"/>
      <c r="H336" s="731"/>
      <c r="I336" s="731"/>
      <c r="J336" s="731"/>
      <c r="K336" s="731"/>
    </row>
    <row r="337">
      <c r="A337" s="408"/>
      <c r="B337" s="730"/>
      <c r="C337" s="731"/>
      <c r="D337" s="732"/>
      <c r="E337" s="733"/>
      <c r="F337" s="730"/>
      <c r="G337" s="731"/>
      <c r="H337" s="731"/>
      <c r="I337" s="731"/>
      <c r="J337" s="731"/>
      <c r="K337" s="731"/>
    </row>
    <row r="338">
      <c r="A338" s="408"/>
      <c r="B338" s="730"/>
      <c r="C338" s="731"/>
      <c r="D338" s="732"/>
      <c r="E338" s="733"/>
      <c r="F338" s="730"/>
      <c r="G338" s="731"/>
      <c r="H338" s="731"/>
      <c r="I338" s="731"/>
      <c r="J338" s="731"/>
      <c r="K338" s="731"/>
    </row>
    <row r="339">
      <c r="A339" s="408"/>
      <c r="B339" s="730"/>
      <c r="C339" s="731"/>
      <c r="D339" s="732"/>
      <c r="E339" s="733"/>
      <c r="F339" s="730"/>
      <c r="G339" s="731"/>
      <c r="H339" s="731"/>
      <c r="I339" s="731"/>
      <c r="J339" s="731"/>
      <c r="K339" s="731"/>
    </row>
    <row r="340">
      <c r="A340" s="408"/>
      <c r="B340" s="730"/>
      <c r="C340" s="731"/>
      <c r="D340" s="732"/>
      <c r="E340" s="733"/>
      <c r="F340" s="730"/>
      <c r="G340" s="731"/>
      <c r="H340" s="731"/>
      <c r="I340" s="731"/>
      <c r="J340" s="731"/>
      <c r="K340" s="731"/>
    </row>
    <row r="341">
      <c r="A341" s="408"/>
      <c r="B341" s="730"/>
      <c r="C341" s="731"/>
      <c r="D341" s="732"/>
      <c r="E341" s="733"/>
      <c r="F341" s="730"/>
      <c r="G341" s="731"/>
      <c r="H341" s="731"/>
      <c r="I341" s="731"/>
      <c r="J341" s="731"/>
      <c r="K341" s="731"/>
    </row>
    <row r="342">
      <c r="A342" s="408"/>
      <c r="B342" s="730"/>
      <c r="C342" s="731"/>
      <c r="D342" s="732"/>
      <c r="E342" s="733"/>
      <c r="F342" s="730"/>
      <c r="G342" s="731"/>
      <c r="H342" s="731"/>
      <c r="I342" s="731"/>
      <c r="J342" s="731"/>
      <c r="K342" s="731"/>
    </row>
    <row r="343">
      <c r="A343" s="408"/>
      <c r="B343" s="730"/>
      <c r="C343" s="731"/>
      <c r="D343" s="732"/>
      <c r="E343" s="733"/>
      <c r="F343" s="730"/>
      <c r="G343" s="731"/>
      <c r="H343" s="731"/>
      <c r="I343" s="731"/>
      <c r="J343" s="731"/>
      <c r="K343" s="731"/>
    </row>
    <row r="344">
      <c r="A344" s="408"/>
      <c r="B344" s="730"/>
      <c r="C344" s="731"/>
      <c r="D344" s="732"/>
      <c r="E344" s="733"/>
      <c r="F344" s="730"/>
      <c r="G344" s="731"/>
      <c r="H344" s="731"/>
      <c r="I344" s="731"/>
      <c r="J344" s="731"/>
      <c r="K344" s="731"/>
    </row>
    <row r="345">
      <c r="A345" s="408"/>
      <c r="B345" s="730"/>
      <c r="C345" s="731"/>
      <c r="D345" s="732"/>
      <c r="E345" s="733"/>
      <c r="F345" s="730"/>
      <c r="G345" s="731"/>
      <c r="H345" s="731"/>
      <c r="I345" s="731"/>
      <c r="J345" s="731"/>
      <c r="K345" s="731"/>
    </row>
    <row r="346">
      <c r="A346" s="408"/>
      <c r="B346" s="730"/>
      <c r="C346" s="731"/>
      <c r="D346" s="732"/>
      <c r="E346" s="733"/>
      <c r="F346" s="730"/>
      <c r="G346" s="731"/>
      <c r="H346" s="731"/>
      <c r="I346" s="731"/>
      <c r="J346" s="731"/>
      <c r="K346" s="731"/>
    </row>
    <row r="347">
      <c r="A347" s="408"/>
      <c r="B347" s="730"/>
      <c r="C347" s="731"/>
      <c r="D347" s="732"/>
      <c r="E347" s="733"/>
      <c r="F347" s="730"/>
      <c r="G347" s="731"/>
      <c r="H347" s="731"/>
      <c r="I347" s="731"/>
      <c r="J347" s="731"/>
      <c r="K347" s="731"/>
    </row>
    <row r="348">
      <c r="A348" s="408"/>
      <c r="B348" s="730"/>
      <c r="C348" s="731"/>
      <c r="D348" s="732"/>
      <c r="E348" s="733"/>
      <c r="F348" s="730"/>
      <c r="G348" s="731"/>
      <c r="H348" s="731"/>
      <c r="I348" s="731"/>
      <c r="J348" s="731"/>
      <c r="K348" s="731"/>
    </row>
    <row r="349">
      <c r="A349" s="408"/>
      <c r="B349" s="730"/>
      <c r="C349" s="731"/>
      <c r="D349" s="732"/>
      <c r="E349" s="733"/>
      <c r="F349" s="730"/>
      <c r="G349" s="731"/>
      <c r="H349" s="731"/>
      <c r="I349" s="731"/>
      <c r="J349" s="731"/>
      <c r="K349" s="731"/>
    </row>
    <row r="350">
      <c r="A350" s="408"/>
      <c r="B350" s="730"/>
      <c r="C350" s="731"/>
      <c r="D350" s="732"/>
      <c r="E350" s="733"/>
      <c r="F350" s="730"/>
      <c r="G350" s="731"/>
      <c r="H350" s="731"/>
      <c r="I350" s="731"/>
      <c r="J350" s="731"/>
      <c r="K350" s="731"/>
    </row>
    <row r="351">
      <c r="A351" s="408"/>
      <c r="B351" s="730"/>
      <c r="C351" s="731"/>
      <c r="D351" s="732"/>
      <c r="E351" s="733"/>
      <c r="F351" s="730"/>
      <c r="G351" s="731"/>
      <c r="H351" s="731"/>
      <c r="I351" s="731"/>
      <c r="J351" s="731"/>
      <c r="K351" s="731"/>
    </row>
    <row r="352">
      <c r="A352" s="408"/>
      <c r="B352" s="730"/>
      <c r="C352" s="731"/>
      <c r="D352" s="732"/>
      <c r="E352" s="733"/>
      <c r="F352" s="730"/>
      <c r="G352" s="731"/>
      <c r="H352" s="731"/>
      <c r="I352" s="731"/>
      <c r="J352" s="731"/>
      <c r="K352" s="731"/>
    </row>
    <row r="353">
      <c r="A353" s="408"/>
      <c r="B353" s="730"/>
      <c r="C353" s="731"/>
      <c r="D353" s="732"/>
      <c r="E353" s="733"/>
      <c r="F353" s="730"/>
      <c r="G353" s="731"/>
      <c r="H353" s="731"/>
      <c r="I353" s="731"/>
      <c r="J353" s="731"/>
      <c r="K353" s="731"/>
    </row>
    <row r="354">
      <c r="A354" s="408"/>
      <c r="B354" s="730"/>
      <c r="C354" s="731"/>
      <c r="D354" s="732"/>
      <c r="E354" s="733"/>
      <c r="F354" s="730"/>
      <c r="G354" s="731"/>
      <c r="H354" s="731"/>
      <c r="I354" s="731"/>
      <c r="J354" s="731"/>
      <c r="K354" s="731"/>
    </row>
    <row r="355">
      <c r="A355" s="408"/>
      <c r="B355" s="730"/>
      <c r="C355" s="731"/>
      <c r="D355" s="732"/>
      <c r="E355" s="733"/>
      <c r="F355" s="730"/>
      <c r="G355" s="731"/>
      <c r="H355" s="731"/>
      <c r="I355" s="731"/>
      <c r="J355" s="731"/>
      <c r="K355" s="731"/>
    </row>
    <row r="356">
      <c r="A356" s="408"/>
      <c r="B356" s="730"/>
      <c r="C356" s="731"/>
      <c r="D356" s="732"/>
      <c r="E356" s="733"/>
      <c r="F356" s="730"/>
      <c r="G356" s="731"/>
      <c r="H356" s="731"/>
      <c r="I356" s="731"/>
      <c r="J356" s="731"/>
      <c r="K356" s="731"/>
    </row>
    <row r="357">
      <c r="A357" s="408"/>
      <c r="B357" s="730"/>
      <c r="C357" s="731"/>
      <c r="D357" s="732"/>
      <c r="E357" s="733"/>
      <c r="F357" s="730"/>
      <c r="G357" s="731"/>
      <c r="H357" s="731"/>
      <c r="I357" s="731"/>
      <c r="J357" s="731"/>
      <c r="K357" s="731"/>
    </row>
    <row r="358">
      <c r="A358" s="408"/>
      <c r="B358" s="730"/>
      <c r="C358" s="731"/>
      <c r="D358" s="732"/>
      <c r="E358" s="733"/>
      <c r="F358" s="730"/>
      <c r="G358" s="731"/>
      <c r="H358" s="731"/>
      <c r="I358" s="731"/>
      <c r="J358" s="731"/>
      <c r="K358" s="731"/>
    </row>
    <row r="359">
      <c r="A359" s="408"/>
      <c r="B359" s="730"/>
      <c r="C359" s="731"/>
      <c r="D359" s="732"/>
      <c r="E359" s="733"/>
      <c r="F359" s="730"/>
      <c r="G359" s="731"/>
      <c r="H359" s="731"/>
      <c r="I359" s="731"/>
      <c r="J359" s="731"/>
      <c r="K359" s="731"/>
    </row>
    <row r="360">
      <c r="A360" s="408"/>
      <c r="B360" s="730"/>
      <c r="C360" s="731"/>
      <c r="D360" s="732"/>
      <c r="E360" s="733"/>
      <c r="F360" s="730"/>
      <c r="G360" s="731"/>
      <c r="H360" s="731"/>
      <c r="I360" s="731"/>
      <c r="J360" s="731"/>
      <c r="K360" s="731"/>
    </row>
    <row r="361">
      <c r="A361" s="408"/>
      <c r="B361" s="730"/>
      <c r="C361" s="731"/>
      <c r="D361" s="732"/>
      <c r="E361" s="733"/>
      <c r="F361" s="730"/>
      <c r="G361" s="731"/>
      <c r="H361" s="731"/>
      <c r="I361" s="731"/>
      <c r="J361" s="731"/>
      <c r="K361" s="731"/>
    </row>
    <row r="362">
      <c r="A362" s="408"/>
      <c r="B362" s="730"/>
      <c r="C362" s="731"/>
      <c r="D362" s="732"/>
      <c r="E362" s="733"/>
      <c r="F362" s="730"/>
      <c r="G362" s="731"/>
      <c r="H362" s="731"/>
      <c r="I362" s="731"/>
      <c r="J362" s="731"/>
      <c r="K362" s="731"/>
    </row>
    <row r="363">
      <c r="A363" s="408"/>
      <c r="B363" s="730"/>
      <c r="C363" s="731"/>
      <c r="D363" s="732"/>
      <c r="E363" s="733"/>
      <c r="F363" s="730"/>
      <c r="G363" s="731"/>
      <c r="H363" s="731"/>
      <c r="I363" s="731"/>
      <c r="J363" s="731"/>
      <c r="K363" s="731"/>
    </row>
    <row r="364">
      <c r="A364" s="408"/>
      <c r="B364" s="730"/>
      <c r="C364" s="731"/>
      <c r="D364" s="732"/>
      <c r="E364" s="733"/>
      <c r="F364" s="730"/>
      <c r="G364" s="731"/>
      <c r="H364" s="731"/>
      <c r="I364" s="731"/>
      <c r="J364" s="731"/>
      <c r="K364" s="731"/>
    </row>
    <row r="365">
      <c r="A365" s="408"/>
      <c r="B365" s="730"/>
      <c r="C365" s="731"/>
      <c r="D365" s="732"/>
      <c r="E365" s="733"/>
      <c r="F365" s="730"/>
      <c r="G365" s="731"/>
      <c r="H365" s="731"/>
      <c r="I365" s="731"/>
      <c r="J365" s="731"/>
      <c r="K365" s="731"/>
    </row>
    <row r="366">
      <c r="A366" s="408"/>
      <c r="B366" s="730"/>
      <c r="C366" s="731"/>
      <c r="D366" s="732"/>
      <c r="E366" s="733"/>
      <c r="F366" s="730"/>
      <c r="G366" s="731"/>
      <c r="H366" s="731"/>
      <c r="I366" s="731"/>
      <c r="J366" s="731"/>
      <c r="K366" s="731"/>
    </row>
    <row r="367">
      <c r="A367" s="408"/>
      <c r="B367" s="730"/>
      <c r="C367" s="731"/>
      <c r="D367" s="732"/>
      <c r="E367" s="733"/>
      <c r="F367" s="730"/>
      <c r="G367" s="731"/>
      <c r="H367" s="731"/>
      <c r="I367" s="731"/>
      <c r="J367" s="731"/>
      <c r="K367" s="731"/>
    </row>
    <row r="368">
      <c r="A368" s="408"/>
      <c r="B368" s="730"/>
      <c r="C368" s="731"/>
      <c r="D368" s="732"/>
      <c r="E368" s="733"/>
      <c r="F368" s="730"/>
      <c r="G368" s="731"/>
      <c r="H368" s="731"/>
      <c r="I368" s="731"/>
      <c r="J368" s="731"/>
      <c r="K368" s="731"/>
    </row>
    <row r="369">
      <c r="A369" s="408"/>
      <c r="B369" s="730"/>
      <c r="C369" s="731"/>
      <c r="D369" s="732"/>
      <c r="E369" s="733"/>
      <c r="F369" s="730"/>
      <c r="G369" s="731"/>
      <c r="H369" s="731"/>
      <c r="I369" s="731"/>
      <c r="J369" s="731"/>
      <c r="K369" s="731"/>
    </row>
    <row r="370">
      <c r="A370" s="408"/>
      <c r="B370" s="730"/>
      <c r="C370" s="731"/>
      <c r="D370" s="732"/>
      <c r="E370" s="733"/>
      <c r="F370" s="730"/>
      <c r="G370" s="731"/>
      <c r="H370" s="731"/>
      <c r="I370" s="731"/>
      <c r="J370" s="731"/>
      <c r="K370" s="731"/>
    </row>
    <row r="371">
      <c r="A371" s="408"/>
      <c r="B371" s="730"/>
      <c r="C371" s="731"/>
      <c r="D371" s="732"/>
      <c r="E371" s="733"/>
      <c r="F371" s="730"/>
      <c r="G371" s="731"/>
      <c r="H371" s="731"/>
      <c r="I371" s="731"/>
      <c r="J371" s="731"/>
      <c r="K371" s="731"/>
    </row>
    <row r="372">
      <c r="A372" s="408"/>
      <c r="B372" s="730"/>
      <c r="C372" s="731"/>
      <c r="D372" s="732"/>
      <c r="E372" s="733"/>
      <c r="F372" s="730"/>
      <c r="G372" s="731"/>
      <c r="H372" s="731"/>
      <c r="I372" s="731"/>
      <c r="J372" s="731"/>
      <c r="K372" s="731"/>
    </row>
    <row r="373">
      <c r="A373" s="408"/>
      <c r="B373" s="730"/>
      <c r="C373" s="731"/>
      <c r="D373" s="732"/>
      <c r="E373" s="733"/>
      <c r="F373" s="730"/>
      <c r="G373" s="731"/>
      <c r="H373" s="731"/>
      <c r="I373" s="731"/>
      <c r="J373" s="731"/>
      <c r="K373" s="731"/>
    </row>
    <row r="374">
      <c r="A374" s="408"/>
      <c r="B374" s="730"/>
      <c r="C374" s="731"/>
      <c r="D374" s="732"/>
      <c r="E374" s="733"/>
      <c r="F374" s="730"/>
      <c r="G374" s="731"/>
      <c r="H374" s="731"/>
      <c r="I374" s="731"/>
      <c r="J374" s="731"/>
      <c r="K374" s="731"/>
    </row>
    <row r="375">
      <c r="A375" s="408"/>
      <c r="B375" s="730"/>
      <c r="C375" s="731"/>
      <c r="D375" s="732"/>
      <c r="E375" s="733"/>
      <c r="F375" s="730"/>
      <c r="G375" s="731"/>
      <c r="H375" s="731"/>
      <c r="I375" s="731"/>
      <c r="J375" s="731"/>
      <c r="K375" s="731"/>
    </row>
    <row r="376">
      <c r="A376" s="408"/>
      <c r="B376" s="730"/>
      <c r="C376" s="731"/>
      <c r="D376" s="732"/>
      <c r="E376" s="733"/>
      <c r="F376" s="730"/>
      <c r="G376" s="731"/>
      <c r="H376" s="731"/>
      <c r="I376" s="731"/>
      <c r="J376" s="731"/>
      <c r="K376" s="731"/>
    </row>
    <row r="377">
      <c r="A377" s="408"/>
      <c r="B377" s="730"/>
      <c r="C377" s="731"/>
      <c r="D377" s="732"/>
      <c r="E377" s="733"/>
      <c r="F377" s="730"/>
      <c r="G377" s="731"/>
      <c r="H377" s="731"/>
      <c r="I377" s="731"/>
      <c r="J377" s="731"/>
      <c r="K377" s="731"/>
    </row>
    <row r="378">
      <c r="A378" s="408"/>
      <c r="B378" s="730"/>
      <c r="C378" s="731"/>
      <c r="D378" s="732"/>
      <c r="E378" s="733"/>
      <c r="F378" s="730"/>
      <c r="G378" s="731"/>
      <c r="H378" s="731"/>
      <c r="I378" s="731"/>
      <c r="J378" s="731"/>
      <c r="K378" s="731"/>
    </row>
    <row r="379">
      <c r="A379" s="408"/>
      <c r="B379" s="730"/>
      <c r="C379" s="731"/>
      <c r="D379" s="732"/>
      <c r="E379" s="733"/>
      <c r="F379" s="730"/>
      <c r="G379" s="731"/>
      <c r="H379" s="731"/>
      <c r="I379" s="731"/>
      <c r="J379" s="731"/>
      <c r="K379" s="731"/>
    </row>
    <row r="380">
      <c r="A380" s="408"/>
      <c r="B380" s="730"/>
      <c r="C380" s="731"/>
      <c r="D380" s="732"/>
      <c r="E380" s="733"/>
      <c r="F380" s="730"/>
      <c r="G380" s="731"/>
      <c r="H380" s="731"/>
      <c r="I380" s="731"/>
      <c r="J380" s="731"/>
      <c r="K380" s="731"/>
    </row>
    <row r="381">
      <c r="A381" s="408"/>
      <c r="B381" s="730"/>
      <c r="C381" s="731"/>
      <c r="D381" s="732"/>
      <c r="E381" s="733"/>
      <c r="F381" s="730"/>
      <c r="G381" s="731"/>
      <c r="H381" s="731"/>
      <c r="I381" s="731"/>
      <c r="J381" s="731"/>
      <c r="K381" s="731"/>
    </row>
    <row r="382">
      <c r="A382" s="408"/>
      <c r="B382" s="730"/>
      <c r="C382" s="731"/>
      <c r="D382" s="732"/>
      <c r="E382" s="733"/>
      <c r="F382" s="730"/>
      <c r="G382" s="731"/>
      <c r="H382" s="731"/>
      <c r="I382" s="731"/>
      <c r="J382" s="731"/>
      <c r="K382" s="731"/>
    </row>
    <row r="383">
      <c r="A383" s="408"/>
      <c r="B383" s="730"/>
      <c r="C383" s="731"/>
      <c r="D383" s="732"/>
      <c r="E383" s="733"/>
      <c r="F383" s="730"/>
      <c r="G383" s="731"/>
      <c r="H383" s="731"/>
      <c r="I383" s="731"/>
      <c r="J383" s="731"/>
      <c r="K383" s="731"/>
    </row>
    <row r="384">
      <c r="A384" s="408"/>
      <c r="B384" s="730"/>
      <c r="C384" s="731"/>
      <c r="D384" s="732"/>
      <c r="E384" s="733"/>
      <c r="F384" s="730"/>
      <c r="G384" s="731"/>
      <c r="H384" s="731"/>
      <c r="I384" s="731"/>
      <c r="J384" s="731"/>
      <c r="K384" s="731"/>
    </row>
    <row r="385">
      <c r="A385" s="408"/>
      <c r="B385" s="730"/>
      <c r="C385" s="731"/>
      <c r="D385" s="732"/>
      <c r="E385" s="733"/>
      <c r="F385" s="730"/>
      <c r="G385" s="731"/>
      <c r="H385" s="731"/>
      <c r="I385" s="731"/>
      <c r="J385" s="731"/>
      <c r="K385" s="731"/>
    </row>
    <row r="386">
      <c r="A386" s="408"/>
      <c r="B386" s="730"/>
      <c r="C386" s="731"/>
      <c r="D386" s="732"/>
      <c r="E386" s="733"/>
      <c r="F386" s="730"/>
      <c r="G386" s="731"/>
      <c r="H386" s="731"/>
      <c r="I386" s="731"/>
      <c r="J386" s="731"/>
      <c r="K386" s="731"/>
    </row>
    <row r="387">
      <c r="A387" s="408"/>
      <c r="B387" s="730"/>
      <c r="C387" s="731"/>
      <c r="D387" s="732"/>
      <c r="E387" s="733"/>
      <c r="F387" s="730"/>
      <c r="G387" s="731"/>
      <c r="H387" s="731"/>
      <c r="I387" s="731"/>
      <c r="J387" s="731"/>
      <c r="K387" s="731"/>
    </row>
    <row r="388">
      <c r="A388" s="408"/>
      <c r="B388" s="730"/>
      <c r="C388" s="731"/>
      <c r="D388" s="732"/>
      <c r="E388" s="733"/>
      <c r="F388" s="730"/>
      <c r="G388" s="731"/>
      <c r="H388" s="731"/>
      <c r="I388" s="731"/>
      <c r="J388" s="731"/>
      <c r="K388" s="731"/>
    </row>
    <row r="389">
      <c r="A389" s="408"/>
      <c r="B389" s="730"/>
      <c r="C389" s="731"/>
      <c r="D389" s="732"/>
      <c r="E389" s="733"/>
      <c r="F389" s="730"/>
      <c r="G389" s="731"/>
      <c r="H389" s="731"/>
      <c r="I389" s="731"/>
      <c r="J389" s="731"/>
      <c r="K389" s="731"/>
    </row>
    <row r="390">
      <c r="A390" s="408"/>
      <c r="B390" s="730"/>
      <c r="C390" s="731"/>
      <c r="D390" s="732"/>
      <c r="E390" s="733"/>
      <c r="F390" s="730"/>
      <c r="G390" s="731"/>
      <c r="H390" s="731"/>
      <c r="I390" s="731"/>
      <c r="J390" s="731"/>
      <c r="K390" s="731"/>
    </row>
    <row r="391">
      <c r="A391" s="408"/>
      <c r="B391" s="730"/>
      <c r="C391" s="731"/>
      <c r="D391" s="732"/>
      <c r="E391" s="733"/>
      <c r="F391" s="730"/>
      <c r="G391" s="731"/>
      <c r="H391" s="731"/>
      <c r="I391" s="731"/>
      <c r="J391" s="731"/>
      <c r="K391" s="731"/>
    </row>
    <row r="392">
      <c r="A392" s="408"/>
      <c r="B392" s="730"/>
      <c r="C392" s="731"/>
      <c r="D392" s="732"/>
      <c r="E392" s="733"/>
      <c r="F392" s="730"/>
      <c r="G392" s="731"/>
      <c r="H392" s="731"/>
      <c r="I392" s="731"/>
      <c r="J392" s="731"/>
      <c r="K392" s="731"/>
    </row>
    <row r="393">
      <c r="A393" s="408"/>
      <c r="B393" s="730"/>
      <c r="C393" s="731"/>
      <c r="D393" s="732"/>
      <c r="E393" s="733"/>
      <c r="F393" s="730"/>
      <c r="G393" s="731"/>
      <c r="H393" s="731"/>
      <c r="I393" s="731"/>
      <c r="J393" s="731"/>
      <c r="K393" s="731"/>
    </row>
    <row r="394">
      <c r="A394" s="408"/>
      <c r="B394" s="730"/>
      <c r="C394" s="731"/>
      <c r="D394" s="732"/>
      <c r="E394" s="733"/>
      <c r="F394" s="730"/>
      <c r="G394" s="731"/>
      <c r="H394" s="731"/>
      <c r="I394" s="731"/>
      <c r="J394" s="731"/>
      <c r="K394" s="731"/>
    </row>
    <row r="395">
      <c r="A395" s="408"/>
      <c r="B395" s="730"/>
      <c r="C395" s="731"/>
      <c r="D395" s="732"/>
      <c r="E395" s="733"/>
      <c r="F395" s="730"/>
      <c r="G395" s="731"/>
      <c r="H395" s="731"/>
      <c r="I395" s="731"/>
      <c r="J395" s="731"/>
      <c r="K395" s="731"/>
    </row>
    <row r="396">
      <c r="A396" s="408"/>
      <c r="B396" s="730"/>
      <c r="C396" s="731"/>
      <c r="D396" s="732"/>
      <c r="E396" s="733"/>
      <c r="F396" s="730"/>
      <c r="G396" s="731"/>
      <c r="H396" s="731"/>
      <c r="I396" s="731"/>
      <c r="J396" s="731"/>
      <c r="K396" s="731"/>
    </row>
    <row r="397">
      <c r="A397" s="408"/>
      <c r="B397" s="730"/>
      <c r="C397" s="731"/>
      <c r="D397" s="732"/>
      <c r="E397" s="733"/>
      <c r="F397" s="730"/>
      <c r="G397" s="731"/>
      <c r="H397" s="731"/>
      <c r="I397" s="731"/>
      <c r="J397" s="731"/>
      <c r="K397" s="731"/>
    </row>
    <row r="398">
      <c r="A398" s="408"/>
      <c r="B398" s="730"/>
      <c r="C398" s="731"/>
      <c r="D398" s="732"/>
      <c r="E398" s="733"/>
      <c r="F398" s="730"/>
      <c r="G398" s="731"/>
      <c r="H398" s="731"/>
      <c r="I398" s="731"/>
      <c r="J398" s="731"/>
      <c r="K398" s="731"/>
    </row>
    <row r="399">
      <c r="A399" s="408"/>
      <c r="B399" s="730"/>
      <c r="C399" s="731"/>
      <c r="D399" s="732"/>
      <c r="E399" s="733"/>
      <c r="F399" s="730"/>
      <c r="G399" s="731"/>
      <c r="H399" s="731"/>
      <c r="I399" s="731"/>
      <c r="J399" s="731"/>
      <c r="K399" s="731"/>
    </row>
    <row r="400">
      <c r="A400" s="408"/>
      <c r="B400" s="730"/>
      <c r="C400" s="731"/>
      <c r="D400" s="732"/>
      <c r="E400" s="733"/>
      <c r="F400" s="730"/>
      <c r="G400" s="731"/>
      <c r="H400" s="731"/>
      <c r="I400" s="731"/>
      <c r="J400" s="731"/>
      <c r="K400" s="731"/>
    </row>
    <row r="401">
      <c r="A401" s="408"/>
      <c r="B401" s="730"/>
      <c r="C401" s="731"/>
      <c r="D401" s="732"/>
      <c r="E401" s="733"/>
      <c r="F401" s="730"/>
      <c r="G401" s="731"/>
      <c r="H401" s="731"/>
      <c r="I401" s="731"/>
      <c r="J401" s="731"/>
      <c r="K401" s="731"/>
    </row>
    <row r="402">
      <c r="A402" s="408"/>
      <c r="B402" s="730"/>
      <c r="C402" s="731"/>
      <c r="D402" s="732"/>
      <c r="E402" s="733"/>
      <c r="F402" s="730"/>
      <c r="G402" s="731"/>
      <c r="H402" s="731"/>
      <c r="I402" s="731"/>
      <c r="J402" s="731"/>
      <c r="K402" s="731"/>
    </row>
    <row r="403">
      <c r="A403" s="408"/>
      <c r="B403" s="730"/>
      <c r="C403" s="731"/>
      <c r="D403" s="732"/>
      <c r="E403" s="733"/>
      <c r="F403" s="730"/>
      <c r="G403" s="731"/>
      <c r="H403" s="731"/>
      <c r="I403" s="731"/>
      <c r="J403" s="731"/>
      <c r="K403" s="731"/>
    </row>
    <row r="404">
      <c r="A404" s="408"/>
      <c r="B404" s="730"/>
      <c r="C404" s="731"/>
      <c r="D404" s="732"/>
      <c r="E404" s="733"/>
      <c r="F404" s="730"/>
      <c r="G404" s="731"/>
      <c r="H404" s="731"/>
      <c r="I404" s="731"/>
      <c r="J404" s="731"/>
      <c r="K404" s="731"/>
    </row>
    <row r="405">
      <c r="A405" s="408"/>
      <c r="B405" s="730"/>
      <c r="C405" s="731"/>
      <c r="D405" s="732"/>
      <c r="E405" s="733"/>
      <c r="F405" s="730"/>
      <c r="G405" s="731"/>
      <c r="H405" s="731"/>
      <c r="I405" s="731"/>
      <c r="J405" s="731"/>
      <c r="K405" s="731"/>
    </row>
    <row r="406">
      <c r="A406" s="408"/>
      <c r="B406" s="730"/>
      <c r="C406" s="731"/>
      <c r="D406" s="732"/>
      <c r="E406" s="733"/>
      <c r="F406" s="730"/>
      <c r="G406" s="731"/>
      <c r="H406" s="731"/>
      <c r="I406" s="731"/>
      <c r="J406" s="731"/>
      <c r="K406" s="731"/>
    </row>
    <row r="407">
      <c r="A407" s="408"/>
      <c r="B407" s="730"/>
      <c r="C407" s="731"/>
      <c r="D407" s="732"/>
      <c r="E407" s="733"/>
      <c r="F407" s="730"/>
      <c r="G407" s="731"/>
      <c r="H407" s="731"/>
      <c r="I407" s="731"/>
      <c r="J407" s="731"/>
      <c r="K407" s="731"/>
    </row>
    <row r="408">
      <c r="A408" s="408"/>
      <c r="B408" s="730"/>
      <c r="C408" s="731"/>
      <c r="D408" s="732"/>
      <c r="E408" s="733"/>
      <c r="F408" s="730"/>
      <c r="G408" s="731"/>
      <c r="H408" s="731"/>
      <c r="I408" s="731"/>
      <c r="J408" s="731"/>
      <c r="K408" s="731"/>
    </row>
    <row r="409">
      <c r="A409" s="408"/>
      <c r="B409" s="730"/>
      <c r="C409" s="731"/>
      <c r="D409" s="732"/>
      <c r="E409" s="733"/>
      <c r="F409" s="730"/>
      <c r="G409" s="731"/>
      <c r="H409" s="731"/>
      <c r="I409" s="731"/>
      <c r="J409" s="731"/>
      <c r="K409" s="731"/>
    </row>
    <row r="410">
      <c r="A410" s="408"/>
      <c r="B410" s="730"/>
      <c r="C410" s="731"/>
      <c r="D410" s="732"/>
      <c r="E410" s="733"/>
      <c r="F410" s="730"/>
      <c r="G410" s="731"/>
      <c r="H410" s="731"/>
      <c r="I410" s="731"/>
      <c r="J410" s="731"/>
      <c r="K410" s="731"/>
    </row>
    <row r="411">
      <c r="A411" s="408"/>
      <c r="B411" s="730"/>
      <c r="C411" s="731"/>
      <c r="D411" s="732"/>
      <c r="E411" s="733"/>
      <c r="F411" s="730"/>
      <c r="G411" s="731"/>
      <c r="H411" s="731"/>
      <c r="I411" s="731"/>
      <c r="J411" s="731"/>
      <c r="K411" s="731"/>
    </row>
    <row r="412">
      <c r="A412" s="408"/>
      <c r="B412" s="730"/>
      <c r="C412" s="731"/>
      <c r="D412" s="732"/>
      <c r="E412" s="733"/>
      <c r="F412" s="730"/>
      <c r="G412" s="731"/>
      <c r="H412" s="731"/>
      <c r="I412" s="731"/>
      <c r="J412" s="731"/>
      <c r="K412" s="731"/>
    </row>
    <row r="413">
      <c r="A413" s="408"/>
      <c r="B413" s="730"/>
      <c r="C413" s="731"/>
      <c r="D413" s="732"/>
      <c r="E413" s="733"/>
      <c r="F413" s="730"/>
      <c r="G413" s="731"/>
      <c r="H413" s="731"/>
      <c r="I413" s="731"/>
      <c r="J413" s="731"/>
      <c r="K413" s="731"/>
    </row>
    <row r="414">
      <c r="A414" s="408"/>
      <c r="B414" s="730"/>
      <c r="C414" s="731"/>
      <c r="D414" s="732"/>
      <c r="E414" s="733"/>
      <c r="F414" s="730"/>
      <c r="G414" s="731"/>
      <c r="H414" s="731"/>
      <c r="I414" s="731"/>
      <c r="J414" s="731"/>
      <c r="K414" s="731"/>
    </row>
    <row r="415">
      <c r="A415" s="408"/>
      <c r="B415" s="730"/>
      <c r="C415" s="731"/>
      <c r="D415" s="732"/>
      <c r="E415" s="733"/>
      <c r="F415" s="730"/>
      <c r="G415" s="731"/>
      <c r="H415" s="731"/>
      <c r="I415" s="731"/>
      <c r="J415" s="731"/>
      <c r="K415" s="731"/>
    </row>
    <row r="416">
      <c r="A416" s="408"/>
      <c r="B416" s="730"/>
      <c r="C416" s="731"/>
      <c r="D416" s="732"/>
      <c r="E416" s="733"/>
      <c r="F416" s="730"/>
      <c r="G416" s="731"/>
      <c r="H416" s="731"/>
      <c r="I416" s="731"/>
      <c r="J416" s="731"/>
      <c r="K416" s="731"/>
    </row>
    <row r="417">
      <c r="A417" s="408"/>
      <c r="B417" s="730"/>
      <c r="C417" s="731"/>
      <c r="D417" s="732"/>
      <c r="E417" s="733"/>
      <c r="F417" s="730"/>
      <c r="G417" s="731"/>
      <c r="H417" s="731"/>
      <c r="I417" s="731"/>
      <c r="J417" s="731"/>
      <c r="K417" s="731"/>
    </row>
    <row r="418">
      <c r="A418" s="408"/>
      <c r="B418" s="730"/>
      <c r="C418" s="731"/>
      <c r="D418" s="732"/>
      <c r="E418" s="733"/>
      <c r="F418" s="730"/>
      <c r="G418" s="731"/>
      <c r="H418" s="731"/>
      <c r="I418" s="731"/>
      <c r="J418" s="731"/>
      <c r="K418" s="731"/>
    </row>
    <row r="419">
      <c r="A419" s="408"/>
      <c r="B419" s="730"/>
      <c r="C419" s="731"/>
      <c r="D419" s="732"/>
      <c r="E419" s="733"/>
      <c r="F419" s="730"/>
      <c r="G419" s="731"/>
      <c r="H419" s="731"/>
      <c r="I419" s="731"/>
      <c r="J419" s="731"/>
      <c r="K419" s="731"/>
    </row>
    <row r="420">
      <c r="A420" s="408"/>
      <c r="B420" s="730"/>
      <c r="C420" s="731"/>
      <c r="D420" s="732"/>
      <c r="E420" s="733"/>
      <c r="F420" s="730"/>
      <c r="G420" s="731"/>
      <c r="H420" s="731"/>
      <c r="I420" s="731"/>
      <c r="J420" s="731"/>
      <c r="K420" s="731"/>
    </row>
    <row r="421">
      <c r="A421" s="408"/>
      <c r="B421" s="730"/>
      <c r="C421" s="731"/>
      <c r="D421" s="732"/>
      <c r="E421" s="733"/>
      <c r="F421" s="730"/>
      <c r="G421" s="731"/>
      <c r="H421" s="731"/>
      <c r="I421" s="731"/>
      <c r="J421" s="731"/>
      <c r="K421" s="731"/>
    </row>
    <row r="422">
      <c r="A422" s="408"/>
      <c r="B422" s="730"/>
      <c r="C422" s="731"/>
      <c r="D422" s="732"/>
      <c r="E422" s="733"/>
      <c r="F422" s="730"/>
      <c r="G422" s="731"/>
      <c r="H422" s="731"/>
      <c r="I422" s="731"/>
      <c r="J422" s="731"/>
      <c r="K422" s="731"/>
    </row>
    <row r="423">
      <c r="A423" s="408"/>
      <c r="B423" s="730"/>
      <c r="C423" s="731"/>
      <c r="D423" s="732"/>
      <c r="E423" s="733"/>
      <c r="F423" s="730"/>
      <c r="G423" s="731"/>
      <c r="H423" s="731"/>
      <c r="I423" s="731"/>
      <c r="J423" s="731"/>
      <c r="K423" s="731"/>
    </row>
    <row r="424">
      <c r="A424" s="408"/>
      <c r="B424" s="730"/>
      <c r="C424" s="731"/>
      <c r="D424" s="732"/>
      <c r="E424" s="733"/>
      <c r="F424" s="730"/>
      <c r="G424" s="731"/>
      <c r="H424" s="731"/>
      <c r="I424" s="731"/>
      <c r="J424" s="731"/>
      <c r="K424" s="731"/>
    </row>
    <row r="425">
      <c r="A425" s="408"/>
      <c r="B425" s="730"/>
      <c r="C425" s="731"/>
      <c r="D425" s="732"/>
      <c r="E425" s="733"/>
      <c r="F425" s="730"/>
      <c r="G425" s="731"/>
      <c r="H425" s="731"/>
      <c r="I425" s="731"/>
      <c r="J425" s="731"/>
      <c r="K425" s="731"/>
    </row>
    <row r="426">
      <c r="A426" s="408"/>
      <c r="B426" s="730"/>
      <c r="C426" s="731"/>
      <c r="D426" s="732"/>
      <c r="E426" s="733"/>
      <c r="F426" s="730"/>
      <c r="G426" s="731"/>
      <c r="H426" s="731"/>
      <c r="I426" s="731"/>
      <c r="J426" s="731"/>
      <c r="K426" s="731"/>
    </row>
    <row r="427">
      <c r="A427" s="408"/>
      <c r="B427" s="730"/>
      <c r="C427" s="731"/>
      <c r="D427" s="732"/>
      <c r="E427" s="733"/>
      <c r="F427" s="730"/>
      <c r="G427" s="731"/>
      <c r="H427" s="731"/>
      <c r="I427" s="731"/>
      <c r="J427" s="731"/>
      <c r="K427" s="731"/>
    </row>
    <row r="428">
      <c r="A428" s="408"/>
      <c r="B428" s="730"/>
      <c r="C428" s="731"/>
      <c r="D428" s="732"/>
      <c r="E428" s="733"/>
      <c r="F428" s="730"/>
      <c r="G428" s="731"/>
      <c r="H428" s="731"/>
      <c r="I428" s="731"/>
      <c r="J428" s="731"/>
      <c r="K428" s="731"/>
    </row>
    <row r="429">
      <c r="A429" s="408"/>
      <c r="B429" s="730"/>
      <c r="C429" s="731"/>
      <c r="D429" s="732"/>
      <c r="E429" s="733"/>
      <c r="F429" s="730"/>
      <c r="G429" s="731"/>
      <c r="H429" s="731"/>
      <c r="I429" s="731"/>
      <c r="J429" s="731"/>
      <c r="K429" s="731"/>
    </row>
    <row r="430">
      <c r="A430" s="408"/>
      <c r="B430" s="730"/>
      <c r="C430" s="731"/>
      <c r="D430" s="732"/>
      <c r="E430" s="733"/>
      <c r="F430" s="730"/>
      <c r="G430" s="731"/>
      <c r="H430" s="731"/>
      <c r="I430" s="731"/>
      <c r="J430" s="731"/>
      <c r="K430" s="731"/>
    </row>
    <row r="431">
      <c r="A431" s="408"/>
      <c r="B431" s="730"/>
      <c r="C431" s="731"/>
      <c r="D431" s="732"/>
      <c r="E431" s="733"/>
      <c r="F431" s="730"/>
      <c r="G431" s="731"/>
      <c r="H431" s="731"/>
      <c r="I431" s="731"/>
      <c r="J431" s="731"/>
      <c r="K431" s="731"/>
    </row>
    <row r="432">
      <c r="A432" s="408"/>
      <c r="B432" s="730"/>
      <c r="C432" s="731"/>
      <c r="D432" s="732"/>
      <c r="E432" s="733"/>
      <c r="F432" s="730"/>
      <c r="G432" s="731"/>
      <c r="H432" s="731"/>
      <c r="I432" s="731"/>
      <c r="J432" s="731"/>
      <c r="K432" s="731"/>
    </row>
    <row r="433">
      <c r="A433" s="408"/>
      <c r="B433" s="730"/>
      <c r="C433" s="731"/>
      <c r="D433" s="732"/>
      <c r="E433" s="733"/>
      <c r="F433" s="730"/>
      <c r="G433" s="731"/>
      <c r="H433" s="731"/>
      <c r="I433" s="731"/>
      <c r="J433" s="731"/>
      <c r="K433" s="731"/>
    </row>
    <row r="434">
      <c r="A434" s="408"/>
      <c r="B434" s="730"/>
      <c r="C434" s="731"/>
      <c r="D434" s="732"/>
      <c r="E434" s="733"/>
      <c r="F434" s="730"/>
      <c r="G434" s="731"/>
      <c r="H434" s="731"/>
      <c r="I434" s="731"/>
      <c r="J434" s="731"/>
      <c r="K434" s="731"/>
    </row>
    <row r="435">
      <c r="A435" s="408"/>
      <c r="B435" s="730"/>
      <c r="C435" s="731"/>
      <c r="D435" s="732"/>
      <c r="E435" s="733"/>
      <c r="F435" s="730"/>
      <c r="G435" s="731"/>
      <c r="H435" s="731"/>
      <c r="I435" s="731"/>
      <c r="J435" s="731"/>
      <c r="K435" s="731"/>
    </row>
    <row r="436">
      <c r="A436" s="408"/>
      <c r="B436" s="730"/>
      <c r="C436" s="731"/>
      <c r="D436" s="732"/>
      <c r="E436" s="733"/>
      <c r="F436" s="730"/>
      <c r="G436" s="731"/>
      <c r="H436" s="731"/>
      <c r="I436" s="731"/>
      <c r="J436" s="731"/>
      <c r="K436" s="731"/>
    </row>
    <row r="437">
      <c r="A437" s="408"/>
      <c r="B437" s="730"/>
      <c r="C437" s="731"/>
      <c r="D437" s="732"/>
      <c r="E437" s="733"/>
      <c r="F437" s="730"/>
      <c r="G437" s="731"/>
      <c r="H437" s="731"/>
      <c r="I437" s="731"/>
      <c r="J437" s="731"/>
      <c r="K437" s="731"/>
    </row>
    <row r="438">
      <c r="A438" s="408"/>
      <c r="B438" s="730"/>
      <c r="C438" s="731"/>
      <c r="D438" s="732"/>
      <c r="E438" s="733"/>
      <c r="F438" s="730"/>
      <c r="G438" s="731"/>
      <c r="H438" s="731"/>
      <c r="I438" s="731"/>
      <c r="J438" s="731"/>
      <c r="K438" s="731"/>
    </row>
    <row r="439">
      <c r="A439" s="408"/>
      <c r="B439" s="730"/>
      <c r="C439" s="731"/>
      <c r="D439" s="732"/>
      <c r="E439" s="733"/>
      <c r="F439" s="730"/>
      <c r="G439" s="731"/>
      <c r="H439" s="731"/>
      <c r="I439" s="731"/>
      <c r="J439" s="731"/>
      <c r="K439" s="731"/>
    </row>
    <row r="440">
      <c r="A440" s="408"/>
      <c r="B440" s="730"/>
      <c r="C440" s="731"/>
      <c r="D440" s="732"/>
      <c r="E440" s="733"/>
      <c r="F440" s="730"/>
      <c r="G440" s="731"/>
      <c r="H440" s="731"/>
      <c r="I440" s="731"/>
      <c r="J440" s="731"/>
      <c r="K440" s="731"/>
    </row>
    <row r="441">
      <c r="A441" s="408"/>
      <c r="B441" s="730"/>
      <c r="C441" s="731"/>
      <c r="D441" s="732"/>
      <c r="E441" s="733"/>
      <c r="F441" s="730"/>
      <c r="G441" s="731"/>
      <c r="H441" s="731"/>
      <c r="I441" s="731"/>
      <c r="J441" s="731"/>
      <c r="K441" s="731"/>
    </row>
    <row r="442">
      <c r="A442" s="408"/>
      <c r="B442" s="730"/>
      <c r="C442" s="731"/>
      <c r="D442" s="732"/>
      <c r="E442" s="733"/>
      <c r="F442" s="730"/>
      <c r="G442" s="731"/>
      <c r="H442" s="731"/>
      <c r="I442" s="731"/>
      <c r="J442" s="731"/>
      <c r="K442" s="731"/>
    </row>
    <row r="443">
      <c r="A443" s="408"/>
      <c r="B443" s="730"/>
      <c r="C443" s="731"/>
      <c r="D443" s="732"/>
      <c r="E443" s="733"/>
      <c r="F443" s="730"/>
      <c r="G443" s="731"/>
      <c r="H443" s="731"/>
      <c r="I443" s="731"/>
      <c r="J443" s="731"/>
      <c r="K443" s="731"/>
    </row>
    <row r="444">
      <c r="A444" s="408"/>
      <c r="B444" s="730"/>
      <c r="C444" s="731"/>
      <c r="D444" s="732"/>
      <c r="E444" s="733"/>
      <c r="F444" s="730"/>
      <c r="G444" s="731"/>
      <c r="H444" s="731"/>
      <c r="I444" s="731"/>
      <c r="J444" s="731"/>
      <c r="K444" s="731"/>
    </row>
    <row r="445">
      <c r="A445" s="408"/>
      <c r="B445" s="730"/>
      <c r="C445" s="731"/>
      <c r="D445" s="732"/>
      <c r="E445" s="733"/>
      <c r="F445" s="730"/>
      <c r="G445" s="731"/>
      <c r="H445" s="731"/>
      <c r="I445" s="731"/>
      <c r="J445" s="731"/>
      <c r="K445" s="731"/>
    </row>
    <row r="446">
      <c r="A446" s="408"/>
      <c r="B446" s="730"/>
      <c r="C446" s="731"/>
      <c r="D446" s="732"/>
      <c r="E446" s="733"/>
      <c r="F446" s="730"/>
      <c r="G446" s="731"/>
      <c r="H446" s="731"/>
      <c r="I446" s="731"/>
      <c r="J446" s="731"/>
      <c r="K446" s="731"/>
    </row>
    <row r="447">
      <c r="A447" s="408"/>
      <c r="B447" s="730"/>
      <c r="C447" s="731"/>
      <c r="D447" s="732"/>
      <c r="E447" s="733"/>
      <c r="F447" s="730"/>
      <c r="G447" s="731"/>
      <c r="H447" s="731"/>
      <c r="I447" s="731"/>
      <c r="J447" s="731"/>
      <c r="K447" s="731"/>
    </row>
    <row r="448">
      <c r="A448" s="408"/>
      <c r="B448" s="730"/>
      <c r="C448" s="731"/>
      <c r="D448" s="732"/>
      <c r="E448" s="733"/>
      <c r="F448" s="730"/>
      <c r="G448" s="731"/>
      <c r="H448" s="731"/>
      <c r="I448" s="731"/>
      <c r="J448" s="731"/>
      <c r="K448" s="731"/>
    </row>
    <row r="449">
      <c r="A449" s="408"/>
      <c r="B449" s="730"/>
      <c r="C449" s="731"/>
      <c r="D449" s="732"/>
      <c r="E449" s="733"/>
      <c r="F449" s="730"/>
      <c r="G449" s="731"/>
      <c r="H449" s="731"/>
      <c r="I449" s="731"/>
      <c r="J449" s="731"/>
      <c r="K449" s="731"/>
    </row>
    <row r="450">
      <c r="A450" s="408"/>
      <c r="B450" s="730"/>
      <c r="C450" s="731"/>
      <c r="D450" s="732"/>
      <c r="E450" s="733"/>
      <c r="F450" s="730"/>
      <c r="G450" s="731"/>
      <c r="H450" s="731"/>
      <c r="I450" s="731"/>
      <c r="J450" s="731"/>
      <c r="K450" s="731"/>
    </row>
    <row r="451">
      <c r="A451" s="408"/>
      <c r="B451" s="730"/>
      <c r="C451" s="731"/>
      <c r="D451" s="732"/>
      <c r="E451" s="733"/>
      <c r="F451" s="730"/>
      <c r="G451" s="731"/>
      <c r="H451" s="731"/>
      <c r="I451" s="731"/>
      <c r="J451" s="731"/>
      <c r="K451" s="731"/>
    </row>
    <row r="452">
      <c r="A452" s="408"/>
      <c r="B452" s="730"/>
      <c r="C452" s="731"/>
      <c r="D452" s="732"/>
      <c r="E452" s="733"/>
      <c r="F452" s="730"/>
      <c r="G452" s="731"/>
      <c r="H452" s="731"/>
      <c r="I452" s="731"/>
      <c r="J452" s="731"/>
      <c r="K452" s="731"/>
    </row>
    <row r="453">
      <c r="A453" s="408"/>
      <c r="B453" s="730"/>
      <c r="C453" s="731"/>
      <c r="D453" s="732"/>
      <c r="E453" s="733"/>
      <c r="F453" s="730"/>
      <c r="G453" s="731"/>
      <c r="H453" s="731"/>
      <c r="I453" s="731"/>
      <c r="J453" s="731"/>
      <c r="K453" s="731"/>
    </row>
    <row r="454">
      <c r="A454" s="408"/>
      <c r="B454" s="730"/>
      <c r="C454" s="731"/>
      <c r="D454" s="732"/>
      <c r="E454" s="733"/>
      <c r="F454" s="730"/>
      <c r="G454" s="731"/>
      <c r="H454" s="731"/>
      <c r="I454" s="731"/>
      <c r="J454" s="731"/>
      <c r="K454" s="731"/>
    </row>
    <row r="455">
      <c r="A455" s="408"/>
      <c r="B455" s="730"/>
      <c r="C455" s="731"/>
      <c r="D455" s="732"/>
      <c r="E455" s="733"/>
      <c r="F455" s="730"/>
      <c r="G455" s="731"/>
      <c r="H455" s="731"/>
      <c r="I455" s="731"/>
      <c r="J455" s="731"/>
      <c r="K455" s="731"/>
    </row>
    <row r="456">
      <c r="A456" s="408"/>
      <c r="B456" s="730"/>
      <c r="C456" s="731"/>
      <c r="D456" s="732"/>
      <c r="E456" s="733"/>
      <c r="F456" s="730"/>
      <c r="G456" s="731"/>
      <c r="H456" s="731"/>
      <c r="I456" s="731"/>
      <c r="J456" s="731"/>
      <c r="K456" s="731"/>
    </row>
    <row r="457">
      <c r="A457" s="408"/>
      <c r="B457" s="730"/>
      <c r="C457" s="731"/>
      <c r="D457" s="732"/>
      <c r="E457" s="733"/>
      <c r="F457" s="730"/>
      <c r="G457" s="731"/>
      <c r="H457" s="731"/>
      <c r="I457" s="731"/>
      <c r="J457" s="731"/>
      <c r="K457" s="731"/>
    </row>
    <row r="458">
      <c r="A458" s="408"/>
      <c r="B458" s="730"/>
      <c r="C458" s="731"/>
      <c r="D458" s="732"/>
      <c r="E458" s="733"/>
      <c r="F458" s="730"/>
      <c r="G458" s="731"/>
      <c r="H458" s="731"/>
      <c r="I458" s="731"/>
      <c r="J458" s="731"/>
      <c r="K458" s="731"/>
    </row>
    <row r="459">
      <c r="A459" s="408"/>
      <c r="B459" s="730"/>
      <c r="C459" s="731"/>
      <c r="D459" s="732"/>
      <c r="E459" s="733"/>
      <c r="F459" s="730"/>
      <c r="G459" s="731"/>
      <c r="H459" s="731"/>
      <c r="I459" s="731"/>
      <c r="J459" s="731"/>
      <c r="K459" s="731"/>
    </row>
    <row r="460">
      <c r="A460" s="408"/>
      <c r="B460" s="730"/>
      <c r="C460" s="731"/>
      <c r="D460" s="732"/>
      <c r="E460" s="733"/>
      <c r="F460" s="730"/>
      <c r="G460" s="731"/>
      <c r="H460" s="731"/>
      <c r="I460" s="731"/>
      <c r="J460" s="731"/>
      <c r="K460" s="731"/>
    </row>
    <row r="461">
      <c r="A461" s="408"/>
      <c r="B461" s="730"/>
      <c r="C461" s="731"/>
      <c r="D461" s="732"/>
      <c r="E461" s="733"/>
      <c r="F461" s="730"/>
      <c r="G461" s="731"/>
      <c r="H461" s="731"/>
      <c r="I461" s="731"/>
      <c r="J461" s="731"/>
      <c r="K461" s="731"/>
    </row>
    <row r="462">
      <c r="A462" s="408"/>
      <c r="B462" s="730"/>
      <c r="C462" s="731"/>
      <c r="D462" s="732"/>
      <c r="E462" s="733"/>
      <c r="F462" s="730"/>
      <c r="G462" s="731"/>
      <c r="H462" s="731"/>
      <c r="I462" s="731"/>
      <c r="J462" s="731"/>
      <c r="K462" s="731"/>
    </row>
    <row r="463">
      <c r="A463" s="408"/>
      <c r="B463" s="730"/>
      <c r="C463" s="731"/>
      <c r="D463" s="732"/>
      <c r="E463" s="733"/>
      <c r="F463" s="730"/>
      <c r="G463" s="731"/>
      <c r="H463" s="731"/>
      <c r="I463" s="731"/>
      <c r="J463" s="731"/>
      <c r="K463" s="731"/>
    </row>
    <row r="464">
      <c r="A464" s="408"/>
      <c r="B464" s="730"/>
      <c r="C464" s="731"/>
      <c r="D464" s="732"/>
      <c r="E464" s="733"/>
      <c r="F464" s="730"/>
      <c r="G464" s="731"/>
      <c r="H464" s="731"/>
      <c r="I464" s="731"/>
      <c r="J464" s="731"/>
      <c r="K464" s="731"/>
    </row>
    <row r="465">
      <c r="A465" s="408"/>
      <c r="B465" s="730"/>
      <c r="C465" s="731"/>
      <c r="D465" s="732"/>
      <c r="E465" s="733"/>
      <c r="F465" s="730"/>
      <c r="G465" s="731"/>
      <c r="H465" s="731"/>
      <c r="I465" s="731"/>
      <c r="J465" s="731"/>
      <c r="K465" s="731"/>
    </row>
    <row r="466">
      <c r="A466" s="408"/>
      <c r="B466" s="730"/>
      <c r="C466" s="731"/>
      <c r="D466" s="732"/>
      <c r="E466" s="733"/>
      <c r="F466" s="730"/>
      <c r="G466" s="731"/>
      <c r="H466" s="731"/>
      <c r="I466" s="731"/>
      <c r="J466" s="731"/>
      <c r="K466" s="731"/>
    </row>
    <row r="467">
      <c r="A467" s="408"/>
      <c r="B467" s="730"/>
      <c r="C467" s="731"/>
      <c r="D467" s="732"/>
      <c r="E467" s="733"/>
      <c r="F467" s="730"/>
      <c r="G467" s="731"/>
      <c r="H467" s="731"/>
      <c r="I467" s="731"/>
      <c r="J467" s="731"/>
      <c r="K467" s="731"/>
    </row>
    <row r="468">
      <c r="A468" s="408"/>
      <c r="B468" s="730"/>
      <c r="C468" s="731"/>
      <c r="D468" s="732"/>
      <c r="E468" s="733"/>
      <c r="F468" s="730"/>
      <c r="G468" s="731"/>
      <c r="H468" s="731"/>
      <c r="I468" s="731"/>
      <c r="J468" s="731"/>
      <c r="K468" s="731"/>
    </row>
    <row r="469">
      <c r="A469" s="408"/>
      <c r="B469" s="730"/>
      <c r="C469" s="731"/>
      <c r="D469" s="732"/>
      <c r="E469" s="733"/>
      <c r="F469" s="730"/>
      <c r="G469" s="731"/>
      <c r="H469" s="731"/>
      <c r="I469" s="731"/>
      <c r="J469" s="731"/>
      <c r="K469" s="731"/>
    </row>
    <row r="470">
      <c r="A470" s="408"/>
      <c r="B470" s="730"/>
      <c r="C470" s="731"/>
      <c r="D470" s="732"/>
      <c r="E470" s="733"/>
      <c r="F470" s="730"/>
      <c r="G470" s="731"/>
      <c r="H470" s="731"/>
      <c r="I470" s="731"/>
      <c r="J470" s="731"/>
      <c r="K470" s="731"/>
    </row>
    <row r="471">
      <c r="A471" s="408"/>
      <c r="B471" s="730"/>
      <c r="C471" s="731"/>
      <c r="D471" s="732"/>
      <c r="E471" s="733"/>
      <c r="F471" s="730"/>
      <c r="G471" s="731"/>
      <c r="H471" s="731"/>
      <c r="I471" s="731"/>
      <c r="J471" s="731"/>
      <c r="K471" s="731"/>
    </row>
    <row r="472">
      <c r="A472" s="408"/>
      <c r="B472" s="730"/>
      <c r="C472" s="731"/>
      <c r="D472" s="732"/>
      <c r="E472" s="733"/>
      <c r="F472" s="730"/>
      <c r="G472" s="731"/>
      <c r="H472" s="731"/>
      <c r="I472" s="731"/>
      <c r="J472" s="731"/>
      <c r="K472" s="731"/>
    </row>
    <row r="473">
      <c r="A473" s="408"/>
      <c r="B473" s="730"/>
      <c r="C473" s="731"/>
      <c r="D473" s="732"/>
      <c r="E473" s="733"/>
      <c r="F473" s="730"/>
      <c r="G473" s="731"/>
      <c r="H473" s="731"/>
      <c r="I473" s="731"/>
      <c r="J473" s="731"/>
      <c r="K473" s="731"/>
    </row>
    <row r="474">
      <c r="A474" s="408"/>
      <c r="B474" s="730"/>
      <c r="C474" s="731"/>
      <c r="D474" s="732"/>
      <c r="E474" s="733"/>
      <c r="F474" s="730"/>
      <c r="G474" s="731"/>
      <c r="H474" s="731"/>
      <c r="I474" s="731"/>
      <c r="J474" s="731"/>
      <c r="K474" s="731"/>
    </row>
    <row r="475">
      <c r="A475" s="408"/>
      <c r="B475" s="730"/>
      <c r="C475" s="731"/>
      <c r="D475" s="732"/>
      <c r="E475" s="733"/>
      <c r="F475" s="730"/>
      <c r="G475" s="731"/>
      <c r="H475" s="731"/>
      <c r="I475" s="731"/>
      <c r="J475" s="731"/>
      <c r="K475" s="731"/>
    </row>
    <row r="476">
      <c r="A476" s="408"/>
      <c r="B476" s="730"/>
      <c r="C476" s="731"/>
      <c r="D476" s="732"/>
      <c r="E476" s="733"/>
      <c r="F476" s="730"/>
      <c r="G476" s="731"/>
      <c r="H476" s="731"/>
      <c r="I476" s="731"/>
      <c r="J476" s="731"/>
      <c r="K476" s="731"/>
    </row>
    <row r="477">
      <c r="A477" s="408"/>
      <c r="B477" s="730"/>
      <c r="C477" s="731"/>
      <c r="D477" s="732"/>
      <c r="E477" s="733"/>
      <c r="F477" s="730"/>
      <c r="G477" s="731"/>
      <c r="H477" s="731"/>
      <c r="I477" s="731"/>
      <c r="J477" s="731"/>
      <c r="K477" s="731"/>
    </row>
    <row r="478">
      <c r="A478" s="408"/>
      <c r="B478" s="730"/>
      <c r="C478" s="731"/>
      <c r="D478" s="732"/>
      <c r="E478" s="733"/>
      <c r="F478" s="730"/>
      <c r="G478" s="731"/>
      <c r="H478" s="731"/>
      <c r="I478" s="731"/>
      <c r="J478" s="731"/>
      <c r="K478" s="731"/>
    </row>
    <row r="479">
      <c r="A479" s="408"/>
      <c r="B479" s="730"/>
      <c r="C479" s="731"/>
      <c r="D479" s="732"/>
      <c r="E479" s="733"/>
      <c r="F479" s="730"/>
      <c r="G479" s="731"/>
      <c r="H479" s="731"/>
      <c r="I479" s="731"/>
      <c r="J479" s="731"/>
      <c r="K479" s="731"/>
    </row>
    <row r="480">
      <c r="A480" s="408"/>
      <c r="B480" s="730"/>
      <c r="C480" s="731"/>
      <c r="D480" s="732"/>
      <c r="E480" s="733"/>
      <c r="F480" s="730"/>
      <c r="G480" s="731"/>
      <c r="H480" s="731"/>
      <c r="I480" s="731"/>
      <c r="J480" s="731"/>
      <c r="K480" s="731"/>
    </row>
    <row r="481">
      <c r="A481" s="408"/>
      <c r="B481" s="730"/>
      <c r="C481" s="731"/>
      <c r="D481" s="732"/>
      <c r="E481" s="733"/>
      <c r="F481" s="730"/>
      <c r="G481" s="731"/>
      <c r="H481" s="731"/>
      <c r="I481" s="731"/>
      <c r="J481" s="731"/>
      <c r="K481" s="731"/>
    </row>
    <row r="482">
      <c r="A482" s="408"/>
      <c r="B482" s="730"/>
      <c r="C482" s="731"/>
      <c r="D482" s="732"/>
      <c r="E482" s="733"/>
      <c r="F482" s="730"/>
      <c r="G482" s="731"/>
      <c r="H482" s="731"/>
      <c r="I482" s="731"/>
      <c r="J482" s="731"/>
      <c r="K482" s="731"/>
    </row>
    <row r="483">
      <c r="A483" s="408"/>
      <c r="B483" s="730"/>
      <c r="C483" s="731"/>
      <c r="D483" s="732"/>
      <c r="E483" s="733"/>
      <c r="F483" s="730"/>
      <c r="G483" s="731"/>
      <c r="H483" s="731"/>
      <c r="I483" s="731"/>
      <c r="J483" s="731"/>
      <c r="K483" s="731"/>
    </row>
    <row r="484">
      <c r="A484" s="408"/>
      <c r="B484" s="730"/>
      <c r="C484" s="731"/>
      <c r="D484" s="732"/>
      <c r="E484" s="733"/>
      <c r="F484" s="730"/>
      <c r="G484" s="731"/>
      <c r="H484" s="731"/>
      <c r="I484" s="731"/>
      <c r="J484" s="731"/>
      <c r="K484" s="731"/>
    </row>
    <row r="485">
      <c r="A485" s="408"/>
      <c r="B485" s="730"/>
      <c r="C485" s="731"/>
      <c r="D485" s="732"/>
      <c r="E485" s="733"/>
      <c r="F485" s="730"/>
      <c r="G485" s="731"/>
      <c r="H485" s="731"/>
      <c r="I485" s="731"/>
      <c r="J485" s="731"/>
      <c r="K485" s="731"/>
    </row>
    <row r="486">
      <c r="A486" s="408"/>
      <c r="B486" s="730"/>
      <c r="C486" s="731"/>
      <c r="D486" s="732"/>
      <c r="E486" s="733"/>
      <c r="F486" s="730"/>
      <c r="G486" s="731"/>
      <c r="H486" s="731"/>
      <c r="I486" s="731"/>
      <c r="J486" s="731"/>
      <c r="K486" s="731"/>
    </row>
    <row r="487">
      <c r="A487" s="408"/>
      <c r="B487" s="730"/>
      <c r="C487" s="731"/>
      <c r="D487" s="732"/>
      <c r="E487" s="733"/>
      <c r="F487" s="730"/>
      <c r="G487" s="731"/>
      <c r="H487" s="731"/>
      <c r="I487" s="731"/>
      <c r="J487" s="731"/>
      <c r="K487" s="731"/>
    </row>
    <row r="488">
      <c r="A488" s="408"/>
      <c r="B488" s="730"/>
      <c r="C488" s="731"/>
      <c r="D488" s="732"/>
      <c r="E488" s="733"/>
      <c r="F488" s="730"/>
      <c r="G488" s="731"/>
      <c r="H488" s="731"/>
      <c r="I488" s="731"/>
      <c r="J488" s="731"/>
      <c r="K488" s="731"/>
    </row>
    <row r="489">
      <c r="A489" s="408"/>
      <c r="B489" s="730"/>
      <c r="C489" s="731"/>
      <c r="D489" s="732"/>
      <c r="E489" s="733"/>
      <c r="F489" s="730"/>
      <c r="G489" s="731"/>
      <c r="H489" s="731"/>
      <c r="I489" s="731"/>
      <c r="J489" s="731"/>
      <c r="K489" s="731"/>
    </row>
    <row r="490">
      <c r="A490" s="408"/>
      <c r="B490" s="730"/>
      <c r="C490" s="731"/>
      <c r="D490" s="732"/>
      <c r="E490" s="733"/>
      <c r="F490" s="730"/>
      <c r="G490" s="731"/>
      <c r="H490" s="731"/>
      <c r="I490" s="731"/>
      <c r="J490" s="731"/>
      <c r="K490" s="731"/>
    </row>
    <row r="491">
      <c r="A491" s="408"/>
      <c r="B491" s="730"/>
      <c r="C491" s="731"/>
      <c r="D491" s="732"/>
      <c r="E491" s="733"/>
      <c r="F491" s="730"/>
      <c r="G491" s="731"/>
      <c r="H491" s="731"/>
      <c r="I491" s="731"/>
      <c r="J491" s="731"/>
      <c r="K491" s="731"/>
    </row>
    <row r="492">
      <c r="A492" s="408"/>
      <c r="B492" s="730"/>
      <c r="C492" s="731"/>
      <c r="D492" s="732"/>
      <c r="E492" s="733"/>
      <c r="F492" s="730"/>
      <c r="G492" s="731"/>
      <c r="H492" s="731"/>
      <c r="I492" s="731"/>
      <c r="J492" s="731"/>
      <c r="K492" s="731"/>
    </row>
    <row r="493">
      <c r="A493" s="408"/>
      <c r="B493" s="730"/>
      <c r="C493" s="731"/>
      <c r="D493" s="732"/>
      <c r="E493" s="733"/>
      <c r="F493" s="730"/>
      <c r="G493" s="731"/>
      <c r="H493" s="731"/>
      <c r="I493" s="731"/>
      <c r="J493" s="731"/>
      <c r="K493" s="731"/>
    </row>
    <row r="494">
      <c r="A494" s="408"/>
      <c r="B494" s="730"/>
      <c r="C494" s="731"/>
      <c r="D494" s="732"/>
      <c r="E494" s="733"/>
      <c r="F494" s="730"/>
      <c r="G494" s="731"/>
      <c r="H494" s="731"/>
      <c r="I494" s="731"/>
      <c r="J494" s="731"/>
      <c r="K494" s="731"/>
    </row>
    <row r="495">
      <c r="A495" s="408"/>
      <c r="B495" s="730"/>
      <c r="C495" s="731"/>
      <c r="D495" s="732"/>
      <c r="E495" s="733"/>
      <c r="F495" s="730"/>
      <c r="G495" s="731"/>
      <c r="H495" s="731"/>
      <c r="I495" s="731"/>
      <c r="J495" s="731"/>
      <c r="K495" s="731"/>
    </row>
    <row r="496">
      <c r="A496" s="408"/>
      <c r="B496" s="730"/>
      <c r="C496" s="731"/>
      <c r="D496" s="732"/>
      <c r="E496" s="733"/>
      <c r="F496" s="730"/>
      <c r="G496" s="731"/>
      <c r="H496" s="731"/>
      <c r="I496" s="731"/>
      <c r="J496" s="731"/>
      <c r="K496" s="731"/>
    </row>
    <row r="497">
      <c r="A497" s="408"/>
      <c r="B497" s="730"/>
      <c r="C497" s="731"/>
      <c r="D497" s="732"/>
      <c r="E497" s="733"/>
      <c r="F497" s="730"/>
      <c r="G497" s="731"/>
      <c r="H497" s="731"/>
      <c r="I497" s="731"/>
      <c r="J497" s="731"/>
      <c r="K497" s="731"/>
    </row>
    <row r="498">
      <c r="A498" s="408"/>
      <c r="B498" s="730"/>
      <c r="C498" s="731"/>
      <c r="D498" s="732"/>
      <c r="E498" s="733"/>
      <c r="F498" s="730"/>
      <c r="G498" s="731"/>
      <c r="H498" s="731"/>
      <c r="I498" s="731"/>
      <c r="J498" s="731"/>
      <c r="K498" s="731"/>
    </row>
    <row r="499">
      <c r="A499" s="408"/>
      <c r="B499" s="730"/>
      <c r="C499" s="731"/>
      <c r="D499" s="732"/>
      <c r="E499" s="733"/>
      <c r="F499" s="730"/>
      <c r="G499" s="731"/>
      <c r="H499" s="731"/>
      <c r="I499" s="731"/>
      <c r="J499" s="731"/>
      <c r="K499" s="731"/>
    </row>
    <row r="500">
      <c r="A500" s="408"/>
      <c r="B500" s="730"/>
      <c r="C500" s="731"/>
      <c r="D500" s="732"/>
      <c r="E500" s="733"/>
      <c r="F500" s="730"/>
      <c r="G500" s="731"/>
      <c r="H500" s="731"/>
      <c r="I500" s="731"/>
      <c r="J500" s="731"/>
      <c r="K500" s="731"/>
    </row>
    <row r="501">
      <c r="A501" s="408"/>
      <c r="B501" s="730"/>
      <c r="C501" s="731"/>
      <c r="D501" s="732"/>
      <c r="E501" s="733"/>
      <c r="F501" s="730"/>
      <c r="G501" s="731"/>
      <c r="H501" s="731"/>
      <c r="I501" s="731"/>
      <c r="J501" s="731"/>
      <c r="K501" s="731"/>
    </row>
    <row r="502">
      <c r="A502" s="408"/>
      <c r="B502" s="730"/>
      <c r="C502" s="731"/>
      <c r="D502" s="732"/>
      <c r="E502" s="733"/>
      <c r="F502" s="730"/>
      <c r="G502" s="731"/>
      <c r="H502" s="731"/>
      <c r="I502" s="731"/>
      <c r="J502" s="731"/>
      <c r="K502" s="731"/>
    </row>
    <row r="503">
      <c r="A503" s="408"/>
      <c r="B503" s="730"/>
      <c r="C503" s="731"/>
      <c r="D503" s="732"/>
      <c r="E503" s="733"/>
      <c r="F503" s="730"/>
      <c r="G503" s="731"/>
      <c r="H503" s="731"/>
      <c r="I503" s="731"/>
      <c r="J503" s="731"/>
      <c r="K503" s="731"/>
    </row>
    <row r="504">
      <c r="A504" s="408"/>
      <c r="B504" s="730"/>
      <c r="C504" s="731"/>
      <c r="D504" s="732"/>
      <c r="E504" s="733"/>
      <c r="F504" s="730"/>
      <c r="G504" s="731"/>
      <c r="H504" s="731"/>
      <c r="I504" s="731"/>
      <c r="J504" s="731"/>
      <c r="K504" s="731"/>
    </row>
    <row r="505">
      <c r="A505" s="408"/>
      <c r="B505" s="730"/>
      <c r="C505" s="731"/>
      <c r="D505" s="732"/>
      <c r="E505" s="733"/>
      <c r="F505" s="730"/>
      <c r="G505" s="731"/>
      <c r="H505" s="731"/>
      <c r="I505" s="731"/>
      <c r="J505" s="731"/>
      <c r="K505" s="731"/>
    </row>
    <row r="506">
      <c r="A506" s="408"/>
      <c r="B506" s="730"/>
      <c r="C506" s="731"/>
      <c r="D506" s="732"/>
      <c r="E506" s="733"/>
      <c r="F506" s="730"/>
      <c r="G506" s="731"/>
      <c r="H506" s="731"/>
      <c r="I506" s="731"/>
      <c r="J506" s="731"/>
      <c r="K506" s="731"/>
    </row>
    <row r="507">
      <c r="A507" s="408"/>
      <c r="B507" s="730"/>
      <c r="C507" s="731"/>
      <c r="D507" s="732"/>
      <c r="E507" s="733"/>
      <c r="F507" s="730"/>
      <c r="G507" s="731"/>
      <c r="H507" s="731"/>
      <c r="I507" s="731"/>
      <c r="J507" s="731"/>
      <c r="K507" s="731"/>
    </row>
    <row r="508">
      <c r="A508" s="408"/>
      <c r="B508" s="730"/>
      <c r="C508" s="731"/>
      <c r="D508" s="732"/>
      <c r="E508" s="733"/>
      <c r="F508" s="730"/>
      <c r="G508" s="731"/>
      <c r="H508" s="731"/>
      <c r="I508" s="731"/>
      <c r="J508" s="731"/>
      <c r="K508" s="731"/>
    </row>
    <row r="509">
      <c r="A509" s="408"/>
      <c r="B509" s="730"/>
      <c r="C509" s="731"/>
      <c r="D509" s="732"/>
      <c r="E509" s="733"/>
      <c r="F509" s="730"/>
      <c r="G509" s="731"/>
      <c r="H509" s="731"/>
      <c r="I509" s="731"/>
      <c r="J509" s="731"/>
      <c r="K509" s="731"/>
    </row>
    <row r="510">
      <c r="A510" s="408"/>
      <c r="B510" s="730"/>
      <c r="C510" s="731"/>
      <c r="D510" s="732"/>
      <c r="E510" s="733"/>
      <c r="F510" s="730"/>
      <c r="G510" s="731"/>
      <c r="H510" s="731"/>
      <c r="I510" s="731"/>
      <c r="J510" s="731"/>
      <c r="K510" s="731"/>
    </row>
    <row r="511">
      <c r="A511" s="408"/>
      <c r="B511" s="730"/>
      <c r="C511" s="731"/>
      <c r="D511" s="732"/>
      <c r="E511" s="733"/>
      <c r="F511" s="730"/>
      <c r="G511" s="731"/>
      <c r="H511" s="731"/>
      <c r="I511" s="731"/>
      <c r="J511" s="731"/>
      <c r="K511" s="731"/>
    </row>
    <row r="512">
      <c r="A512" s="408"/>
      <c r="B512" s="730"/>
      <c r="C512" s="731"/>
      <c r="D512" s="732"/>
      <c r="E512" s="733"/>
      <c r="F512" s="730"/>
      <c r="G512" s="731"/>
      <c r="H512" s="731"/>
      <c r="I512" s="731"/>
      <c r="J512" s="731"/>
      <c r="K512" s="731"/>
    </row>
    <row r="513">
      <c r="A513" s="408"/>
      <c r="B513" s="730"/>
      <c r="C513" s="731"/>
      <c r="D513" s="732"/>
      <c r="E513" s="733"/>
      <c r="F513" s="730"/>
      <c r="G513" s="731"/>
      <c r="H513" s="731"/>
      <c r="I513" s="731"/>
      <c r="J513" s="731"/>
      <c r="K513" s="731"/>
    </row>
    <row r="514">
      <c r="A514" s="408"/>
      <c r="B514" s="730"/>
      <c r="C514" s="731"/>
      <c r="D514" s="732"/>
      <c r="E514" s="733"/>
      <c r="F514" s="730"/>
      <c r="G514" s="731"/>
      <c r="H514" s="731"/>
      <c r="I514" s="731"/>
      <c r="J514" s="731"/>
      <c r="K514" s="731"/>
    </row>
    <row r="515">
      <c r="A515" s="408"/>
      <c r="B515" s="730"/>
      <c r="C515" s="731"/>
      <c r="D515" s="732"/>
      <c r="E515" s="733"/>
      <c r="F515" s="730"/>
      <c r="G515" s="731"/>
      <c r="H515" s="731"/>
      <c r="I515" s="731"/>
      <c r="J515" s="731"/>
      <c r="K515" s="731"/>
    </row>
    <row r="516">
      <c r="A516" s="408"/>
      <c r="B516" s="730"/>
      <c r="C516" s="731"/>
      <c r="D516" s="732"/>
      <c r="E516" s="733"/>
      <c r="F516" s="730"/>
      <c r="G516" s="731"/>
      <c r="H516" s="731"/>
      <c r="I516" s="731"/>
      <c r="J516" s="731"/>
      <c r="K516" s="731"/>
    </row>
    <row r="517">
      <c r="A517" s="408"/>
      <c r="B517" s="730"/>
      <c r="C517" s="731"/>
      <c r="D517" s="732"/>
      <c r="E517" s="733"/>
      <c r="F517" s="730"/>
      <c r="G517" s="731"/>
      <c r="H517" s="731"/>
      <c r="I517" s="731"/>
      <c r="J517" s="731"/>
      <c r="K517" s="731"/>
    </row>
    <row r="518">
      <c r="A518" s="408"/>
      <c r="B518" s="730"/>
      <c r="C518" s="731"/>
      <c r="D518" s="732"/>
      <c r="E518" s="733"/>
      <c r="F518" s="730"/>
      <c r="G518" s="731"/>
      <c r="H518" s="731"/>
      <c r="I518" s="731"/>
      <c r="J518" s="731"/>
      <c r="K518" s="731"/>
    </row>
    <row r="519">
      <c r="A519" s="408"/>
      <c r="B519" s="730"/>
      <c r="C519" s="731"/>
      <c r="D519" s="732"/>
      <c r="E519" s="733"/>
      <c r="F519" s="730"/>
      <c r="G519" s="731"/>
      <c r="H519" s="731"/>
      <c r="I519" s="731"/>
      <c r="J519" s="731"/>
      <c r="K519" s="731"/>
    </row>
    <row r="520">
      <c r="A520" s="408"/>
      <c r="B520" s="730"/>
      <c r="C520" s="731"/>
      <c r="D520" s="732"/>
      <c r="E520" s="733"/>
      <c r="F520" s="730"/>
      <c r="G520" s="731"/>
      <c r="H520" s="731"/>
      <c r="I520" s="731"/>
      <c r="J520" s="731"/>
      <c r="K520" s="731"/>
    </row>
    <row r="521">
      <c r="A521" s="408"/>
      <c r="B521" s="730"/>
      <c r="C521" s="731"/>
      <c r="D521" s="732"/>
      <c r="E521" s="733"/>
      <c r="F521" s="730"/>
      <c r="G521" s="731"/>
      <c r="H521" s="731"/>
      <c r="I521" s="731"/>
      <c r="J521" s="731"/>
      <c r="K521" s="731"/>
    </row>
    <row r="522">
      <c r="A522" s="408"/>
      <c r="B522" s="730"/>
      <c r="C522" s="731"/>
      <c r="D522" s="732"/>
      <c r="E522" s="733"/>
      <c r="F522" s="730"/>
      <c r="G522" s="731"/>
      <c r="H522" s="731"/>
      <c r="I522" s="731"/>
      <c r="J522" s="731"/>
      <c r="K522" s="731"/>
    </row>
    <row r="523">
      <c r="A523" s="408"/>
      <c r="B523" s="730"/>
      <c r="C523" s="731"/>
      <c r="D523" s="732"/>
      <c r="E523" s="733"/>
      <c r="F523" s="730"/>
      <c r="G523" s="731"/>
      <c r="H523" s="731"/>
      <c r="I523" s="731"/>
      <c r="J523" s="731"/>
      <c r="K523" s="731"/>
    </row>
    <row r="524">
      <c r="A524" s="408"/>
      <c r="B524" s="730"/>
      <c r="C524" s="731"/>
      <c r="D524" s="732"/>
      <c r="E524" s="733"/>
      <c r="F524" s="730"/>
      <c r="G524" s="731"/>
      <c r="H524" s="731"/>
      <c r="I524" s="731"/>
      <c r="J524" s="731"/>
      <c r="K524" s="731"/>
    </row>
    <row r="525">
      <c r="A525" s="408"/>
      <c r="B525" s="730"/>
      <c r="C525" s="731"/>
      <c r="D525" s="732"/>
      <c r="E525" s="733"/>
      <c r="F525" s="730"/>
      <c r="G525" s="731"/>
      <c r="H525" s="731"/>
      <c r="I525" s="731"/>
      <c r="J525" s="731"/>
      <c r="K525" s="731"/>
    </row>
    <row r="526">
      <c r="A526" s="408"/>
      <c r="B526" s="730"/>
      <c r="C526" s="731"/>
      <c r="D526" s="732"/>
      <c r="E526" s="733"/>
      <c r="F526" s="730"/>
      <c r="G526" s="731"/>
      <c r="H526" s="731"/>
      <c r="I526" s="731"/>
      <c r="J526" s="731"/>
      <c r="K526" s="731"/>
    </row>
    <row r="527">
      <c r="A527" s="408"/>
      <c r="B527" s="730"/>
      <c r="C527" s="731"/>
      <c r="D527" s="732"/>
      <c r="E527" s="733"/>
      <c r="F527" s="730"/>
      <c r="G527" s="731"/>
      <c r="H527" s="731"/>
      <c r="I527" s="731"/>
      <c r="J527" s="731"/>
      <c r="K527" s="731"/>
    </row>
    <row r="528">
      <c r="A528" s="408"/>
      <c r="B528" s="730"/>
      <c r="C528" s="731"/>
      <c r="D528" s="732"/>
      <c r="E528" s="733"/>
      <c r="F528" s="730"/>
      <c r="G528" s="731"/>
      <c r="H528" s="731"/>
      <c r="I528" s="731"/>
      <c r="J528" s="731"/>
      <c r="K528" s="731"/>
    </row>
    <row r="529">
      <c r="A529" s="408"/>
      <c r="B529" s="730"/>
      <c r="C529" s="731"/>
      <c r="D529" s="732"/>
      <c r="E529" s="733"/>
      <c r="F529" s="730"/>
      <c r="G529" s="731"/>
      <c r="H529" s="731"/>
      <c r="I529" s="731"/>
      <c r="J529" s="731"/>
      <c r="K529" s="731"/>
    </row>
    <row r="530">
      <c r="A530" s="408"/>
      <c r="B530" s="730"/>
      <c r="C530" s="731"/>
      <c r="D530" s="732"/>
      <c r="E530" s="733"/>
      <c r="F530" s="730"/>
      <c r="G530" s="731"/>
      <c r="H530" s="731"/>
      <c r="I530" s="731"/>
      <c r="J530" s="731"/>
      <c r="K530" s="731"/>
    </row>
    <row r="531">
      <c r="A531" s="408"/>
      <c r="B531" s="730"/>
      <c r="C531" s="731"/>
      <c r="D531" s="732"/>
      <c r="E531" s="733"/>
      <c r="F531" s="730"/>
      <c r="G531" s="731"/>
      <c r="H531" s="731"/>
      <c r="I531" s="731"/>
      <c r="J531" s="731"/>
      <c r="K531" s="731"/>
    </row>
    <row r="532">
      <c r="A532" s="408"/>
      <c r="B532" s="730"/>
      <c r="C532" s="731"/>
      <c r="D532" s="732"/>
      <c r="E532" s="733"/>
      <c r="F532" s="730"/>
      <c r="G532" s="731"/>
      <c r="H532" s="731"/>
      <c r="I532" s="731"/>
      <c r="J532" s="731"/>
      <c r="K532" s="731"/>
    </row>
    <row r="533">
      <c r="A533" s="408"/>
      <c r="B533" s="730"/>
      <c r="C533" s="731"/>
      <c r="D533" s="732"/>
      <c r="E533" s="733"/>
      <c r="F533" s="730"/>
      <c r="G533" s="731"/>
      <c r="H533" s="731"/>
      <c r="I533" s="731"/>
      <c r="J533" s="731"/>
      <c r="K533" s="731"/>
    </row>
    <row r="534">
      <c r="A534" s="408"/>
      <c r="B534" s="730"/>
      <c r="C534" s="731"/>
      <c r="D534" s="732"/>
      <c r="E534" s="733"/>
      <c r="F534" s="730"/>
      <c r="G534" s="731"/>
      <c r="H534" s="731"/>
      <c r="I534" s="731"/>
      <c r="J534" s="731"/>
      <c r="K534" s="731"/>
    </row>
    <row r="535">
      <c r="A535" s="408"/>
      <c r="B535" s="730"/>
      <c r="C535" s="731"/>
      <c r="D535" s="732"/>
      <c r="E535" s="733"/>
      <c r="F535" s="730"/>
      <c r="G535" s="731"/>
      <c r="H535" s="731"/>
      <c r="I535" s="731"/>
      <c r="J535" s="731"/>
      <c r="K535" s="731"/>
    </row>
    <row r="536">
      <c r="A536" s="408"/>
      <c r="B536" s="730"/>
      <c r="C536" s="731"/>
      <c r="D536" s="732"/>
      <c r="E536" s="733"/>
      <c r="F536" s="730"/>
      <c r="G536" s="731"/>
      <c r="H536" s="731"/>
      <c r="I536" s="731"/>
      <c r="J536" s="731"/>
      <c r="K536" s="731"/>
    </row>
    <row r="537">
      <c r="A537" s="408"/>
      <c r="B537" s="730"/>
      <c r="C537" s="731"/>
      <c r="D537" s="732"/>
      <c r="E537" s="733"/>
      <c r="F537" s="730"/>
      <c r="G537" s="731"/>
      <c r="H537" s="731"/>
      <c r="I537" s="731"/>
      <c r="J537" s="731"/>
      <c r="K537" s="731"/>
    </row>
    <row r="538">
      <c r="A538" s="408"/>
      <c r="B538" s="730"/>
      <c r="C538" s="731"/>
      <c r="D538" s="732"/>
      <c r="E538" s="733"/>
      <c r="F538" s="730"/>
      <c r="G538" s="731"/>
      <c r="H538" s="731"/>
      <c r="I538" s="731"/>
      <c r="J538" s="731"/>
      <c r="K538" s="731"/>
    </row>
    <row r="539">
      <c r="A539" s="408"/>
      <c r="B539" s="730"/>
      <c r="C539" s="731"/>
      <c r="D539" s="732"/>
      <c r="E539" s="733"/>
      <c r="F539" s="730"/>
      <c r="G539" s="731"/>
      <c r="H539" s="731"/>
      <c r="I539" s="731"/>
      <c r="J539" s="731"/>
      <c r="K539" s="731"/>
    </row>
    <row r="540">
      <c r="A540" s="408"/>
      <c r="B540" s="730"/>
      <c r="C540" s="731"/>
      <c r="D540" s="732"/>
      <c r="E540" s="733"/>
      <c r="F540" s="730"/>
      <c r="G540" s="731"/>
      <c r="H540" s="731"/>
      <c r="I540" s="731"/>
      <c r="J540" s="731"/>
      <c r="K540" s="731"/>
    </row>
    <row r="541">
      <c r="A541" s="408"/>
      <c r="B541" s="730"/>
      <c r="C541" s="731"/>
      <c r="D541" s="732"/>
      <c r="E541" s="733"/>
      <c r="F541" s="730"/>
      <c r="G541" s="731"/>
      <c r="H541" s="731"/>
      <c r="I541" s="731"/>
      <c r="J541" s="731"/>
      <c r="K541" s="731"/>
    </row>
    <row r="542">
      <c r="A542" s="408"/>
      <c r="B542" s="730"/>
      <c r="C542" s="731"/>
      <c r="D542" s="732"/>
      <c r="E542" s="733"/>
      <c r="F542" s="730"/>
      <c r="G542" s="731"/>
      <c r="H542" s="731"/>
      <c r="I542" s="731"/>
      <c r="J542" s="731"/>
      <c r="K542" s="731"/>
    </row>
    <row r="543">
      <c r="A543" s="408"/>
      <c r="B543" s="730"/>
      <c r="C543" s="731"/>
      <c r="D543" s="732"/>
      <c r="E543" s="733"/>
      <c r="F543" s="730"/>
      <c r="G543" s="731"/>
      <c r="H543" s="731"/>
      <c r="I543" s="731"/>
      <c r="J543" s="731"/>
      <c r="K543" s="731"/>
    </row>
    <row r="544">
      <c r="A544" s="408"/>
      <c r="B544" s="730"/>
      <c r="C544" s="731"/>
      <c r="D544" s="732"/>
      <c r="E544" s="733"/>
      <c r="F544" s="730"/>
      <c r="G544" s="731"/>
      <c r="H544" s="731"/>
      <c r="I544" s="731"/>
      <c r="J544" s="731"/>
      <c r="K544" s="731"/>
    </row>
    <row r="545">
      <c r="A545" s="408"/>
      <c r="B545" s="730"/>
      <c r="C545" s="731"/>
      <c r="D545" s="732"/>
      <c r="E545" s="733"/>
      <c r="F545" s="730"/>
      <c r="G545" s="731"/>
      <c r="H545" s="731"/>
      <c r="I545" s="731"/>
      <c r="J545" s="731"/>
      <c r="K545" s="731"/>
    </row>
    <row r="546">
      <c r="A546" s="408"/>
      <c r="B546" s="730"/>
      <c r="C546" s="731"/>
      <c r="D546" s="732"/>
      <c r="E546" s="733"/>
      <c r="F546" s="730"/>
      <c r="G546" s="731"/>
      <c r="H546" s="731"/>
      <c r="I546" s="731"/>
      <c r="J546" s="731"/>
      <c r="K546" s="731"/>
    </row>
    <row r="547">
      <c r="A547" s="408"/>
      <c r="B547" s="730"/>
      <c r="C547" s="731"/>
      <c r="D547" s="732"/>
      <c r="E547" s="733"/>
      <c r="F547" s="730"/>
      <c r="G547" s="731"/>
      <c r="H547" s="731"/>
      <c r="I547" s="731"/>
      <c r="J547" s="731"/>
      <c r="K547" s="731"/>
    </row>
    <row r="548">
      <c r="A548" s="408"/>
      <c r="B548" s="730"/>
      <c r="C548" s="731"/>
      <c r="D548" s="732"/>
      <c r="E548" s="733"/>
      <c r="F548" s="730"/>
      <c r="G548" s="731"/>
      <c r="H548" s="731"/>
      <c r="I548" s="731"/>
      <c r="J548" s="731"/>
      <c r="K548" s="731"/>
    </row>
    <row r="549">
      <c r="A549" s="408"/>
      <c r="B549" s="730"/>
      <c r="C549" s="731"/>
      <c r="D549" s="732"/>
      <c r="E549" s="733"/>
      <c r="F549" s="730"/>
      <c r="G549" s="731"/>
      <c r="H549" s="731"/>
      <c r="I549" s="731"/>
      <c r="J549" s="731"/>
      <c r="K549" s="731"/>
    </row>
    <row r="550">
      <c r="A550" s="408"/>
      <c r="B550" s="730"/>
      <c r="C550" s="731"/>
      <c r="D550" s="732"/>
      <c r="E550" s="733"/>
      <c r="F550" s="730"/>
      <c r="G550" s="731"/>
      <c r="H550" s="731"/>
      <c r="I550" s="731"/>
      <c r="J550" s="731"/>
      <c r="K550" s="731"/>
    </row>
    <row r="551">
      <c r="A551" s="408"/>
      <c r="B551" s="730"/>
      <c r="C551" s="731"/>
      <c r="D551" s="732"/>
      <c r="E551" s="733"/>
      <c r="F551" s="730"/>
      <c r="G551" s="731"/>
      <c r="H551" s="731"/>
      <c r="I551" s="731"/>
      <c r="J551" s="731"/>
      <c r="K551" s="731"/>
    </row>
    <row r="552">
      <c r="A552" s="408"/>
      <c r="B552" s="730"/>
      <c r="C552" s="731"/>
      <c r="D552" s="732"/>
      <c r="E552" s="733"/>
      <c r="F552" s="730"/>
      <c r="G552" s="731"/>
      <c r="H552" s="731"/>
      <c r="I552" s="731"/>
      <c r="J552" s="731"/>
      <c r="K552" s="731"/>
    </row>
    <row r="553">
      <c r="A553" s="408"/>
      <c r="B553" s="730"/>
      <c r="C553" s="731"/>
      <c r="D553" s="732"/>
      <c r="E553" s="733"/>
      <c r="F553" s="730"/>
      <c r="G553" s="731"/>
      <c r="H553" s="731"/>
      <c r="I553" s="731"/>
      <c r="J553" s="731"/>
      <c r="K553" s="731"/>
    </row>
    <row r="554">
      <c r="A554" s="408"/>
      <c r="B554" s="730"/>
      <c r="C554" s="731"/>
      <c r="D554" s="732"/>
      <c r="E554" s="733"/>
      <c r="F554" s="730"/>
      <c r="G554" s="731"/>
      <c r="H554" s="731"/>
      <c r="I554" s="731"/>
      <c r="J554" s="731"/>
      <c r="K554" s="731"/>
    </row>
    <row r="555">
      <c r="A555" s="408"/>
      <c r="B555" s="730"/>
      <c r="C555" s="731"/>
      <c r="D555" s="732"/>
      <c r="E555" s="733"/>
      <c r="F555" s="730"/>
      <c r="G555" s="731"/>
      <c r="H555" s="731"/>
      <c r="I555" s="731"/>
      <c r="J555" s="731"/>
      <c r="K555" s="731"/>
    </row>
    <row r="556">
      <c r="A556" s="408"/>
      <c r="B556" s="730"/>
      <c r="C556" s="731"/>
      <c r="D556" s="732"/>
      <c r="E556" s="733"/>
      <c r="F556" s="730"/>
      <c r="G556" s="731"/>
      <c r="H556" s="731"/>
      <c r="I556" s="731"/>
      <c r="J556" s="731"/>
      <c r="K556" s="731"/>
    </row>
    <row r="557">
      <c r="A557" s="408"/>
      <c r="B557" s="730"/>
      <c r="C557" s="731"/>
      <c r="D557" s="732"/>
      <c r="E557" s="733"/>
      <c r="F557" s="730"/>
      <c r="G557" s="731"/>
      <c r="H557" s="731"/>
      <c r="I557" s="731"/>
      <c r="J557" s="731"/>
      <c r="K557" s="731"/>
    </row>
    <row r="558">
      <c r="A558" s="408"/>
      <c r="B558" s="730"/>
      <c r="C558" s="731"/>
      <c r="D558" s="732"/>
      <c r="E558" s="733"/>
      <c r="F558" s="730"/>
      <c r="G558" s="731"/>
      <c r="H558" s="731"/>
      <c r="I558" s="731"/>
      <c r="J558" s="731"/>
      <c r="K558" s="731"/>
    </row>
    <row r="559">
      <c r="A559" s="408"/>
      <c r="B559" s="730"/>
      <c r="C559" s="731"/>
      <c r="D559" s="732"/>
      <c r="E559" s="733"/>
      <c r="F559" s="730"/>
      <c r="G559" s="731"/>
      <c r="H559" s="731"/>
      <c r="I559" s="731"/>
      <c r="J559" s="731"/>
      <c r="K559" s="731"/>
    </row>
    <row r="560">
      <c r="A560" s="408"/>
      <c r="B560" s="730"/>
      <c r="C560" s="731"/>
      <c r="D560" s="732"/>
      <c r="E560" s="733"/>
      <c r="F560" s="730"/>
      <c r="G560" s="731"/>
      <c r="H560" s="731"/>
      <c r="I560" s="731"/>
      <c r="J560" s="731"/>
      <c r="K560" s="731"/>
    </row>
    <row r="561">
      <c r="A561" s="408"/>
      <c r="B561" s="730"/>
      <c r="C561" s="731"/>
      <c r="D561" s="732"/>
      <c r="E561" s="733"/>
      <c r="F561" s="730"/>
      <c r="G561" s="731"/>
      <c r="H561" s="731"/>
      <c r="I561" s="731"/>
      <c r="J561" s="731"/>
      <c r="K561" s="731"/>
    </row>
    <row r="562">
      <c r="A562" s="408"/>
      <c r="B562" s="730"/>
      <c r="C562" s="731"/>
      <c r="D562" s="732"/>
      <c r="E562" s="733"/>
      <c r="F562" s="730"/>
      <c r="G562" s="731"/>
      <c r="H562" s="731"/>
      <c r="I562" s="731"/>
      <c r="J562" s="731"/>
      <c r="K562" s="731"/>
    </row>
    <row r="563">
      <c r="A563" s="408"/>
      <c r="B563" s="730"/>
      <c r="C563" s="731"/>
      <c r="D563" s="732"/>
      <c r="E563" s="733"/>
      <c r="F563" s="730"/>
      <c r="G563" s="731"/>
      <c r="H563" s="731"/>
      <c r="I563" s="731"/>
      <c r="J563" s="731"/>
      <c r="K563" s="731"/>
    </row>
    <row r="564">
      <c r="A564" s="408"/>
      <c r="B564" s="730"/>
      <c r="C564" s="731"/>
      <c r="D564" s="732"/>
      <c r="E564" s="733"/>
      <c r="F564" s="730"/>
      <c r="G564" s="731"/>
      <c r="H564" s="731"/>
      <c r="I564" s="731"/>
      <c r="J564" s="731"/>
      <c r="K564" s="731"/>
    </row>
    <row r="565">
      <c r="A565" s="408"/>
      <c r="B565" s="730"/>
      <c r="C565" s="731"/>
      <c r="D565" s="732"/>
      <c r="E565" s="733"/>
      <c r="F565" s="730"/>
      <c r="G565" s="731"/>
      <c r="H565" s="731"/>
      <c r="I565" s="731"/>
      <c r="J565" s="731"/>
      <c r="K565" s="731"/>
    </row>
    <row r="566">
      <c r="A566" s="408"/>
      <c r="B566" s="730"/>
      <c r="C566" s="731"/>
      <c r="D566" s="732"/>
      <c r="E566" s="733"/>
      <c r="F566" s="730"/>
      <c r="G566" s="731"/>
      <c r="H566" s="731"/>
      <c r="I566" s="731"/>
      <c r="J566" s="731"/>
      <c r="K566" s="731"/>
    </row>
    <row r="567">
      <c r="A567" s="408"/>
      <c r="B567" s="730"/>
      <c r="C567" s="731"/>
      <c r="D567" s="732"/>
      <c r="E567" s="733"/>
      <c r="F567" s="730"/>
      <c r="G567" s="731"/>
      <c r="H567" s="731"/>
      <c r="I567" s="731"/>
      <c r="J567" s="731"/>
      <c r="K567" s="731"/>
    </row>
    <row r="568">
      <c r="A568" s="408"/>
      <c r="B568" s="730"/>
      <c r="C568" s="731"/>
      <c r="D568" s="732"/>
      <c r="E568" s="733"/>
      <c r="F568" s="730"/>
      <c r="G568" s="731"/>
      <c r="H568" s="731"/>
      <c r="I568" s="731"/>
      <c r="J568" s="731"/>
      <c r="K568" s="731"/>
    </row>
    <row r="569">
      <c r="A569" s="408"/>
      <c r="B569" s="730"/>
      <c r="C569" s="731"/>
      <c r="D569" s="732"/>
      <c r="E569" s="733"/>
      <c r="F569" s="730"/>
      <c r="G569" s="731"/>
      <c r="H569" s="731"/>
      <c r="I569" s="731"/>
      <c r="J569" s="731"/>
      <c r="K569" s="731"/>
    </row>
    <row r="570">
      <c r="A570" s="408"/>
      <c r="B570" s="730"/>
      <c r="C570" s="731"/>
      <c r="D570" s="732"/>
      <c r="E570" s="733"/>
      <c r="F570" s="730"/>
      <c r="G570" s="731"/>
      <c r="H570" s="731"/>
      <c r="I570" s="731"/>
      <c r="J570" s="731"/>
      <c r="K570" s="731"/>
    </row>
    <row r="571">
      <c r="A571" s="408"/>
      <c r="B571" s="730"/>
      <c r="C571" s="731"/>
      <c r="D571" s="732"/>
      <c r="E571" s="733"/>
      <c r="F571" s="730"/>
      <c r="G571" s="731"/>
      <c r="H571" s="731"/>
      <c r="I571" s="731"/>
      <c r="J571" s="731"/>
      <c r="K571" s="731"/>
    </row>
    <row r="572">
      <c r="A572" s="408"/>
      <c r="B572" s="730"/>
      <c r="C572" s="731"/>
      <c r="D572" s="732"/>
      <c r="E572" s="733"/>
      <c r="F572" s="730"/>
      <c r="G572" s="731"/>
      <c r="H572" s="731"/>
      <c r="I572" s="731"/>
      <c r="J572" s="731"/>
      <c r="K572" s="731"/>
    </row>
    <row r="573">
      <c r="A573" s="408"/>
      <c r="B573" s="730"/>
      <c r="C573" s="731"/>
      <c r="D573" s="732"/>
      <c r="E573" s="733"/>
      <c r="F573" s="730"/>
      <c r="G573" s="731"/>
      <c r="H573" s="731"/>
      <c r="I573" s="731"/>
      <c r="J573" s="731"/>
      <c r="K573" s="731"/>
    </row>
    <row r="574">
      <c r="A574" s="408"/>
      <c r="B574" s="730"/>
      <c r="C574" s="731"/>
      <c r="D574" s="732"/>
      <c r="E574" s="733"/>
      <c r="F574" s="730"/>
      <c r="G574" s="731"/>
      <c r="H574" s="731"/>
      <c r="I574" s="731"/>
      <c r="J574" s="731"/>
      <c r="K574" s="731"/>
    </row>
    <row r="575">
      <c r="A575" s="408"/>
      <c r="B575" s="730"/>
      <c r="C575" s="731"/>
      <c r="D575" s="732"/>
      <c r="E575" s="733"/>
      <c r="F575" s="730"/>
      <c r="G575" s="731"/>
      <c r="H575" s="731"/>
      <c r="I575" s="731"/>
      <c r="J575" s="731"/>
      <c r="K575" s="731"/>
    </row>
    <row r="576">
      <c r="A576" s="408"/>
      <c r="B576" s="730"/>
      <c r="C576" s="731"/>
      <c r="D576" s="732"/>
      <c r="E576" s="733"/>
      <c r="F576" s="730"/>
      <c r="G576" s="731"/>
      <c r="H576" s="731"/>
      <c r="I576" s="731"/>
      <c r="J576" s="731"/>
      <c r="K576" s="731"/>
    </row>
    <row r="577">
      <c r="A577" s="408"/>
      <c r="B577" s="730"/>
      <c r="C577" s="731"/>
      <c r="D577" s="732"/>
      <c r="E577" s="733"/>
      <c r="F577" s="730"/>
      <c r="G577" s="731"/>
      <c r="H577" s="731"/>
      <c r="I577" s="731"/>
      <c r="J577" s="731"/>
      <c r="K577" s="731"/>
    </row>
    <row r="578">
      <c r="A578" s="408"/>
      <c r="B578" s="730"/>
      <c r="C578" s="731"/>
      <c r="D578" s="732"/>
      <c r="E578" s="733"/>
      <c r="F578" s="730"/>
      <c r="G578" s="731"/>
      <c r="H578" s="731"/>
      <c r="I578" s="731"/>
      <c r="J578" s="731"/>
      <c r="K578" s="731"/>
    </row>
    <row r="579">
      <c r="A579" s="408"/>
      <c r="B579" s="730"/>
      <c r="C579" s="731"/>
      <c r="D579" s="732"/>
      <c r="E579" s="733"/>
      <c r="F579" s="730"/>
      <c r="G579" s="731"/>
      <c r="H579" s="731"/>
      <c r="I579" s="731"/>
      <c r="J579" s="731"/>
      <c r="K579" s="731"/>
    </row>
    <row r="580">
      <c r="A580" s="408"/>
      <c r="B580" s="730"/>
      <c r="C580" s="731"/>
      <c r="D580" s="732"/>
      <c r="E580" s="733"/>
      <c r="F580" s="730"/>
      <c r="G580" s="731"/>
      <c r="H580" s="731"/>
      <c r="I580" s="731"/>
      <c r="J580" s="731"/>
      <c r="K580" s="731"/>
    </row>
    <row r="581">
      <c r="A581" s="408"/>
      <c r="B581" s="730"/>
      <c r="C581" s="731"/>
      <c r="D581" s="732"/>
      <c r="E581" s="733"/>
      <c r="F581" s="730"/>
      <c r="G581" s="731"/>
      <c r="H581" s="731"/>
      <c r="I581" s="731"/>
      <c r="J581" s="731"/>
      <c r="K581" s="731"/>
    </row>
    <row r="582">
      <c r="A582" s="408"/>
      <c r="B582" s="730"/>
      <c r="C582" s="731"/>
      <c r="D582" s="732"/>
      <c r="E582" s="733"/>
      <c r="F582" s="730"/>
      <c r="G582" s="731"/>
      <c r="H582" s="731"/>
      <c r="I582" s="731"/>
      <c r="J582" s="731"/>
      <c r="K582" s="731"/>
    </row>
    <row r="583">
      <c r="A583" s="408"/>
      <c r="B583" s="730"/>
      <c r="C583" s="731"/>
      <c r="D583" s="732"/>
      <c r="E583" s="733"/>
      <c r="F583" s="730"/>
      <c r="G583" s="731"/>
      <c r="H583" s="731"/>
      <c r="I583" s="731"/>
      <c r="J583" s="731"/>
      <c r="K583" s="731"/>
    </row>
    <row r="584">
      <c r="A584" s="408"/>
      <c r="B584" s="730"/>
      <c r="C584" s="731"/>
      <c r="D584" s="732"/>
      <c r="E584" s="733"/>
      <c r="F584" s="730"/>
      <c r="G584" s="731"/>
      <c r="H584" s="731"/>
      <c r="I584" s="731"/>
      <c r="J584" s="731"/>
      <c r="K584" s="731"/>
    </row>
    <row r="585">
      <c r="A585" s="408"/>
      <c r="B585" s="730"/>
      <c r="C585" s="731"/>
      <c r="D585" s="732"/>
      <c r="E585" s="733"/>
      <c r="F585" s="730"/>
      <c r="G585" s="731"/>
      <c r="H585" s="731"/>
      <c r="I585" s="731"/>
      <c r="J585" s="731"/>
      <c r="K585" s="731"/>
    </row>
    <row r="586">
      <c r="A586" s="408"/>
      <c r="B586" s="730"/>
      <c r="C586" s="731"/>
      <c r="D586" s="732"/>
      <c r="E586" s="733"/>
      <c r="F586" s="730"/>
      <c r="G586" s="731"/>
      <c r="H586" s="731"/>
      <c r="I586" s="731"/>
      <c r="J586" s="731"/>
      <c r="K586" s="731"/>
    </row>
    <row r="587">
      <c r="A587" s="408"/>
      <c r="B587" s="730"/>
      <c r="C587" s="731"/>
      <c r="D587" s="732"/>
      <c r="E587" s="733"/>
      <c r="F587" s="730"/>
      <c r="G587" s="731"/>
      <c r="H587" s="731"/>
      <c r="I587" s="731"/>
      <c r="J587" s="731"/>
      <c r="K587" s="731"/>
    </row>
    <row r="588">
      <c r="A588" s="408"/>
      <c r="B588" s="730"/>
      <c r="C588" s="731"/>
      <c r="D588" s="732"/>
      <c r="E588" s="733"/>
      <c r="F588" s="730"/>
      <c r="G588" s="731"/>
      <c r="H588" s="731"/>
      <c r="I588" s="731"/>
      <c r="J588" s="731"/>
      <c r="K588" s="731"/>
    </row>
    <row r="589">
      <c r="A589" s="408"/>
      <c r="B589" s="730"/>
      <c r="C589" s="731"/>
      <c r="D589" s="732"/>
      <c r="E589" s="733"/>
      <c r="F589" s="730"/>
      <c r="G589" s="731"/>
      <c r="H589" s="731"/>
      <c r="I589" s="731"/>
      <c r="J589" s="731"/>
      <c r="K589" s="731"/>
    </row>
    <row r="590">
      <c r="A590" s="408"/>
      <c r="B590" s="730"/>
      <c r="C590" s="731"/>
      <c r="D590" s="732"/>
      <c r="E590" s="733"/>
      <c r="F590" s="730"/>
      <c r="G590" s="731"/>
      <c r="H590" s="731"/>
      <c r="I590" s="731"/>
      <c r="J590" s="731"/>
      <c r="K590" s="731"/>
    </row>
    <row r="591">
      <c r="A591" s="408"/>
      <c r="B591" s="730"/>
      <c r="C591" s="731"/>
      <c r="D591" s="732"/>
      <c r="E591" s="733"/>
      <c r="F591" s="730"/>
      <c r="G591" s="731"/>
      <c r="H591" s="731"/>
      <c r="I591" s="731"/>
      <c r="J591" s="731"/>
      <c r="K591" s="731"/>
    </row>
    <row r="592">
      <c r="A592" s="408"/>
      <c r="B592" s="730"/>
      <c r="C592" s="731"/>
      <c r="D592" s="732"/>
      <c r="E592" s="733"/>
      <c r="F592" s="730"/>
      <c r="G592" s="731"/>
      <c r="H592" s="731"/>
      <c r="I592" s="731"/>
      <c r="J592" s="731"/>
      <c r="K592" s="731"/>
    </row>
    <row r="593">
      <c r="A593" s="408"/>
      <c r="B593" s="730"/>
      <c r="C593" s="731"/>
      <c r="D593" s="732"/>
      <c r="E593" s="733"/>
      <c r="F593" s="730"/>
      <c r="G593" s="731"/>
      <c r="H593" s="731"/>
      <c r="I593" s="731"/>
      <c r="J593" s="731"/>
      <c r="K593" s="731"/>
    </row>
    <row r="594">
      <c r="A594" s="408"/>
      <c r="B594" s="730"/>
      <c r="C594" s="731"/>
      <c r="D594" s="732"/>
      <c r="E594" s="733"/>
      <c r="F594" s="730"/>
      <c r="G594" s="731"/>
      <c r="H594" s="731"/>
      <c r="I594" s="731"/>
      <c r="J594" s="731"/>
      <c r="K594" s="731"/>
    </row>
    <row r="595">
      <c r="A595" s="408"/>
      <c r="B595" s="730"/>
      <c r="C595" s="731"/>
      <c r="D595" s="732"/>
      <c r="E595" s="733"/>
      <c r="F595" s="730"/>
      <c r="G595" s="731"/>
      <c r="H595" s="731"/>
      <c r="I595" s="731"/>
      <c r="J595" s="731"/>
      <c r="K595" s="731"/>
    </row>
    <row r="596">
      <c r="A596" s="408"/>
      <c r="B596" s="730"/>
      <c r="C596" s="731"/>
      <c r="D596" s="732"/>
      <c r="E596" s="733"/>
      <c r="F596" s="730"/>
      <c r="G596" s="731"/>
      <c r="H596" s="731"/>
      <c r="I596" s="731"/>
      <c r="J596" s="731"/>
      <c r="K596" s="731"/>
    </row>
    <row r="597">
      <c r="A597" s="408"/>
      <c r="B597" s="730"/>
      <c r="C597" s="731"/>
      <c r="D597" s="732"/>
      <c r="E597" s="733"/>
      <c r="F597" s="730"/>
      <c r="G597" s="731"/>
      <c r="H597" s="731"/>
      <c r="I597" s="731"/>
      <c r="J597" s="731"/>
      <c r="K597" s="731"/>
    </row>
    <row r="598">
      <c r="A598" s="408"/>
      <c r="B598" s="730"/>
      <c r="C598" s="731"/>
      <c r="D598" s="732"/>
      <c r="E598" s="733"/>
      <c r="F598" s="730"/>
      <c r="G598" s="731"/>
      <c r="H598" s="731"/>
      <c r="I598" s="731"/>
      <c r="J598" s="731"/>
      <c r="K598" s="731"/>
    </row>
    <row r="599">
      <c r="A599" s="408"/>
      <c r="B599" s="730"/>
      <c r="C599" s="731"/>
      <c r="D599" s="732"/>
      <c r="E599" s="733"/>
      <c r="F599" s="730"/>
      <c r="G599" s="731"/>
      <c r="H599" s="731"/>
      <c r="I599" s="731"/>
      <c r="J599" s="731"/>
      <c r="K599" s="731"/>
    </row>
    <row r="600">
      <c r="A600" s="408"/>
      <c r="B600" s="730"/>
      <c r="C600" s="731"/>
      <c r="D600" s="732"/>
      <c r="E600" s="733"/>
      <c r="F600" s="730"/>
      <c r="G600" s="731"/>
      <c r="H600" s="731"/>
      <c r="I600" s="731"/>
      <c r="J600" s="731"/>
      <c r="K600" s="731"/>
    </row>
    <row r="601">
      <c r="A601" s="408"/>
      <c r="B601" s="730"/>
      <c r="C601" s="731"/>
      <c r="D601" s="732"/>
      <c r="E601" s="733"/>
      <c r="F601" s="730"/>
      <c r="G601" s="731"/>
      <c r="H601" s="731"/>
      <c r="I601" s="731"/>
      <c r="J601" s="731"/>
      <c r="K601" s="731"/>
    </row>
    <row r="602">
      <c r="A602" s="408"/>
      <c r="B602" s="730"/>
      <c r="C602" s="731"/>
      <c r="D602" s="732"/>
      <c r="E602" s="733"/>
      <c r="F602" s="730"/>
      <c r="G602" s="731"/>
      <c r="H602" s="731"/>
      <c r="I602" s="731"/>
      <c r="J602" s="731"/>
      <c r="K602" s="731"/>
    </row>
    <row r="603">
      <c r="A603" s="408"/>
      <c r="B603" s="730"/>
      <c r="C603" s="731"/>
      <c r="D603" s="732"/>
      <c r="E603" s="733"/>
      <c r="F603" s="730"/>
      <c r="G603" s="731"/>
      <c r="H603" s="731"/>
      <c r="I603" s="731"/>
      <c r="J603" s="731"/>
      <c r="K603" s="731"/>
    </row>
    <row r="604">
      <c r="A604" s="408"/>
      <c r="B604" s="730"/>
      <c r="C604" s="731"/>
      <c r="D604" s="732"/>
      <c r="E604" s="733"/>
      <c r="F604" s="730"/>
      <c r="G604" s="731"/>
      <c r="H604" s="731"/>
      <c r="I604" s="731"/>
      <c r="J604" s="731"/>
      <c r="K604" s="731"/>
    </row>
    <row r="605">
      <c r="A605" s="408"/>
      <c r="B605" s="730"/>
      <c r="C605" s="731"/>
      <c r="D605" s="732"/>
      <c r="E605" s="733"/>
      <c r="F605" s="730"/>
      <c r="G605" s="731"/>
      <c r="H605" s="731"/>
      <c r="I605" s="731"/>
      <c r="J605" s="731"/>
      <c r="K605" s="731"/>
    </row>
    <row r="606">
      <c r="A606" s="408"/>
      <c r="B606" s="730"/>
      <c r="C606" s="731"/>
      <c r="D606" s="732"/>
      <c r="E606" s="733"/>
      <c r="F606" s="730"/>
      <c r="G606" s="731"/>
      <c r="H606" s="731"/>
      <c r="I606" s="731"/>
      <c r="J606" s="731"/>
      <c r="K606" s="731"/>
    </row>
    <row r="607">
      <c r="A607" s="408"/>
      <c r="B607" s="730"/>
      <c r="C607" s="731"/>
      <c r="D607" s="732"/>
      <c r="E607" s="733"/>
      <c r="F607" s="730"/>
      <c r="G607" s="731"/>
      <c r="H607" s="731"/>
      <c r="I607" s="731"/>
      <c r="J607" s="731"/>
      <c r="K607" s="731"/>
    </row>
    <row r="608">
      <c r="A608" s="408"/>
      <c r="B608" s="730"/>
      <c r="C608" s="731"/>
      <c r="D608" s="732"/>
      <c r="E608" s="733"/>
      <c r="F608" s="730"/>
      <c r="G608" s="731"/>
      <c r="H608" s="731"/>
      <c r="I608" s="731"/>
      <c r="J608" s="731"/>
      <c r="K608" s="731"/>
    </row>
    <row r="609">
      <c r="A609" s="408"/>
      <c r="B609" s="730"/>
      <c r="C609" s="731"/>
      <c r="D609" s="732"/>
      <c r="E609" s="733"/>
      <c r="F609" s="730"/>
      <c r="G609" s="731"/>
      <c r="H609" s="731"/>
      <c r="I609" s="731"/>
      <c r="J609" s="731"/>
      <c r="K609" s="731"/>
    </row>
    <row r="610">
      <c r="A610" s="408"/>
      <c r="B610" s="730"/>
      <c r="C610" s="731"/>
      <c r="D610" s="732"/>
      <c r="E610" s="733"/>
      <c r="F610" s="730"/>
      <c r="G610" s="731"/>
      <c r="H610" s="731"/>
      <c r="I610" s="731"/>
      <c r="J610" s="731"/>
      <c r="K610" s="731"/>
    </row>
    <row r="611">
      <c r="A611" s="408"/>
      <c r="B611" s="730"/>
      <c r="C611" s="731"/>
      <c r="D611" s="732"/>
      <c r="E611" s="733"/>
      <c r="F611" s="730"/>
      <c r="G611" s="731"/>
      <c r="H611" s="731"/>
      <c r="I611" s="731"/>
      <c r="J611" s="731"/>
      <c r="K611" s="731"/>
    </row>
    <row r="612">
      <c r="A612" s="408"/>
      <c r="B612" s="730"/>
      <c r="C612" s="731"/>
      <c r="D612" s="732"/>
      <c r="E612" s="733"/>
      <c r="F612" s="730"/>
      <c r="G612" s="731"/>
      <c r="H612" s="731"/>
      <c r="I612" s="731"/>
      <c r="J612" s="731"/>
      <c r="K612" s="731"/>
    </row>
    <row r="613">
      <c r="A613" s="408"/>
      <c r="B613" s="730"/>
      <c r="C613" s="731"/>
      <c r="D613" s="732"/>
      <c r="E613" s="733"/>
      <c r="F613" s="730"/>
      <c r="G613" s="731"/>
      <c r="H613" s="731"/>
      <c r="I613" s="731"/>
      <c r="J613" s="731"/>
      <c r="K613" s="731"/>
    </row>
    <row r="614">
      <c r="A614" s="408"/>
      <c r="B614" s="730"/>
      <c r="C614" s="731"/>
      <c r="D614" s="732"/>
      <c r="E614" s="733"/>
      <c r="F614" s="730"/>
      <c r="G614" s="731"/>
      <c r="H614" s="731"/>
      <c r="I614" s="731"/>
      <c r="J614" s="731"/>
      <c r="K614" s="731"/>
    </row>
    <row r="615">
      <c r="A615" s="408"/>
      <c r="B615" s="730"/>
      <c r="C615" s="731"/>
      <c r="D615" s="732"/>
      <c r="E615" s="733"/>
      <c r="F615" s="730"/>
      <c r="G615" s="731"/>
      <c r="H615" s="731"/>
      <c r="I615" s="731"/>
      <c r="J615" s="731"/>
      <c r="K615" s="731"/>
    </row>
    <row r="616">
      <c r="A616" s="408"/>
      <c r="B616" s="730"/>
      <c r="C616" s="731"/>
      <c r="D616" s="732"/>
      <c r="E616" s="733"/>
      <c r="F616" s="730"/>
      <c r="G616" s="731"/>
      <c r="H616" s="731"/>
      <c r="I616" s="731"/>
      <c r="J616" s="731"/>
      <c r="K616" s="731"/>
    </row>
    <row r="617">
      <c r="A617" s="408"/>
      <c r="B617" s="730"/>
      <c r="C617" s="731"/>
      <c r="D617" s="732"/>
      <c r="E617" s="733"/>
      <c r="F617" s="730"/>
      <c r="G617" s="731"/>
      <c r="H617" s="731"/>
      <c r="I617" s="731"/>
      <c r="J617" s="731"/>
      <c r="K617" s="731"/>
    </row>
    <row r="618">
      <c r="A618" s="408"/>
      <c r="B618" s="730"/>
      <c r="C618" s="731"/>
      <c r="D618" s="732"/>
      <c r="E618" s="733"/>
      <c r="F618" s="730"/>
      <c r="G618" s="731"/>
      <c r="H618" s="731"/>
      <c r="I618" s="731"/>
      <c r="J618" s="731"/>
      <c r="K618" s="731"/>
    </row>
    <row r="619">
      <c r="A619" s="408"/>
      <c r="B619" s="730"/>
      <c r="C619" s="731"/>
      <c r="D619" s="732"/>
      <c r="E619" s="733"/>
      <c r="F619" s="730"/>
      <c r="G619" s="731"/>
      <c r="H619" s="731"/>
      <c r="I619" s="731"/>
      <c r="J619" s="731"/>
      <c r="K619" s="731"/>
    </row>
    <row r="620">
      <c r="A620" s="408"/>
      <c r="B620" s="730"/>
      <c r="C620" s="731"/>
      <c r="D620" s="732"/>
      <c r="E620" s="733"/>
      <c r="F620" s="730"/>
      <c r="G620" s="731"/>
      <c r="H620" s="731"/>
      <c r="I620" s="731"/>
      <c r="J620" s="731"/>
      <c r="K620" s="731"/>
    </row>
    <row r="621">
      <c r="A621" s="408"/>
      <c r="B621" s="730"/>
      <c r="C621" s="731"/>
      <c r="D621" s="732"/>
      <c r="E621" s="733"/>
      <c r="F621" s="730"/>
      <c r="G621" s="731"/>
      <c r="H621" s="731"/>
      <c r="I621" s="731"/>
      <c r="J621" s="731"/>
      <c r="K621" s="731"/>
    </row>
    <row r="622">
      <c r="A622" s="408"/>
      <c r="B622" s="730"/>
      <c r="C622" s="731"/>
      <c r="D622" s="732"/>
      <c r="E622" s="733"/>
      <c r="F622" s="730"/>
      <c r="G622" s="731"/>
      <c r="H622" s="731"/>
      <c r="I622" s="731"/>
      <c r="J622" s="731"/>
      <c r="K622" s="731"/>
    </row>
    <row r="623">
      <c r="A623" s="408"/>
      <c r="B623" s="730"/>
      <c r="C623" s="731"/>
      <c r="D623" s="732"/>
      <c r="E623" s="733"/>
      <c r="F623" s="730"/>
      <c r="G623" s="731"/>
      <c r="H623" s="731"/>
      <c r="I623" s="731"/>
      <c r="J623" s="731"/>
      <c r="K623" s="731"/>
    </row>
    <row r="624">
      <c r="A624" s="408"/>
      <c r="B624" s="730"/>
      <c r="C624" s="731"/>
      <c r="D624" s="732"/>
      <c r="E624" s="733"/>
      <c r="F624" s="730"/>
      <c r="G624" s="731"/>
      <c r="H624" s="731"/>
      <c r="I624" s="731"/>
      <c r="J624" s="731"/>
      <c r="K624" s="731"/>
    </row>
    <row r="625">
      <c r="A625" s="408"/>
      <c r="B625" s="730"/>
      <c r="C625" s="731"/>
      <c r="D625" s="732"/>
      <c r="E625" s="733"/>
      <c r="F625" s="730"/>
      <c r="G625" s="731"/>
      <c r="H625" s="731"/>
      <c r="I625" s="731"/>
      <c r="J625" s="731"/>
      <c r="K625" s="731"/>
    </row>
    <row r="626">
      <c r="A626" s="408"/>
      <c r="B626" s="730"/>
      <c r="C626" s="731"/>
      <c r="D626" s="732"/>
      <c r="E626" s="733"/>
      <c r="F626" s="730"/>
      <c r="G626" s="731"/>
      <c r="H626" s="731"/>
      <c r="I626" s="731"/>
      <c r="J626" s="731"/>
      <c r="K626" s="731"/>
    </row>
    <row r="627">
      <c r="A627" s="408"/>
      <c r="B627" s="730"/>
      <c r="C627" s="731"/>
      <c r="D627" s="732"/>
      <c r="E627" s="733"/>
      <c r="F627" s="730"/>
      <c r="G627" s="731"/>
      <c r="H627" s="731"/>
      <c r="I627" s="731"/>
      <c r="J627" s="731"/>
      <c r="K627" s="731"/>
    </row>
    <row r="628">
      <c r="A628" s="408"/>
      <c r="B628" s="730"/>
      <c r="C628" s="731"/>
      <c r="D628" s="732"/>
      <c r="E628" s="733"/>
      <c r="F628" s="730"/>
      <c r="G628" s="731"/>
      <c r="H628" s="731"/>
      <c r="I628" s="731"/>
      <c r="J628" s="731"/>
      <c r="K628" s="731"/>
    </row>
    <row r="629">
      <c r="A629" s="408"/>
      <c r="B629" s="730"/>
      <c r="C629" s="731"/>
      <c r="D629" s="732"/>
      <c r="E629" s="733"/>
      <c r="F629" s="730"/>
      <c r="G629" s="731"/>
      <c r="H629" s="731"/>
      <c r="I629" s="731"/>
      <c r="J629" s="731"/>
      <c r="K629" s="731"/>
    </row>
    <row r="630">
      <c r="A630" s="408"/>
      <c r="B630" s="730"/>
      <c r="C630" s="731"/>
      <c r="D630" s="732"/>
      <c r="E630" s="733"/>
      <c r="F630" s="730"/>
      <c r="G630" s="731"/>
      <c r="H630" s="731"/>
      <c r="I630" s="731"/>
      <c r="J630" s="731"/>
      <c r="K630" s="731"/>
    </row>
    <row r="631">
      <c r="A631" s="408"/>
      <c r="B631" s="730"/>
      <c r="C631" s="731"/>
      <c r="D631" s="732"/>
      <c r="E631" s="733"/>
      <c r="F631" s="730"/>
      <c r="G631" s="731"/>
      <c r="H631" s="731"/>
      <c r="I631" s="731"/>
      <c r="J631" s="731"/>
      <c r="K631" s="731"/>
    </row>
    <row r="632">
      <c r="A632" s="408"/>
      <c r="B632" s="730"/>
      <c r="C632" s="731"/>
      <c r="D632" s="732"/>
      <c r="E632" s="733"/>
      <c r="F632" s="730"/>
      <c r="G632" s="731"/>
      <c r="H632" s="731"/>
      <c r="I632" s="731"/>
      <c r="J632" s="731"/>
      <c r="K632" s="731"/>
    </row>
    <row r="633">
      <c r="A633" s="408"/>
      <c r="B633" s="730"/>
      <c r="C633" s="731"/>
      <c r="D633" s="732"/>
      <c r="E633" s="733"/>
      <c r="F633" s="730"/>
      <c r="G633" s="731"/>
      <c r="H633" s="731"/>
      <c r="I633" s="731"/>
      <c r="J633" s="731"/>
      <c r="K633" s="731"/>
    </row>
    <row r="634">
      <c r="A634" s="408"/>
      <c r="B634" s="730"/>
      <c r="C634" s="731"/>
      <c r="D634" s="732"/>
      <c r="E634" s="733"/>
      <c r="F634" s="730"/>
      <c r="G634" s="731"/>
      <c r="H634" s="731"/>
      <c r="I634" s="731"/>
      <c r="J634" s="731"/>
      <c r="K634" s="731"/>
    </row>
    <row r="635">
      <c r="A635" s="408"/>
      <c r="B635" s="730"/>
      <c r="C635" s="731"/>
      <c r="D635" s="732"/>
      <c r="E635" s="733"/>
      <c r="F635" s="730"/>
      <c r="G635" s="731"/>
      <c r="H635" s="731"/>
      <c r="I635" s="731"/>
      <c r="J635" s="731"/>
      <c r="K635" s="731"/>
    </row>
    <row r="636">
      <c r="A636" s="408"/>
      <c r="B636" s="730"/>
      <c r="C636" s="731"/>
      <c r="D636" s="732"/>
      <c r="E636" s="733"/>
      <c r="F636" s="730"/>
      <c r="G636" s="731"/>
      <c r="H636" s="731"/>
      <c r="I636" s="731"/>
      <c r="J636" s="731"/>
      <c r="K636" s="731"/>
    </row>
    <row r="637">
      <c r="A637" s="408"/>
      <c r="B637" s="730"/>
      <c r="C637" s="731"/>
      <c r="D637" s="732"/>
      <c r="E637" s="733"/>
      <c r="F637" s="730"/>
      <c r="G637" s="731"/>
      <c r="H637" s="731"/>
      <c r="I637" s="731"/>
      <c r="J637" s="731"/>
      <c r="K637" s="731"/>
    </row>
    <row r="638">
      <c r="A638" s="408"/>
      <c r="B638" s="730"/>
      <c r="C638" s="731"/>
      <c r="D638" s="732"/>
      <c r="E638" s="733"/>
      <c r="F638" s="730"/>
      <c r="G638" s="731"/>
      <c r="H638" s="731"/>
      <c r="I638" s="731"/>
      <c r="J638" s="731"/>
      <c r="K638" s="731"/>
    </row>
    <row r="639">
      <c r="A639" s="408"/>
      <c r="B639" s="730"/>
      <c r="C639" s="731"/>
      <c r="D639" s="732"/>
      <c r="E639" s="733"/>
      <c r="F639" s="730"/>
      <c r="G639" s="731"/>
      <c r="H639" s="731"/>
      <c r="I639" s="731"/>
      <c r="J639" s="731"/>
      <c r="K639" s="731"/>
    </row>
    <row r="640">
      <c r="A640" s="408"/>
      <c r="B640" s="730"/>
      <c r="C640" s="731"/>
      <c r="D640" s="732"/>
      <c r="E640" s="733"/>
      <c r="F640" s="730"/>
      <c r="G640" s="731"/>
      <c r="H640" s="731"/>
      <c r="I640" s="731"/>
      <c r="J640" s="731"/>
      <c r="K640" s="731"/>
    </row>
    <row r="641">
      <c r="A641" s="408"/>
      <c r="B641" s="730"/>
      <c r="C641" s="731"/>
      <c r="D641" s="732"/>
      <c r="E641" s="733"/>
      <c r="F641" s="730"/>
      <c r="G641" s="731"/>
      <c r="H641" s="731"/>
      <c r="I641" s="731"/>
      <c r="J641" s="731"/>
      <c r="K641" s="731"/>
    </row>
    <row r="642">
      <c r="A642" s="408"/>
      <c r="B642" s="730"/>
      <c r="C642" s="731"/>
      <c r="D642" s="732"/>
      <c r="E642" s="733"/>
      <c r="F642" s="730"/>
      <c r="G642" s="731"/>
      <c r="H642" s="731"/>
      <c r="I642" s="731"/>
      <c r="J642" s="731"/>
      <c r="K642" s="731"/>
    </row>
    <row r="643">
      <c r="A643" s="408"/>
      <c r="B643" s="730"/>
      <c r="C643" s="731"/>
      <c r="D643" s="732"/>
      <c r="E643" s="733"/>
      <c r="F643" s="730"/>
      <c r="G643" s="731"/>
      <c r="H643" s="731"/>
      <c r="I643" s="731"/>
      <c r="J643" s="731"/>
      <c r="K643" s="731"/>
    </row>
    <row r="644">
      <c r="A644" s="408"/>
      <c r="B644" s="730"/>
      <c r="C644" s="731"/>
      <c r="D644" s="732"/>
      <c r="E644" s="733"/>
      <c r="F644" s="730"/>
      <c r="G644" s="731"/>
      <c r="H644" s="731"/>
      <c r="I644" s="731"/>
      <c r="J644" s="731"/>
      <c r="K644" s="731"/>
    </row>
    <row r="645">
      <c r="A645" s="408"/>
      <c r="B645" s="730"/>
      <c r="C645" s="731"/>
      <c r="D645" s="732"/>
      <c r="E645" s="733"/>
      <c r="F645" s="730"/>
      <c r="G645" s="731"/>
      <c r="H645" s="731"/>
      <c r="I645" s="731"/>
      <c r="J645" s="731"/>
      <c r="K645" s="731"/>
    </row>
    <row r="646">
      <c r="A646" s="408"/>
      <c r="B646" s="730"/>
      <c r="C646" s="731"/>
      <c r="D646" s="732"/>
      <c r="E646" s="733"/>
      <c r="F646" s="730"/>
      <c r="G646" s="731"/>
      <c r="H646" s="731"/>
      <c r="I646" s="731"/>
      <c r="J646" s="731"/>
      <c r="K646" s="731"/>
    </row>
    <row r="647">
      <c r="A647" s="408"/>
      <c r="B647" s="730"/>
      <c r="C647" s="731"/>
      <c r="D647" s="732"/>
      <c r="E647" s="733"/>
      <c r="F647" s="730"/>
      <c r="G647" s="731"/>
      <c r="H647" s="731"/>
      <c r="I647" s="731"/>
      <c r="J647" s="731"/>
      <c r="K647" s="731"/>
    </row>
    <row r="648">
      <c r="A648" s="408"/>
      <c r="B648" s="730"/>
      <c r="C648" s="731"/>
      <c r="D648" s="732"/>
      <c r="E648" s="733"/>
      <c r="F648" s="730"/>
      <c r="G648" s="731"/>
      <c r="H648" s="731"/>
      <c r="I648" s="731"/>
      <c r="J648" s="731"/>
      <c r="K648" s="731"/>
    </row>
    <row r="649">
      <c r="A649" s="408"/>
      <c r="B649" s="730"/>
      <c r="C649" s="731"/>
      <c r="D649" s="732"/>
      <c r="E649" s="733"/>
      <c r="F649" s="730"/>
      <c r="G649" s="731"/>
      <c r="H649" s="731"/>
      <c r="I649" s="731"/>
      <c r="J649" s="731"/>
      <c r="K649" s="731"/>
    </row>
    <row r="650">
      <c r="A650" s="408"/>
      <c r="B650" s="730"/>
      <c r="C650" s="731"/>
      <c r="D650" s="732"/>
      <c r="E650" s="733"/>
      <c r="F650" s="730"/>
      <c r="G650" s="731"/>
      <c r="H650" s="731"/>
      <c r="I650" s="731"/>
      <c r="J650" s="731"/>
      <c r="K650" s="731"/>
    </row>
    <row r="651">
      <c r="A651" s="408"/>
      <c r="B651" s="730"/>
      <c r="C651" s="731"/>
      <c r="D651" s="732"/>
      <c r="E651" s="733"/>
      <c r="F651" s="730"/>
      <c r="G651" s="731"/>
      <c r="H651" s="731"/>
      <c r="I651" s="731"/>
      <c r="J651" s="731"/>
      <c r="K651" s="731"/>
    </row>
    <row r="652">
      <c r="A652" s="408"/>
      <c r="B652" s="730"/>
      <c r="C652" s="731"/>
      <c r="D652" s="732"/>
      <c r="E652" s="733"/>
      <c r="F652" s="730"/>
      <c r="G652" s="731"/>
      <c r="H652" s="731"/>
      <c r="I652" s="731"/>
      <c r="J652" s="731"/>
      <c r="K652" s="731"/>
    </row>
    <row r="653">
      <c r="A653" s="408"/>
      <c r="B653" s="730"/>
      <c r="C653" s="731"/>
      <c r="D653" s="732"/>
      <c r="E653" s="733"/>
      <c r="F653" s="730"/>
      <c r="G653" s="731"/>
      <c r="H653" s="731"/>
      <c r="I653" s="731"/>
      <c r="J653" s="731"/>
      <c r="K653" s="731"/>
    </row>
    <row r="654">
      <c r="A654" s="408"/>
      <c r="B654" s="730"/>
      <c r="C654" s="731"/>
      <c r="D654" s="732"/>
      <c r="E654" s="733"/>
      <c r="F654" s="730"/>
      <c r="G654" s="731"/>
      <c r="H654" s="731"/>
      <c r="I654" s="731"/>
      <c r="J654" s="731"/>
      <c r="K654" s="731"/>
    </row>
    <row r="655">
      <c r="A655" s="408"/>
      <c r="B655" s="730"/>
      <c r="C655" s="731"/>
      <c r="D655" s="732"/>
      <c r="E655" s="733"/>
      <c r="F655" s="730"/>
      <c r="G655" s="731"/>
      <c r="H655" s="731"/>
      <c r="I655" s="731"/>
      <c r="J655" s="731"/>
      <c r="K655" s="731"/>
    </row>
    <row r="656">
      <c r="A656" s="408"/>
      <c r="B656" s="730"/>
      <c r="C656" s="731"/>
      <c r="D656" s="732"/>
      <c r="E656" s="733"/>
      <c r="F656" s="730"/>
      <c r="G656" s="731"/>
      <c r="H656" s="731"/>
      <c r="I656" s="731"/>
      <c r="J656" s="731"/>
      <c r="K656" s="731"/>
    </row>
    <row r="657">
      <c r="A657" s="408"/>
      <c r="B657" s="730"/>
      <c r="C657" s="731"/>
      <c r="D657" s="732"/>
      <c r="E657" s="733"/>
      <c r="F657" s="730"/>
      <c r="G657" s="731"/>
      <c r="H657" s="731"/>
      <c r="I657" s="731"/>
      <c r="J657" s="731"/>
      <c r="K657" s="731"/>
    </row>
    <row r="658">
      <c r="A658" s="408"/>
      <c r="B658" s="730"/>
      <c r="C658" s="731"/>
      <c r="D658" s="732"/>
      <c r="E658" s="733"/>
      <c r="F658" s="730"/>
      <c r="G658" s="731"/>
      <c r="H658" s="731"/>
      <c r="I658" s="731"/>
      <c r="J658" s="731"/>
      <c r="K658" s="731"/>
    </row>
    <row r="659">
      <c r="A659" s="408"/>
      <c r="B659" s="730"/>
      <c r="C659" s="731"/>
      <c r="D659" s="732"/>
      <c r="E659" s="733"/>
      <c r="F659" s="730"/>
      <c r="G659" s="731"/>
      <c r="H659" s="731"/>
      <c r="I659" s="731"/>
      <c r="J659" s="731"/>
      <c r="K659" s="731"/>
    </row>
    <row r="660">
      <c r="A660" s="408"/>
      <c r="B660" s="730"/>
      <c r="C660" s="731"/>
      <c r="D660" s="732"/>
      <c r="E660" s="733"/>
      <c r="F660" s="730"/>
      <c r="G660" s="731"/>
      <c r="H660" s="731"/>
      <c r="I660" s="731"/>
      <c r="J660" s="731"/>
      <c r="K660" s="731"/>
    </row>
    <row r="661">
      <c r="A661" s="408"/>
      <c r="B661" s="730"/>
      <c r="C661" s="731"/>
      <c r="D661" s="732"/>
      <c r="E661" s="733"/>
      <c r="F661" s="730"/>
      <c r="G661" s="731"/>
      <c r="H661" s="731"/>
      <c r="I661" s="731"/>
      <c r="J661" s="731"/>
      <c r="K661" s="731"/>
    </row>
    <row r="662">
      <c r="A662" s="408"/>
      <c r="B662" s="730"/>
      <c r="C662" s="731"/>
      <c r="D662" s="732"/>
      <c r="E662" s="733"/>
      <c r="F662" s="730"/>
      <c r="G662" s="731"/>
      <c r="H662" s="731"/>
      <c r="I662" s="731"/>
      <c r="J662" s="731"/>
      <c r="K662" s="731"/>
    </row>
    <row r="663">
      <c r="A663" s="408"/>
      <c r="B663" s="730"/>
      <c r="C663" s="731"/>
      <c r="D663" s="732"/>
      <c r="E663" s="733"/>
      <c r="F663" s="730"/>
      <c r="G663" s="731"/>
      <c r="H663" s="731"/>
      <c r="I663" s="731"/>
      <c r="J663" s="731"/>
      <c r="K663" s="731"/>
    </row>
    <row r="664">
      <c r="A664" s="408"/>
      <c r="B664" s="730"/>
      <c r="C664" s="731"/>
      <c r="D664" s="732"/>
      <c r="E664" s="733"/>
      <c r="F664" s="730"/>
      <c r="G664" s="731"/>
      <c r="H664" s="731"/>
      <c r="I664" s="731"/>
      <c r="J664" s="731"/>
      <c r="K664" s="731"/>
    </row>
    <row r="665">
      <c r="A665" s="408"/>
      <c r="B665" s="730"/>
      <c r="C665" s="731"/>
      <c r="D665" s="732"/>
      <c r="E665" s="733"/>
      <c r="F665" s="730"/>
      <c r="G665" s="731"/>
      <c r="H665" s="731"/>
      <c r="I665" s="731"/>
      <c r="J665" s="731"/>
      <c r="K665" s="731"/>
    </row>
    <row r="666">
      <c r="A666" s="408"/>
      <c r="B666" s="730"/>
      <c r="C666" s="731"/>
      <c r="D666" s="732"/>
      <c r="E666" s="733"/>
      <c r="F666" s="730"/>
      <c r="G666" s="731"/>
      <c r="H666" s="731"/>
      <c r="I666" s="731"/>
      <c r="J666" s="731"/>
      <c r="K666" s="731"/>
    </row>
    <row r="667">
      <c r="A667" s="408"/>
      <c r="B667" s="730"/>
      <c r="C667" s="731"/>
      <c r="D667" s="732"/>
      <c r="E667" s="733"/>
      <c r="F667" s="730"/>
      <c r="G667" s="731"/>
      <c r="H667" s="731"/>
      <c r="I667" s="731"/>
      <c r="J667" s="731"/>
      <c r="K667" s="731"/>
    </row>
    <row r="668">
      <c r="A668" s="408"/>
      <c r="B668" s="730"/>
      <c r="C668" s="731"/>
      <c r="D668" s="732"/>
      <c r="E668" s="733"/>
      <c r="F668" s="730"/>
      <c r="G668" s="731"/>
      <c r="H668" s="731"/>
      <c r="I668" s="731"/>
      <c r="J668" s="731"/>
      <c r="K668" s="731"/>
    </row>
    <row r="669">
      <c r="A669" s="408"/>
      <c r="B669" s="730"/>
      <c r="C669" s="731"/>
      <c r="D669" s="732"/>
      <c r="E669" s="733"/>
      <c r="F669" s="730"/>
      <c r="G669" s="731"/>
      <c r="H669" s="731"/>
      <c r="I669" s="731"/>
      <c r="J669" s="731"/>
      <c r="K669" s="731"/>
    </row>
    <row r="670">
      <c r="A670" s="408"/>
      <c r="B670" s="730"/>
      <c r="C670" s="731"/>
      <c r="D670" s="732"/>
      <c r="E670" s="733"/>
      <c r="F670" s="730"/>
      <c r="G670" s="731"/>
      <c r="H670" s="731"/>
      <c r="I670" s="731"/>
      <c r="J670" s="731"/>
      <c r="K670" s="731"/>
    </row>
    <row r="671">
      <c r="A671" s="408"/>
      <c r="B671" s="730"/>
      <c r="C671" s="731"/>
      <c r="D671" s="732"/>
      <c r="E671" s="733"/>
      <c r="F671" s="730"/>
      <c r="G671" s="731"/>
      <c r="H671" s="731"/>
      <c r="I671" s="731"/>
      <c r="J671" s="731"/>
      <c r="K671" s="731"/>
    </row>
    <row r="672">
      <c r="A672" s="408"/>
      <c r="B672" s="730"/>
      <c r="C672" s="731"/>
      <c r="D672" s="732"/>
      <c r="E672" s="733"/>
      <c r="F672" s="730"/>
      <c r="G672" s="731"/>
      <c r="H672" s="731"/>
      <c r="I672" s="731"/>
      <c r="J672" s="731"/>
      <c r="K672" s="731"/>
    </row>
    <row r="673">
      <c r="A673" s="408"/>
      <c r="B673" s="730"/>
      <c r="C673" s="731"/>
      <c r="D673" s="732"/>
      <c r="E673" s="733"/>
      <c r="F673" s="730"/>
      <c r="G673" s="731"/>
      <c r="H673" s="731"/>
      <c r="I673" s="731"/>
      <c r="J673" s="731"/>
      <c r="K673" s="731"/>
    </row>
    <row r="674">
      <c r="A674" s="408"/>
      <c r="B674" s="730"/>
      <c r="C674" s="731"/>
      <c r="D674" s="732"/>
      <c r="E674" s="733"/>
      <c r="F674" s="730"/>
      <c r="G674" s="731"/>
      <c r="H674" s="731"/>
      <c r="I674" s="731"/>
      <c r="J674" s="731"/>
      <c r="K674" s="731"/>
    </row>
    <row r="675">
      <c r="A675" s="408"/>
      <c r="B675" s="730"/>
      <c r="C675" s="731"/>
      <c r="D675" s="732"/>
      <c r="E675" s="733"/>
      <c r="F675" s="730"/>
      <c r="G675" s="731"/>
      <c r="H675" s="731"/>
      <c r="I675" s="731"/>
      <c r="J675" s="731"/>
      <c r="K675" s="731"/>
    </row>
    <row r="676">
      <c r="A676" s="408"/>
      <c r="B676" s="730"/>
      <c r="C676" s="731"/>
      <c r="D676" s="732"/>
      <c r="E676" s="733"/>
      <c r="F676" s="730"/>
      <c r="G676" s="731"/>
      <c r="H676" s="731"/>
      <c r="I676" s="731"/>
      <c r="J676" s="731"/>
      <c r="K676" s="731"/>
    </row>
    <row r="677">
      <c r="A677" s="408"/>
      <c r="B677" s="730"/>
      <c r="C677" s="731"/>
      <c r="D677" s="732"/>
      <c r="E677" s="733"/>
      <c r="F677" s="730"/>
      <c r="G677" s="731"/>
      <c r="H677" s="731"/>
      <c r="I677" s="731"/>
      <c r="J677" s="731"/>
      <c r="K677" s="731"/>
    </row>
    <row r="678">
      <c r="A678" s="408"/>
      <c r="B678" s="730"/>
      <c r="C678" s="731"/>
      <c r="D678" s="732"/>
      <c r="E678" s="733"/>
      <c r="F678" s="730"/>
      <c r="G678" s="731"/>
      <c r="H678" s="731"/>
      <c r="I678" s="731"/>
      <c r="J678" s="731"/>
      <c r="K678" s="731"/>
    </row>
    <row r="679">
      <c r="A679" s="408"/>
      <c r="B679" s="730"/>
      <c r="C679" s="731"/>
      <c r="D679" s="732"/>
      <c r="E679" s="733"/>
      <c r="F679" s="730"/>
      <c r="G679" s="731"/>
      <c r="H679" s="731"/>
      <c r="I679" s="731"/>
      <c r="J679" s="731"/>
      <c r="K679" s="731"/>
    </row>
    <row r="680">
      <c r="A680" s="408"/>
      <c r="B680" s="730"/>
      <c r="C680" s="731"/>
      <c r="D680" s="732"/>
      <c r="E680" s="733"/>
      <c r="F680" s="730"/>
      <c r="G680" s="731"/>
      <c r="H680" s="731"/>
      <c r="I680" s="731"/>
      <c r="J680" s="731"/>
      <c r="K680" s="731"/>
    </row>
    <row r="681">
      <c r="A681" s="408"/>
      <c r="B681" s="730"/>
      <c r="C681" s="731"/>
      <c r="D681" s="732"/>
      <c r="E681" s="733"/>
      <c r="F681" s="730"/>
      <c r="G681" s="731"/>
      <c r="H681" s="731"/>
      <c r="I681" s="731"/>
      <c r="J681" s="731"/>
      <c r="K681" s="731"/>
    </row>
    <row r="682">
      <c r="A682" s="408"/>
      <c r="B682" s="730"/>
      <c r="C682" s="731"/>
      <c r="D682" s="732"/>
      <c r="E682" s="733"/>
      <c r="F682" s="730"/>
      <c r="G682" s="731"/>
      <c r="H682" s="731"/>
      <c r="I682" s="731"/>
      <c r="J682" s="731"/>
      <c r="K682" s="731"/>
    </row>
    <row r="683">
      <c r="A683" s="408"/>
      <c r="B683" s="730"/>
      <c r="C683" s="731"/>
      <c r="D683" s="732"/>
      <c r="E683" s="733"/>
      <c r="F683" s="730"/>
      <c r="G683" s="731"/>
      <c r="H683" s="731"/>
      <c r="I683" s="731"/>
      <c r="J683" s="731"/>
      <c r="K683" s="731"/>
    </row>
    <row r="684">
      <c r="A684" s="408"/>
      <c r="B684" s="730"/>
      <c r="C684" s="731"/>
      <c r="D684" s="732"/>
      <c r="E684" s="733"/>
      <c r="F684" s="730"/>
      <c r="G684" s="731"/>
      <c r="H684" s="731"/>
      <c r="I684" s="731"/>
      <c r="J684" s="731"/>
      <c r="K684" s="731"/>
    </row>
    <row r="685">
      <c r="A685" s="408"/>
      <c r="B685" s="730"/>
      <c r="C685" s="731"/>
      <c r="D685" s="732"/>
      <c r="E685" s="733"/>
      <c r="F685" s="730"/>
      <c r="G685" s="731"/>
      <c r="H685" s="731"/>
      <c r="I685" s="731"/>
      <c r="J685" s="731"/>
      <c r="K685" s="731"/>
    </row>
    <row r="686">
      <c r="A686" s="408"/>
      <c r="B686" s="730"/>
      <c r="C686" s="731"/>
      <c r="D686" s="732"/>
      <c r="E686" s="733"/>
      <c r="F686" s="730"/>
      <c r="G686" s="731"/>
      <c r="H686" s="731"/>
      <c r="I686" s="731"/>
      <c r="J686" s="731"/>
      <c r="K686" s="731"/>
    </row>
    <row r="687">
      <c r="A687" s="408"/>
      <c r="B687" s="730"/>
      <c r="C687" s="731"/>
      <c r="D687" s="732"/>
      <c r="E687" s="733"/>
      <c r="F687" s="730"/>
      <c r="G687" s="731"/>
      <c r="H687" s="731"/>
      <c r="I687" s="731"/>
      <c r="J687" s="731"/>
      <c r="K687" s="731"/>
    </row>
    <row r="688">
      <c r="A688" s="408"/>
      <c r="B688" s="730"/>
      <c r="C688" s="731"/>
      <c r="D688" s="732"/>
      <c r="E688" s="733"/>
      <c r="F688" s="730"/>
      <c r="G688" s="731"/>
      <c r="H688" s="731"/>
      <c r="I688" s="731"/>
      <c r="J688" s="731"/>
      <c r="K688" s="731"/>
    </row>
    <row r="689">
      <c r="A689" s="408"/>
      <c r="B689" s="730"/>
      <c r="C689" s="731"/>
      <c r="D689" s="732"/>
      <c r="E689" s="733"/>
      <c r="F689" s="730"/>
      <c r="G689" s="731"/>
      <c r="H689" s="731"/>
      <c r="I689" s="731"/>
      <c r="J689" s="731"/>
      <c r="K689" s="731"/>
    </row>
    <row r="690">
      <c r="A690" s="408"/>
      <c r="B690" s="730"/>
      <c r="C690" s="731"/>
      <c r="D690" s="732"/>
      <c r="E690" s="733"/>
      <c r="F690" s="730"/>
      <c r="G690" s="731"/>
      <c r="H690" s="731"/>
      <c r="I690" s="731"/>
      <c r="J690" s="731"/>
      <c r="K690" s="731"/>
    </row>
    <row r="691">
      <c r="A691" s="408"/>
      <c r="B691" s="730"/>
      <c r="C691" s="731"/>
      <c r="D691" s="732"/>
      <c r="E691" s="733"/>
      <c r="F691" s="730"/>
      <c r="G691" s="731"/>
      <c r="H691" s="731"/>
      <c r="I691" s="731"/>
      <c r="J691" s="731"/>
      <c r="K691" s="731"/>
    </row>
    <row r="692">
      <c r="A692" s="408"/>
      <c r="B692" s="730"/>
      <c r="C692" s="731"/>
      <c r="D692" s="732"/>
      <c r="E692" s="733"/>
      <c r="F692" s="730"/>
      <c r="G692" s="731"/>
      <c r="H692" s="731"/>
      <c r="I692" s="731"/>
      <c r="J692" s="731"/>
      <c r="K692" s="731"/>
    </row>
    <row r="693">
      <c r="A693" s="408"/>
      <c r="B693" s="730"/>
      <c r="C693" s="731"/>
      <c r="D693" s="732"/>
      <c r="E693" s="733"/>
      <c r="F693" s="730"/>
      <c r="G693" s="731"/>
      <c r="H693" s="731"/>
      <c r="I693" s="731"/>
      <c r="J693" s="731"/>
      <c r="K693" s="731"/>
    </row>
    <row r="694">
      <c r="A694" s="408"/>
      <c r="B694" s="730"/>
      <c r="C694" s="731"/>
      <c r="D694" s="732"/>
      <c r="E694" s="733"/>
      <c r="F694" s="730"/>
      <c r="G694" s="731"/>
      <c r="H694" s="731"/>
      <c r="I694" s="731"/>
      <c r="J694" s="731"/>
      <c r="K694" s="731"/>
    </row>
    <row r="695">
      <c r="A695" s="408"/>
      <c r="B695" s="730"/>
      <c r="C695" s="731"/>
      <c r="D695" s="732"/>
      <c r="E695" s="733"/>
      <c r="F695" s="730"/>
      <c r="G695" s="731"/>
      <c r="H695" s="731"/>
      <c r="I695" s="731"/>
      <c r="J695" s="731"/>
      <c r="K695" s="731"/>
    </row>
    <row r="696">
      <c r="A696" s="408"/>
      <c r="B696" s="730"/>
      <c r="C696" s="731"/>
      <c r="D696" s="732"/>
      <c r="E696" s="733"/>
      <c r="F696" s="730"/>
      <c r="G696" s="731"/>
      <c r="H696" s="731"/>
      <c r="I696" s="731"/>
      <c r="J696" s="731"/>
      <c r="K696" s="731"/>
    </row>
    <row r="697">
      <c r="A697" s="408"/>
      <c r="B697" s="730"/>
      <c r="C697" s="731"/>
      <c r="D697" s="732"/>
      <c r="E697" s="733"/>
      <c r="F697" s="730"/>
      <c r="G697" s="731"/>
      <c r="H697" s="731"/>
      <c r="I697" s="731"/>
      <c r="J697" s="731"/>
      <c r="K697" s="731"/>
    </row>
    <row r="698">
      <c r="A698" s="408"/>
      <c r="B698" s="730"/>
      <c r="C698" s="731"/>
      <c r="D698" s="732"/>
      <c r="E698" s="733"/>
      <c r="F698" s="730"/>
      <c r="G698" s="731"/>
      <c r="H698" s="731"/>
      <c r="I698" s="731"/>
      <c r="J698" s="731"/>
      <c r="K698" s="731"/>
    </row>
    <row r="699">
      <c r="A699" s="408"/>
      <c r="B699" s="730"/>
      <c r="C699" s="731"/>
      <c r="D699" s="732"/>
      <c r="E699" s="733"/>
      <c r="F699" s="730"/>
      <c r="G699" s="731"/>
      <c r="H699" s="731"/>
      <c r="I699" s="731"/>
      <c r="J699" s="731"/>
      <c r="K699" s="731"/>
    </row>
    <row r="700">
      <c r="A700" s="408"/>
      <c r="B700" s="730"/>
      <c r="C700" s="731"/>
      <c r="D700" s="732"/>
      <c r="E700" s="733"/>
      <c r="F700" s="730"/>
      <c r="G700" s="731"/>
      <c r="H700" s="731"/>
      <c r="I700" s="731"/>
      <c r="J700" s="731"/>
      <c r="K700" s="731"/>
    </row>
    <row r="701">
      <c r="A701" s="408"/>
      <c r="B701" s="730"/>
      <c r="C701" s="731"/>
      <c r="D701" s="732"/>
      <c r="E701" s="733"/>
      <c r="F701" s="730"/>
      <c r="G701" s="731"/>
      <c r="H701" s="731"/>
      <c r="I701" s="731"/>
      <c r="J701" s="731"/>
      <c r="K701" s="731"/>
    </row>
    <row r="702">
      <c r="A702" s="408"/>
      <c r="B702" s="730"/>
      <c r="C702" s="731"/>
      <c r="D702" s="732"/>
      <c r="E702" s="733"/>
      <c r="F702" s="730"/>
      <c r="G702" s="731"/>
      <c r="H702" s="731"/>
      <c r="I702" s="731"/>
      <c r="J702" s="731"/>
      <c r="K702" s="731"/>
    </row>
    <row r="703">
      <c r="A703" s="408"/>
      <c r="B703" s="730"/>
      <c r="C703" s="731"/>
      <c r="D703" s="732"/>
      <c r="E703" s="733"/>
      <c r="F703" s="730"/>
      <c r="G703" s="731"/>
      <c r="H703" s="731"/>
      <c r="I703" s="731"/>
      <c r="J703" s="731"/>
      <c r="K703" s="731"/>
    </row>
    <row r="704">
      <c r="A704" s="408"/>
      <c r="B704" s="730"/>
      <c r="C704" s="731"/>
      <c r="D704" s="732"/>
      <c r="E704" s="733"/>
      <c r="F704" s="730"/>
      <c r="G704" s="731"/>
      <c r="H704" s="731"/>
      <c r="I704" s="731"/>
      <c r="J704" s="731"/>
      <c r="K704" s="731"/>
    </row>
    <row r="705">
      <c r="A705" s="408"/>
      <c r="B705" s="730"/>
      <c r="C705" s="731"/>
      <c r="D705" s="732"/>
      <c r="E705" s="733"/>
      <c r="F705" s="730"/>
      <c r="G705" s="731"/>
      <c r="H705" s="731"/>
      <c r="I705" s="731"/>
      <c r="J705" s="731"/>
      <c r="K705" s="731"/>
    </row>
    <row r="706">
      <c r="A706" s="408"/>
      <c r="B706" s="730"/>
      <c r="C706" s="731"/>
      <c r="D706" s="732"/>
      <c r="E706" s="733"/>
      <c r="F706" s="730"/>
      <c r="G706" s="731"/>
      <c r="H706" s="731"/>
      <c r="I706" s="731"/>
      <c r="J706" s="731"/>
      <c r="K706" s="731"/>
    </row>
    <row r="707">
      <c r="A707" s="408"/>
      <c r="B707" s="730"/>
      <c r="C707" s="731"/>
      <c r="D707" s="732"/>
      <c r="E707" s="733"/>
      <c r="F707" s="730"/>
      <c r="G707" s="731"/>
      <c r="H707" s="731"/>
      <c r="I707" s="731"/>
      <c r="J707" s="731"/>
      <c r="K707" s="731"/>
    </row>
    <row r="708">
      <c r="A708" s="408"/>
      <c r="B708" s="730"/>
      <c r="C708" s="731"/>
      <c r="D708" s="732"/>
      <c r="E708" s="733"/>
      <c r="F708" s="730"/>
      <c r="G708" s="731"/>
      <c r="H708" s="731"/>
      <c r="I708" s="731"/>
      <c r="J708" s="731"/>
      <c r="K708" s="731"/>
    </row>
    <row r="709">
      <c r="A709" s="408"/>
      <c r="B709" s="730"/>
      <c r="C709" s="731"/>
      <c r="D709" s="732"/>
      <c r="E709" s="733"/>
      <c r="F709" s="730"/>
      <c r="G709" s="731"/>
      <c r="H709" s="731"/>
      <c r="I709" s="731"/>
      <c r="J709" s="731"/>
      <c r="K709" s="731"/>
    </row>
    <row r="710">
      <c r="A710" s="408"/>
      <c r="B710" s="730"/>
      <c r="C710" s="731"/>
      <c r="D710" s="732"/>
      <c r="E710" s="733"/>
      <c r="F710" s="730"/>
      <c r="G710" s="731"/>
      <c r="H710" s="731"/>
      <c r="I710" s="731"/>
      <c r="J710" s="731"/>
      <c r="K710" s="731"/>
    </row>
    <row r="711">
      <c r="A711" s="408"/>
      <c r="B711" s="730"/>
      <c r="C711" s="731"/>
      <c r="D711" s="732"/>
      <c r="E711" s="733"/>
      <c r="F711" s="730"/>
      <c r="G711" s="731"/>
      <c r="H711" s="731"/>
      <c r="I711" s="731"/>
      <c r="J711" s="731"/>
      <c r="K711" s="731"/>
    </row>
    <row r="712">
      <c r="A712" s="408"/>
      <c r="B712" s="730"/>
      <c r="C712" s="731"/>
      <c r="D712" s="732"/>
      <c r="E712" s="733"/>
      <c r="F712" s="730"/>
      <c r="G712" s="731"/>
      <c r="H712" s="731"/>
      <c r="I712" s="731"/>
      <c r="J712" s="731"/>
      <c r="K712" s="731"/>
    </row>
    <row r="713">
      <c r="A713" s="408"/>
      <c r="B713" s="730"/>
      <c r="C713" s="731"/>
      <c r="D713" s="732"/>
      <c r="E713" s="733"/>
      <c r="F713" s="730"/>
      <c r="G713" s="731"/>
      <c r="H713" s="731"/>
      <c r="I713" s="731"/>
      <c r="J713" s="731"/>
      <c r="K713" s="731"/>
    </row>
    <row r="714">
      <c r="A714" s="408"/>
      <c r="B714" s="730"/>
      <c r="C714" s="731"/>
      <c r="D714" s="732"/>
      <c r="E714" s="733"/>
      <c r="F714" s="730"/>
      <c r="G714" s="731"/>
      <c r="H714" s="731"/>
      <c r="I714" s="731"/>
      <c r="J714" s="731"/>
      <c r="K714" s="731"/>
    </row>
    <row r="715">
      <c r="A715" s="408"/>
      <c r="B715" s="730"/>
      <c r="C715" s="731"/>
      <c r="D715" s="732"/>
      <c r="E715" s="733"/>
      <c r="F715" s="730"/>
      <c r="G715" s="731"/>
      <c r="H715" s="731"/>
      <c r="I715" s="731"/>
      <c r="J715" s="731"/>
      <c r="K715" s="731"/>
    </row>
    <row r="716">
      <c r="A716" s="408"/>
      <c r="B716" s="730"/>
      <c r="C716" s="731"/>
      <c r="D716" s="732"/>
      <c r="E716" s="733"/>
      <c r="F716" s="730"/>
      <c r="G716" s="731"/>
      <c r="H716" s="731"/>
      <c r="I716" s="731"/>
      <c r="J716" s="731"/>
      <c r="K716" s="731"/>
    </row>
    <row r="717">
      <c r="A717" s="408"/>
      <c r="B717" s="730"/>
      <c r="C717" s="731"/>
      <c r="D717" s="732"/>
      <c r="E717" s="733"/>
      <c r="F717" s="730"/>
      <c r="G717" s="731"/>
      <c r="H717" s="731"/>
      <c r="I717" s="731"/>
      <c r="J717" s="731"/>
      <c r="K717" s="731"/>
    </row>
    <row r="718">
      <c r="A718" s="408"/>
      <c r="B718" s="730"/>
      <c r="C718" s="731"/>
      <c r="D718" s="732"/>
      <c r="E718" s="733"/>
      <c r="F718" s="730"/>
      <c r="G718" s="731"/>
      <c r="H718" s="731"/>
      <c r="I718" s="731"/>
      <c r="J718" s="731"/>
      <c r="K718" s="731"/>
    </row>
    <row r="719">
      <c r="A719" s="408"/>
      <c r="B719" s="730"/>
      <c r="C719" s="731"/>
      <c r="D719" s="732"/>
      <c r="E719" s="733"/>
      <c r="F719" s="730"/>
      <c r="G719" s="731"/>
      <c r="H719" s="731"/>
      <c r="I719" s="731"/>
      <c r="J719" s="731"/>
      <c r="K719" s="731"/>
    </row>
    <row r="720">
      <c r="A720" s="408"/>
      <c r="B720" s="730"/>
      <c r="C720" s="731"/>
      <c r="D720" s="732"/>
      <c r="E720" s="733"/>
      <c r="F720" s="730"/>
      <c r="G720" s="731"/>
      <c r="H720" s="731"/>
      <c r="I720" s="731"/>
      <c r="J720" s="731"/>
      <c r="K720" s="731"/>
    </row>
    <row r="721">
      <c r="A721" s="408"/>
      <c r="B721" s="730"/>
      <c r="C721" s="731"/>
      <c r="D721" s="732"/>
      <c r="E721" s="733"/>
      <c r="F721" s="730"/>
      <c r="G721" s="731"/>
      <c r="H721" s="731"/>
      <c r="I721" s="731"/>
      <c r="J721" s="731"/>
      <c r="K721" s="731"/>
    </row>
    <row r="722">
      <c r="A722" s="408"/>
      <c r="B722" s="730"/>
      <c r="C722" s="731"/>
      <c r="D722" s="732"/>
      <c r="E722" s="733"/>
      <c r="F722" s="730"/>
      <c r="G722" s="731"/>
      <c r="H722" s="731"/>
      <c r="I722" s="731"/>
      <c r="J722" s="731"/>
      <c r="K722" s="731"/>
    </row>
    <row r="723">
      <c r="A723" s="408"/>
      <c r="B723" s="730"/>
      <c r="C723" s="731"/>
      <c r="D723" s="732"/>
      <c r="E723" s="733"/>
      <c r="F723" s="730"/>
      <c r="G723" s="731"/>
      <c r="H723" s="731"/>
      <c r="I723" s="731"/>
      <c r="J723" s="731"/>
      <c r="K723" s="731"/>
    </row>
    <row r="724">
      <c r="A724" s="408"/>
      <c r="B724" s="730"/>
      <c r="C724" s="731"/>
      <c r="D724" s="732"/>
      <c r="E724" s="733"/>
      <c r="F724" s="730"/>
      <c r="G724" s="731"/>
      <c r="H724" s="731"/>
      <c r="I724" s="731"/>
      <c r="J724" s="731"/>
      <c r="K724" s="731"/>
    </row>
    <row r="725">
      <c r="A725" s="408"/>
      <c r="B725" s="730"/>
      <c r="C725" s="731"/>
      <c r="D725" s="732"/>
      <c r="E725" s="733"/>
      <c r="F725" s="730"/>
      <c r="G725" s="731"/>
      <c r="H725" s="731"/>
      <c r="I725" s="731"/>
      <c r="J725" s="731"/>
      <c r="K725" s="731"/>
    </row>
    <row r="726">
      <c r="A726" s="408"/>
      <c r="B726" s="730"/>
      <c r="C726" s="731"/>
      <c r="D726" s="732"/>
      <c r="E726" s="733"/>
      <c r="F726" s="730"/>
      <c r="G726" s="731"/>
      <c r="H726" s="731"/>
      <c r="I726" s="731"/>
      <c r="J726" s="731"/>
      <c r="K726" s="731"/>
    </row>
    <row r="727">
      <c r="A727" s="408"/>
      <c r="B727" s="730"/>
      <c r="C727" s="731"/>
      <c r="D727" s="732"/>
      <c r="E727" s="733"/>
      <c r="F727" s="730"/>
      <c r="G727" s="731"/>
      <c r="H727" s="731"/>
      <c r="I727" s="731"/>
      <c r="J727" s="731"/>
      <c r="K727" s="731"/>
    </row>
    <row r="728">
      <c r="A728" s="408"/>
      <c r="B728" s="730"/>
      <c r="C728" s="731"/>
      <c r="D728" s="732"/>
      <c r="E728" s="733"/>
      <c r="F728" s="730"/>
      <c r="G728" s="731"/>
      <c r="H728" s="731"/>
      <c r="I728" s="731"/>
      <c r="J728" s="731"/>
      <c r="K728" s="731"/>
    </row>
    <row r="729">
      <c r="A729" s="408"/>
      <c r="B729" s="730"/>
      <c r="C729" s="731"/>
      <c r="D729" s="732"/>
      <c r="E729" s="733"/>
      <c r="F729" s="730"/>
      <c r="G729" s="731"/>
      <c r="H729" s="731"/>
      <c r="I729" s="731"/>
      <c r="J729" s="731"/>
      <c r="K729" s="731"/>
    </row>
    <row r="730">
      <c r="A730" s="408"/>
      <c r="B730" s="730"/>
      <c r="C730" s="731"/>
      <c r="D730" s="732"/>
      <c r="E730" s="733"/>
      <c r="F730" s="730"/>
      <c r="G730" s="731"/>
      <c r="H730" s="731"/>
      <c r="I730" s="731"/>
      <c r="J730" s="731"/>
      <c r="K730" s="731"/>
    </row>
    <row r="731">
      <c r="A731" s="408"/>
      <c r="B731" s="730"/>
      <c r="C731" s="731"/>
      <c r="D731" s="732"/>
      <c r="E731" s="733"/>
      <c r="F731" s="730"/>
      <c r="G731" s="731"/>
      <c r="H731" s="731"/>
      <c r="I731" s="731"/>
      <c r="J731" s="731"/>
      <c r="K731" s="731"/>
    </row>
    <row r="732">
      <c r="A732" s="408"/>
      <c r="B732" s="730"/>
      <c r="C732" s="731"/>
      <c r="D732" s="732"/>
      <c r="E732" s="733"/>
      <c r="F732" s="730"/>
      <c r="G732" s="731"/>
      <c r="H732" s="731"/>
      <c r="I732" s="731"/>
      <c r="J732" s="731"/>
      <c r="K732" s="731"/>
    </row>
    <row r="733">
      <c r="A733" s="408"/>
      <c r="B733" s="730"/>
      <c r="C733" s="731"/>
      <c r="D733" s="732"/>
      <c r="E733" s="733"/>
      <c r="F733" s="730"/>
      <c r="G733" s="731"/>
      <c r="H733" s="731"/>
      <c r="I733" s="731"/>
      <c r="J733" s="731"/>
      <c r="K733" s="731"/>
    </row>
    <row r="734">
      <c r="A734" s="408"/>
      <c r="B734" s="730"/>
      <c r="C734" s="731"/>
      <c r="D734" s="732"/>
      <c r="E734" s="733"/>
      <c r="F734" s="730"/>
      <c r="G734" s="731"/>
      <c r="H734" s="731"/>
      <c r="I734" s="731"/>
      <c r="J734" s="731"/>
      <c r="K734" s="731"/>
    </row>
    <row r="735">
      <c r="A735" s="408"/>
      <c r="B735" s="730"/>
      <c r="C735" s="731"/>
      <c r="D735" s="732"/>
      <c r="E735" s="733"/>
      <c r="F735" s="730"/>
      <c r="G735" s="731"/>
      <c r="H735" s="731"/>
      <c r="I735" s="731"/>
      <c r="J735" s="731"/>
      <c r="K735" s="731"/>
    </row>
    <row r="736">
      <c r="A736" s="408"/>
      <c r="B736" s="730"/>
      <c r="C736" s="731"/>
      <c r="D736" s="732"/>
      <c r="E736" s="733"/>
      <c r="F736" s="730"/>
      <c r="G736" s="731"/>
      <c r="H736" s="731"/>
      <c r="I736" s="731"/>
      <c r="J736" s="731"/>
      <c r="K736" s="731"/>
    </row>
    <row r="737">
      <c r="A737" s="408"/>
      <c r="B737" s="730"/>
      <c r="C737" s="731"/>
      <c r="D737" s="732"/>
      <c r="E737" s="733"/>
      <c r="F737" s="730"/>
      <c r="G737" s="731"/>
      <c r="H737" s="731"/>
      <c r="I737" s="731"/>
      <c r="J737" s="731"/>
      <c r="K737" s="731"/>
    </row>
    <row r="738">
      <c r="A738" s="408"/>
      <c r="B738" s="730"/>
      <c r="C738" s="731"/>
      <c r="D738" s="732"/>
      <c r="E738" s="733"/>
      <c r="F738" s="730"/>
      <c r="G738" s="731"/>
      <c r="H738" s="731"/>
      <c r="I738" s="731"/>
      <c r="J738" s="731"/>
      <c r="K738" s="731"/>
    </row>
    <row r="739">
      <c r="A739" s="408"/>
      <c r="B739" s="730"/>
      <c r="C739" s="731"/>
      <c r="D739" s="732"/>
      <c r="E739" s="733"/>
      <c r="F739" s="730"/>
      <c r="G739" s="731"/>
      <c r="H739" s="731"/>
      <c r="I739" s="731"/>
      <c r="J739" s="731"/>
      <c r="K739" s="731"/>
    </row>
    <row r="740">
      <c r="A740" s="408"/>
      <c r="B740" s="730"/>
      <c r="C740" s="731"/>
      <c r="D740" s="732"/>
      <c r="E740" s="733"/>
      <c r="F740" s="730"/>
      <c r="G740" s="731"/>
      <c r="H740" s="731"/>
      <c r="I740" s="731"/>
      <c r="J740" s="731"/>
      <c r="K740" s="731"/>
    </row>
    <row r="741">
      <c r="A741" s="408"/>
      <c r="B741" s="730"/>
      <c r="C741" s="731"/>
      <c r="D741" s="732"/>
      <c r="E741" s="733"/>
      <c r="F741" s="730"/>
      <c r="G741" s="731"/>
      <c r="H741" s="731"/>
      <c r="I741" s="731"/>
      <c r="J741" s="731"/>
      <c r="K741" s="731"/>
    </row>
    <row r="742">
      <c r="A742" s="408"/>
      <c r="B742" s="730"/>
      <c r="C742" s="731"/>
      <c r="D742" s="732"/>
      <c r="E742" s="733"/>
      <c r="F742" s="730"/>
      <c r="G742" s="731"/>
      <c r="H742" s="731"/>
      <c r="I742" s="731"/>
      <c r="J742" s="731"/>
      <c r="K742" s="731"/>
    </row>
    <row r="743">
      <c r="A743" s="408"/>
      <c r="B743" s="730"/>
      <c r="C743" s="731"/>
      <c r="D743" s="732"/>
      <c r="E743" s="733"/>
      <c r="F743" s="730"/>
      <c r="G743" s="731"/>
      <c r="H743" s="731"/>
      <c r="I743" s="731"/>
      <c r="J743" s="731"/>
      <c r="K743" s="731"/>
    </row>
    <row r="744">
      <c r="A744" s="408"/>
      <c r="B744" s="730"/>
      <c r="C744" s="731"/>
      <c r="D744" s="732"/>
      <c r="E744" s="733"/>
      <c r="F744" s="730"/>
      <c r="G744" s="731"/>
      <c r="H744" s="731"/>
      <c r="I744" s="731"/>
      <c r="J744" s="731"/>
      <c r="K744" s="731"/>
    </row>
    <row r="745">
      <c r="A745" s="408"/>
      <c r="B745" s="730"/>
      <c r="C745" s="731"/>
      <c r="D745" s="732"/>
      <c r="E745" s="733"/>
      <c r="F745" s="730"/>
      <c r="G745" s="731"/>
      <c r="H745" s="731"/>
      <c r="I745" s="731"/>
      <c r="J745" s="731"/>
      <c r="K745" s="731"/>
    </row>
    <row r="746">
      <c r="A746" s="408"/>
      <c r="B746" s="730"/>
      <c r="C746" s="731"/>
      <c r="D746" s="732"/>
      <c r="E746" s="733"/>
      <c r="F746" s="730"/>
      <c r="G746" s="731"/>
      <c r="H746" s="731"/>
      <c r="I746" s="731"/>
      <c r="J746" s="731"/>
      <c r="K746" s="731"/>
    </row>
    <row r="747">
      <c r="A747" s="408"/>
      <c r="B747" s="730"/>
      <c r="C747" s="731"/>
      <c r="D747" s="732"/>
      <c r="E747" s="733"/>
      <c r="F747" s="730"/>
      <c r="G747" s="731"/>
      <c r="H747" s="731"/>
      <c r="I747" s="731"/>
      <c r="J747" s="731"/>
      <c r="K747" s="731"/>
    </row>
    <row r="748">
      <c r="A748" s="408"/>
      <c r="B748" s="730"/>
      <c r="C748" s="731"/>
      <c r="D748" s="732"/>
      <c r="E748" s="733"/>
      <c r="F748" s="730"/>
      <c r="G748" s="731"/>
      <c r="H748" s="731"/>
      <c r="I748" s="731"/>
      <c r="J748" s="731"/>
      <c r="K748" s="731"/>
    </row>
    <row r="749">
      <c r="A749" s="408"/>
      <c r="B749" s="730"/>
      <c r="C749" s="731"/>
      <c r="D749" s="732"/>
      <c r="E749" s="733"/>
      <c r="F749" s="730"/>
      <c r="G749" s="731"/>
      <c r="H749" s="731"/>
      <c r="I749" s="731"/>
      <c r="J749" s="731"/>
      <c r="K749" s="731"/>
    </row>
    <row r="750">
      <c r="A750" s="408"/>
      <c r="B750" s="730"/>
      <c r="C750" s="731"/>
      <c r="D750" s="732"/>
      <c r="E750" s="733"/>
      <c r="F750" s="730"/>
      <c r="G750" s="731"/>
      <c r="H750" s="731"/>
      <c r="I750" s="731"/>
      <c r="J750" s="731"/>
      <c r="K750" s="731"/>
    </row>
    <row r="751">
      <c r="A751" s="408"/>
      <c r="B751" s="730"/>
      <c r="C751" s="731"/>
      <c r="D751" s="732"/>
      <c r="E751" s="733"/>
      <c r="F751" s="730"/>
      <c r="G751" s="731"/>
      <c r="H751" s="731"/>
      <c r="I751" s="731"/>
      <c r="J751" s="731"/>
      <c r="K751" s="731"/>
    </row>
    <row r="752">
      <c r="A752" s="408"/>
      <c r="B752" s="730"/>
      <c r="C752" s="731"/>
      <c r="D752" s="732"/>
      <c r="E752" s="733"/>
      <c r="F752" s="730"/>
      <c r="G752" s="731"/>
      <c r="H752" s="731"/>
      <c r="I752" s="731"/>
      <c r="J752" s="731"/>
      <c r="K752" s="731"/>
    </row>
    <row r="753">
      <c r="A753" s="408"/>
      <c r="B753" s="730"/>
      <c r="C753" s="731"/>
      <c r="D753" s="732"/>
      <c r="E753" s="733"/>
      <c r="F753" s="730"/>
      <c r="G753" s="731"/>
      <c r="H753" s="731"/>
      <c r="I753" s="731"/>
      <c r="J753" s="731"/>
      <c r="K753" s="731"/>
    </row>
    <row r="754">
      <c r="A754" s="408"/>
      <c r="B754" s="730"/>
      <c r="C754" s="731"/>
      <c r="D754" s="732"/>
      <c r="E754" s="733"/>
      <c r="F754" s="730"/>
      <c r="G754" s="731"/>
      <c r="H754" s="731"/>
      <c r="I754" s="731"/>
      <c r="J754" s="731"/>
      <c r="K754" s="731"/>
    </row>
    <row r="755">
      <c r="A755" s="408"/>
      <c r="B755" s="730"/>
      <c r="C755" s="731"/>
      <c r="D755" s="732"/>
      <c r="E755" s="733"/>
      <c r="F755" s="730"/>
      <c r="G755" s="731"/>
      <c r="H755" s="731"/>
      <c r="I755" s="731"/>
      <c r="J755" s="731"/>
      <c r="K755" s="731"/>
    </row>
    <row r="756">
      <c r="A756" s="408"/>
      <c r="B756" s="730"/>
      <c r="C756" s="731"/>
      <c r="D756" s="732"/>
      <c r="E756" s="733"/>
      <c r="F756" s="730"/>
      <c r="G756" s="731"/>
      <c r="H756" s="731"/>
      <c r="I756" s="731"/>
      <c r="J756" s="731"/>
      <c r="K756" s="731"/>
    </row>
    <row r="757">
      <c r="A757" s="408"/>
      <c r="B757" s="730"/>
      <c r="C757" s="731"/>
      <c r="D757" s="732"/>
      <c r="E757" s="733"/>
      <c r="F757" s="730"/>
      <c r="G757" s="731"/>
      <c r="H757" s="731"/>
      <c r="I757" s="731"/>
      <c r="J757" s="731"/>
      <c r="K757" s="731"/>
    </row>
    <row r="758">
      <c r="A758" s="408"/>
      <c r="B758" s="730"/>
      <c r="C758" s="731"/>
      <c r="D758" s="732"/>
      <c r="E758" s="733"/>
      <c r="F758" s="730"/>
      <c r="G758" s="731"/>
      <c r="H758" s="731"/>
      <c r="I758" s="731"/>
      <c r="J758" s="731"/>
      <c r="K758" s="731"/>
    </row>
    <row r="759">
      <c r="A759" s="408"/>
      <c r="B759" s="730"/>
      <c r="C759" s="731"/>
      <c r="D759" s="732"/>
      <c r="E759" s="733"/>
      <c r="F759" s="730"/>
      <c r="G759" s="731"/>
      <c r="H759" s="731"/>
      <c r="I759" s="731"/>
      <c r="J759" s="731"/>
      <c r="K759" s="731"/>
    </row>
    <row r="760">
      <c r="A760" s="408"/>
      <c r="B760" s="730"/>
      <c r="C760" s="731"/>
      <c r="D760" s="732"/>
      <c r="E760" s="733"/>
      <c r="F760" s="730"/>
      <c r="G760" s="731"/>
      <c r="H760" s="731"/>
      <c r="I760" s="731"/>
      <c r="J760" s="731"/>
      <c r="K760" s="731"/>
    </row>
    <row r="761">
      <c r="A761" s="408"/>
      <c r="B761" s="730"/>
      <c r="C761" s="731"/>
      <c r="D761" s="732"/>
      <c r="E761" s="733"/>
      <c r="F761" s="730"/>
      <c r="G761" s="731"/>
      <c r="H761" s="731"/>
      <c r="I761" s="731"/>
      <c r="J761" s="731"/>
      <c r="K761" s="731"/>
    </row>
    <row r="762">
      <c r="A762" s="408"/>
      <c r="B762" s="730"/>
      <c r="C762" s="731"/>
      <c r="D762" s="732"/>
      <c r="E762" s="733"/>
      <c r="F762" s="730"/>
      <c r="G762" s="731"/>
      <c r="H762" s="731"/>
      <c r="I762" s="731"/>
      <c r="J762" s="731"/>
      <c r="K762" s="731"/>
    </row>
    <row r="763">
      <c r="A763" s="408"/>
      <c r="B763" s="730"/>
      <c r="C763" s="731"/>
      <c r="D763" s="732"/>
      <c r="E763" s="733"/>
      <c r="F763" s="730"/>
      <c r="G763" s="731"/>
      <c r="H763" s="731"/>
      <c r="I763" s="731"/>
      <c r="J763" s="731"/>
      <c r="K763" s="731"/>
    </row>
    <row r="764">
      <c r="A764" s="408"/>
      <c r="B764" s="730"/>
      <c r="C764" s="731"/>
      <c r="D764" s="732"/>
      <c r="E764" s="733"/>
      <c r="F764" s="730"/>
      <c r="G764" s="731"/>
      <c r="H764" s="731"/>
      <c r="I764" s="731"/>
      <c r="J764" s="731"/>
      <c r="K764" s="731"/>
    </row>
    <row r="765">
      <c r="A765" s="408"/>
      <c r="B765" s="730"/>
      <c r="C765" s="731"/>
      <c r="D765" s="732"/>
      <c r="E765" s="733"/>
      <c r="F765" s="730"/>
      <c r="G765" s="731"/>
      <c r="H765" s="731"/>
      <c r="I765" s="731"/>
      <c r="J765" s="731"/>
      <c r="K765" s="731"/>
    </row>
    <row r="766">
      <c r="A766" s="408"/>
      <c r="B766" s="730"/>
      <c r="C766" s="731"/>
      <c r="D766" s="732"/>
      <c r="E766" s="733"/>
      <c r="F766" s="730"/>
      <c r="G766" s="731"/>
      <c r="H766" s="731"/>
      <c r="I766" s="731"/>
      <c r="J766" s="731"/>
      <c r="K766" s="731"/>
    </row>
    <row r="767">
      <c r="A767" s="408"/>
      <c r="B767" s="730"/>
      <c r="C767" s="731"/>
      <c r="D767" s="732"/>
      <c r="E767" s="733"/>
      <c r="F767" s="730"/>
      <c r="G767" s="731"/>
      <c r="H767" s="731"/>
      <c r="I767" s="731"/>
      <c r="J767" s="731"/>
      <c r="K767" s="731"/>
    </row>
    <row r="768">
      <c r="A768" s="408"/>
      <c r="B768" s="730"/>
      <c r="C768" s="731"/>
      <c r="D768" s="732"/>
      <c r="E768" s="733"/>
      <c r="F768" s="730"/>
      <c r="G768" s="731"/>
      <c r="H768" s="731"/>
      <c r="I768" s="731"/>
      <c r="J768" s="731"/>
      <c r="K768" s="731"/>
    </row>
    <row r="769">
      <c r="A769" s="408"/>
      <c r="B769" s="730"/>
      <c r="C769" s="731"/>
      <c r="D769" s="732"/>
      <c r="E769" s="733"/>
      <c r="F769" s="730"/>
      <c r="G769" s="731"/>
      <c r="H769" s="731"/>
      <c r="I769" s="731"/>
      <c r="J769" s="731"/>
      <c r="K769" s="731"/>
    </row>
    <row r="770">
      <c r="A770" s="408"/>
      <c r="B770" s="730"/>
      <c r="C770" s="731"/>
      <c r="D770" s="732"/>
      <c r="E770" s="733"/>
      <c r="F770" s="730"/>
      <c r="G770" s="731"/>
      <c r="H770" s="731"/>
      <c r="I770" s="731"/>
      <c r="J770" s="731"/>
      <c r="K770" s="731"/>
    </row>
    <row r="771">
      <c r="A771" s="408"/>
      <c r="B771" s="730"/>
      <c r="C771" s="731"/>
      <c r="D771" s="732"/>
      <c r="E771" s="733"/>
      <c r="F771" s="730"/>
      <c r="G771" s="731"/>
      <c r="H771" s="731"/>
      <c r="I771" s="731"/>
      <c r="J771" s="731"/>
      <c r="K771" s="731"/>
    </row>
    <row r="772">
      <c r="A772" s="408"/>
      <c r="B772" s="730"/>
      <c r="C772" s="731"/>
      <c r="D772" s="732"/>
      <c r="E772" s="733"/>
      <c r="F772" s="730"/>
      <c r="G772" s="731"/>
      <c r="H772" s="731"/>
      <c r="I772" s="731"/>
      <c r="J772" s="731"/>
      <c r="K772" s="731"/>
    </row>
    <row r="773">
      <c r="A773" s="408"/>
      <c r="B773" s="730"/>
      <c r="C773" s="731"/>
      <c r="D773" s="732"/>
      <c r="E773" s="733"/>
      <c r="F773" s="730"/>
      <c r="G773" s="731"/>
      <c r="H773" s="731"/>
      <c r="I773" s="731"/>
      <c r="J773" s="731"/>
      <c r="K773" s="731"/>
    </row>
    <row r="774">
      <c r="A774" s="408"/>
      <c r="B774" s="730"/>
      <c r="C774" s="731"/>
      <c r="D774" s="732"/>
      <c r="E774" s="733"/>
      <c r="F774" s="730"/>
      <c r="G774" s="731"/>
      <c r="H774" s="731"/>
      <c r="I774" s="731"/>
      <c r="J774" s="731"/>
      <c r="K774" s="731"/>
    </row>
    <row r="775">
      <c r="A775" s="408"/>
      <c r="B775" s="730"/>
      <c r="C775" s="731"/>
      <c r="D775" s="732"/>
      <c r="E775" s="733"/>
      <c r="F775" s="730"/>
      <c r="G775" s="731"/>
      <c r="H775" s="731"/>
      <c r="I775" s="731"/>
      <c r="J775" s="731"/>
      <c r="K775" s="731"/>
    </row>
    <row r="776">
      <c r="A776" s="408"/>
      <c r="B776" s="730"/>
      <c r="C776" s="731"/>
      <c r="D776" s="732"/>
      <c r="E776" s="733"/>
      <c r="F776" s="730"/>
      <c r="G776" s="731"/>
      <c r="H776" s="731"/>
      <c r="I776" s="731"/>
      <c r="J776" s="731"/>
      <c r="K776" s="731"/>
    </row>
    <row r="777">
      <c r="A777" s="408"/>
      <c r="B777" s="730"/>
      <c r="C777" s="731"/>
      <c r="D777" s="732"/>
      <c r="E777" s="733"/>
      <c r="F777" s="730"/>
      <c r="G777" s="731"/>
      <c r="H777" s="731"/>
      <c r="I777" s="731"/>
      <c r="J777" s="731"/>
      <c r="K777" s="731"/>
    </row>
    <row r="778">
      <c r="A778" s="408"/>
      <c r="B778" s="730"/>
      <c r="C778" s="731"/>
      <c r="D778" s="732"/>
      <c r="E778" s="733"/>
      <c r="F778" s="730"/>
      <c r="G778" s="731"/>
      <c r="H778" s="731"/>
      <c r="I778" s="731"/>
      <c r="J778" s="731"/>
      <c r="K778" s="731"/>
    </row>
    <row r="779">
      <c r="A779" s="408"/>
      <c r="B779" s="730"/>
      <c r="C779" s="731"/>
      <c r="D779" s="732"/>
      <c r="E779" s="733"/>
      <c r="F779" s="730"/>
      <c r="G779" s="731"/>
      <c r="H779" s="731"/>
      <c r="I779" s="731"/>
      <c r="J779" s="731"/>
      <c r="K779" s="731"/>
    </row>
    <row r="780">
      <c r="A780" s="408"/>
      <c r="B780" s="730"/>
      <c r="C780" s="731"/>
      <c r="D780" s="732"/>
      <c r="E780" s="733"/>
      <c r="F780" s="730"/>
      <c r="G780" s="731"/>
      <c r="H780" s="731"/>
      <c r="I780" s="731"/>
      <c r="J780" s="731"/>
      <c r="K780" s="731"/>
    </row>
    <row r="781">
      <c r="A781" s="408"/>
      <c r="B781" s="730"/>
      <c r="C781" s="731"/>
      <c r="D781" s="732"/>
      <c r="E781" s="733"/>
      <c r="F781" s="730"/>
      <c r="G781" s="731"/>
      <c r="H781" s="731"/>
      <c r="I781" s="731"/>
      <c r="J781" s="731"/>
      <c r="K781" s="731"/>
    </row>
    <row r="782">
      <c r="A782" s="408"/>
      <c r="B782" s="730"/>
      <c r="C782" s="731"/>
      <c r="D782" s="732"/>
      <c r="E782" s="733"/>
      <c r="F782" s="730"/>
      <c r="G782" s="731"/>
      <c r="H782" s="731"/>
      <c r="I782" s="731"/>
      <c r="J782" s="731"/>
      <c r="K782" s="731"/>
    </row>
    <row r="783">
      <c r="A783" s="408"/>
      <c r="B783" s="730"/>
      <c r="C783" s="731"/>
      <c r="D783" s="732"/>
      <c r="E783" s="733"/>
      <c r="F783" s="730"/>
      <c r="G783" s="731"/>
      <c r="H783" s="731"/>
      <c r="I783" s="731"/>
      <c r="J783" s="731"/>
      <c r="K783" s="731"/>
    </row>
    <row r="784">
      <c r="A784" s="408"/>
      <c r="B784" s="730"/>
      <c r="C784" s="731"/>
      <c r="D784" s="732"/>
      <c r="E784" s="733"/>
      <c r="F784" s="730"/>
      <c r="G784" s="731"/>
      <c r="H784" s="731"/>
      <c r="I784" s="731"/>
      <c r="J784" s="731"/>
      <c r="K784" s="731"/>
    </row>
    <row r="785">
      <c r="A785" s="408"/>
      <c r="B785" s="730"/>
      <c r="C785" s="731"/>
      <c r="D785" s="732"/>
      <c r="E785" s="733"/>
      <c r="F785" s="730"/>
      <c r="G785" s="731"/>
      <c r="H785" s="731"/>
      <c r="I785" s="731"/>
      <c r="J785" s="731"/>
      <c r="K785" s="731"/>
    </row>
    <row r="786">
      <c r="A786" s="408"/>
      <c r="B786" s="730"/>
      <c r="C786" s="731"/>
      <c r="D786" s="732"/>
      <c r="E786" s="733"/>
      <c r="F786" s="730"/>
      <c r="G786" s="731"/>
      <c r="H786" s="731"/>
      <c r="I786" s="731"/>
      <c r="J786" s="731"/>
      <c r="K786" s="731"/>
    </row>
    <row r="787">
      <c r="A787" s="408"/>
      <c r="B787" s="730"/>
      <c r="C787" s="731"/>
      <c r="D787" s="732"/>
      <c r="E787" s="733"/>
      <c r="F787" s="730"/>
      <c r="G787" s="731"/>
      <c r="H787" s="731"/>
      <c r="I787" s="731"/>
      <c r="J787" s="731"/>
      <c r="K787" s="731"/>
    </row>
    <row r="788">
      <c r="A788" s="408"/>
      <c r="B788" s="730"/>
      <c r="C788" s="731"/>
      <c r="D788" s="732"/>
      <c r="E788" s="733"/>
      <c r="F788" s="730"/>
      <c r="G788" s="731"/>
      <c r="H788" s="731"/>
      <c r="I788" s="731"/>
      <c r="J788" s="731"/>
      <c r="K788" s="731"/>
    </row>
    <row r="789">
      <c r="A789" s="408"/>
      <c r="B789" s="730"/>
      <c r="C789" s="731"/>
      <c r="D789" s="732"/>
      <c r="E789" s="733"/>
      <c r="F789" s="730"/>
      <c r="G789" s="731"/>
      <c r="H789" s="731"/>
      <c r="I789" s="731"/>
      <c r="J789" s="731"/>
      <c r="K789" s="731"/>
    </row>
    <row r="790">
      <c r="A790" s="408"/>
      <c r="B790" s="730"/>
      <c r="C790" s="731"/>
      <c r="D790" s="732"/>
      <c r="E790" s="733"/>
      <c r="F790" s="730"/>
      <c r="G790" s="731"/>
      <c r="H790" s="731"/>
      <c r="I790" s="731"/>
      <c r="J790" s="731"/>
      <c r="K790" s="731"/>
    </row>
    <row r="791">
      <c r="A791" s="408"/>
      <c r="B791" s="730"/>
      <c r="C791" s="731"/>
      <c r="D791" s="732"/>
      <c r="E791" s="733"/>
      <c r="F791" s="730"/>
      <c r="G791" s="731"/>
      <c r="H791" s="731"/>
      <c r="I791" s="731"/>
      <c r="J791" s="731"/>
      <c r="K791" s="731"/>
    </row>
    <row r="792">
      <c r="A792" s="408"/>
      <c r="B792" s="730"/>
      <c r="C792" s="731"/>
      <c r="D792" s="732"/>
      <c r="E792" s="733"/>
      <c r="F792" s="730"/>
      <c r="G792" s="731"/>
      <c r="H792" s="731"/>
      <c r="I792" s="731"/>
      <c r="J792" s="731"/>
      <c r="K792" s="731"/>
    </row>
    <row r="793">
      <c r="A793" s="408"/>
      <c r="B793" s="730"/>
      <c r="C793" s="731"/>
      <c r="D793" s="732"/>
      <c r="E793" s="733"/>
      <c r="F793" s="730"/>
      <c r="G793" s="731"/>
      <c r="H793" s="731"/>
      <c r="I793" s="731"/>
      <c r="J793" s="731"/>
      <c r="K793" s="731"/>
    </row>
    <row r="794">
      <c r="A794" s="408"/>
      <c r="B794" s="730"/>
      <c r="C794" s="731"/>
      <c r="D794" s="732"/>
      <c r="E794" s="733"/>
      <c r="F794" s="730"/>
      <c r="G794" s="731"/>
      <c r="H794" s="731"/>
      <c r="I794" s="731"/>
      <c r="J794" s="731"/>
      <c r="K794" s="731"/>
    </row>
    <row r="795">
      <c r="A795" s="408"/>
      <c r="B795" s="730"/>
      <c r="C795" s="731"/>
      <c r="D795" s="732"/>
      <c r="E795" s="733"/>
      <c r="F795" s="730"/>
      <c r="G795" s="731"/>
      <c r="H795" s="731"/>
      <c r="I795" s="731"/>
      <c r="J795" s="731"/>
      <c r="K795" s="731"/>
    </row>
    <row r="796">
      <c r="A796" s="408"/>
      <c r="B796" s="730"/>
      <c r="C796" s="731"/>
      <c r="D796" s="732"/>
      <c r="E796" s="733"/>
      <c r="F796" s="730"/>
      <c r="G796" s="731"/>
      <c r="H796" s="731"/>
      <c r="I796" s="731"/>
      <c r="J796" s="731"/>
      <c r="K796" s="731"/>
    </row>
    <row r="797">
      <c r="A797" s="408"/>
      <c r="B797" s="730"/>
      <c r="C797" s="731"/>
      <c r="D797" s="732"/>
      <c r="E797" s="733"/>
      <c r="F797" s="730"/>
      <c r="G797" s="731"/>
      <c r="H797" s="731"/>
      <c r="I797" s="731"/>
      <c r="J797" s="731"/>
      <c r="K797" s="731"/>
    </row>
    <row r="798">
      <c r="A798" s="408"/>
      <c r="B798" s="730"/>
      <c r="C798" s="731"/>
      <c r="D798" s="732"/>
      <c r="E798" s="733"/>
      <c r="F798" s="730"/>
      <c r="G798" s="731"/>
      <c r="H798" s="731"/>
      <c r="I798" s="731"/>
      <c r="J798" s="731"/>
      <c r="K798" s="731"/>
    </row>
    <row r="799">
      <c r="A799" s="408"/>
      <c r="B799" s="730"/>
      <c r="C799" s="731"/>
      <c r="D799" s="732"/>
      <c r="E799" s="733"/>
      <c r="F799" s="730"/>
      <c r="G799" s="731"/>
      <c r="H799" s="731"/>
      <c r="I799" s="731"/>
      <c r="J799" s="731"/>
      <c r="K799" s="731"/>
    </row>
    <row r="800">
      <c r="A800" s="408"/>
      <c r="B800" s="730"/>
      <c r="C800" s="731"/>
      <c r="D800" s="732"/>
      <c r="E800" s="733"/>
      <c r="F800" s="730"/>
      <c r="G800" s="731"/>
      <c r="H800" s="731"/>
      <c r="I800" s="731"/>
      <c r="J800" s="731"/>
      <c r="K800" s="731"/>
    </row>
    <row r="801">
      <c r="A801" s="408"/>
      <c r="B801" s="730"/>
      <c r="C801" s="731"/>
      <c r="D801" s="732"/>
      <c r="E801" s="733"/>
      <c r="F801" s="730"/>
      <c r="G801" s="731"/>
      <c r="H801" s="731"/>
      <c r="I801" s="731"/>
      <c r="J801" s="731"/>
      <c r="K801" s="731"/>
    </row>
    <row r="802">
      <c r="A802" s="408"/>
      <c r="B802" s="730"/>
      <c r="C802" s="731"/>
      <c r="D802" s="732"/>
      <c r="E802" s="733"/>
      <c r="F802" s="730"/>
      <c r="G802" s="731"/>
      <c r="H802" s="731"/>
      <c r="I802" s="731"/>
      <c r="J802" s="731"/>
      <c r="K802" s="731"/>
    </row>
    <row r="803">
      <c r="A803" s="408"/>
      <c r="B803" s="730"/>
      <c r="C803" s="731"/>
      <c r="D803" s="732"/>
      <c r="E803" s="733"/>
      <c r="F803" s="730"/>
      <c r="G803" s="731"/>
      <c r="H803" s="731"/>
      <c r="I803" s="731"/>
      <c r="J803" s="731"/>
      <c r="K803" s="731"/>
    </row>
    <row r="804">
      <c r="A804" s="408"/>
      <c r="B804" s="730"/>
      <c r="C804" s="731"/>
      <c r="D804" s="732"/>
      <c r="E804" s="733"/>
      <c r="F804" s="730"/>
      <c r="G804" s="731"/>
      <c r="H804" s="731"/>
      <c r="I804" s="731"/>
      <c r="J804" s="731"/>
      <c r="K804" s="731"/>
    </row>
    <row r="805">
      <c r="A805" s="408"/>
      <c r="B805" s="730"/>
      <c r="C805" s="731"/>
      <c r="D805" s="732"/>
      <c r="E805" s="733"/>
      <c r="F805" s="730"/>
      <c r="G805" s="731"/>
      <c r="H805" s="731"/>
      <c r="I805" s="731"/>
      <c r="J805" s="731"/>
      <c r="K805" s="731"/>
    </row>
    <row r="806">
      <c r="A806" s="408"/>
      <c r="B806" s="730"/>
      <c r="C806" s="731"/>
      <c r="D806" s="732"/>
      <c r="E806" s="733"/>
      <c r="F806" s="730"/>
      <c r="G806" s="731"/>
      <c r="H806" s="731"/>
      <c r="I806" s="731"/>
      <c r="J806" s="731"/>
      <c r="K806" s="731"/>
    </row>
    <row r="807">
      <c r="A807" s="408"/>
      <c r="B807" s="730"/>
      <c r="C807" s="731"/>
      <c r="D807" s="732"/>
      <c r="E807" s="733"/>
      <c r="F807" s="730"/>
      <c r="G807" s="731"/>
      <c r="H807" s="731"/>
      <c r="I807" s="731"/>
      <c r="J807" s="731"/>
      <c r="K807" s="731"/>
    </row>
    <row r="808">
      <c r="A808" s="408"/>
      <c r="B808" s="730"/>
      <c r="C808" s="731"/>
      <c r="D808" s="732"/>
      <c r="E808" s="733"/>
      <c r="F808" s="730"/>
      <c r="G808" s="731"/>
      <c r="H808" s="731"/>
      <c r="I808" s="731"/>
      <c r="J808" s="731"/>
      <c r="K808" s="731"/>
    </row>
    <row r="809">
      <c r="A809" s="408"/>
      <c r="B809" s="730"/>
      <c r="C809" s="731"/>
      <c r="D809" s="732"/>
      <c r="E809" s="733"/>
      <c r="F809" s="730"/>
      <c r="G809" s="731"/>
      <c r="H809" s="731"/>
      <c r="I809" s="731"/>
      <c r="J809" s="731"/>
      <c r="K809" s="731"/>
    </row>
    <row r="810">
      <c r="A810" s="408"/>
      <c r="B810" s="730"/>
      <c r="C810" s="731"/>
      <c r="D810" s="732"/>
      <c r="E810" s="733"/>
      <c r="F810" s="730"/>
      <c r="G810" s="731"/>
      <c r="H810" s="731"/>
      <c r="I810" s="731"/>
      <c r="J810" s="731"/>
      <c r="K810" s="731"/>
    </row>
    <row r="811">
      <c r="A811" s="408"/>
      <c r="B811" s="730"/>
      <c r="C811" s="731"/>
      <c r="D811" s="732"/>
      <c r="E811" s="733"/>
      <c r="F811" s="730"/>
      <c r="G811" s="731"/>
      <c r="H811" s="731"/>
      <c r="I811" s="731"/>
      <c r="J811" s="731"/>
      <c r="K811" s="731"/>
    </row>
    <row r="812">
      <c r="A812" s="408"/>
      <c r="B812" s="730"/>
      <c r="C812" s="731"/>
      <c r="D812" s="732"/>
      <c r="E812" s="733"/>
      <c r="F812" s="730"/>
      <c r="G812" s="731"/>
      <c r="H812" s="731"/>
      <c r="I812" s="731"/>
      <c r="J812" s="731"/>
      <c r="K812" s="731"/>
    </row>
    <row r="813">
      <c r="A813" s="408"/>
      <c r="B813" s="730"/>
      <c r="C813" s="731"/>
      <c r="D813" s="732"/>
      <c r="E813" s="733"/>
      <c r="F813" s="730"/>
      <c r="G813" s="731"/>
      <c r="H813" s="731"/>
      <c r="I813" s="731"/>
      <c r="J813" s="731"/>
      <c r="K813" s="731"/>
    </row>
    <row r="814">
      <c r="A814" s="408"/>
      <c r="B814" s="730"/>
      <c r="C814" s="731"/>
      <c r="D814" s="732"/>
      <c r="E814" s="733"/>
      <c r="F814" s="730"/>
      <c r="G814" s="731"/>
      <c r="H814" s="731"/>
      <c r="I814" s="731"/>
      <c r="J814" s="731"/>
      <c r="K814" s="731"/>
    </row>
    <row r="815">
      <c r="A815" s="408"/>
      <c r="B815" s="730"/>
      <c r="C815" s="731"/>
      <c r="D815" s="732"/>
      <c r="E815" s="733"/>
      <c r="F815" s="730"/>
      <c r="G815" s="731"/>
      <c r="H815" s="731"/>
      <c r="I815" s="731"/>
      <c r="J815" s="731"/>
      <c r="K815" s="731"/>
    </row>
    <row r="816">
      <c r="A816" s="408"/>
      <c r="B816" s="730"/>
      <c r="C816" s="731"/>
      <c r="D816" s="732"/>
      <c r="E816" s="733"/>
      <c r="F816" s="730"/>
      <c r="G816" s="731"/>
      <c r="H816" s="731"/>
      <c r="I816" s="731"/>
      <c r="J816" s="731"/>
      <c r="K816" s="731"/>
    </row>
    <row r="817">
      <c r="A817" s="408"/>
      <c r="B817" s="730"/>
      <c r="C817" s="731"/>
      <c r="D817" s="732"/>
      <c r="E817" s="733"/>
      <c r="F817" s="730"/>
      <c r="G817" s="731"/>
      <c r="H817" s="731"/>
      <c r="I817" s="731"/>
      <c r="J817" s="731"/>
      <c r="K817" s="731"/>
    </row>
    <row r="818">
      <c r="A818" s="408"/>
      <c r="B818" s="730"/>
      <c r="C818" s="731"/>
      <c r="D818" s="732"/>
      <c r="E818" s="733"/>
      <c r="F818" s="730"/>
      <c r="G818" s="731"/>
      <c r="H818" s="731"/>
      <c r="I818" s="731"/>
      <c r="J818" s="731"/>
      <c r="K818" s="731"/>
    </row>
    <row r="819">
      <c r="A819" s="408"/>
      <c r="B819" s="730"/>
      <c r="C819" s="731"/>
      <c r="D819" s="732"/>
      <c r="E819" s="733"/>
      <c r="F819" s="730"/>
      <c r="G819" s="731"/>
      <c r="H819" s="731"/>
      <c r="I819" s="731"/>
      <c r="J819" s="731"/>
      <c r="K819" s="731"/>
    </row>
    <row r="820">
      <c r="A820" s="408"/>
      <c r="B820" s="730"/>
      <c r="C820" s="731"/>
      <c r="D820" s="732"/>
      <c r="E820" s="733"/>
      <c r="F820" s="730"/>
      <c r="G820" s="731"/>
      <c r="H820" s="731"/>
      <c r="I820" s="731"/>
      <c r="J820" s="731"/>
      <c r="K820" s="731"/>
    </row>
    <row r="821">
      <c r="A821" s="408"/>
      <c r="B821" s="730"/>
      <c r="C821" s="731"/>
      <c r="D821" s="732"/>
      <c r="E821" s="733"/>
      <c r="F821" s="730"/>
      <c r="G821" s="731"/>
      <c r="H821" s="731"/>
      <c r="I821" s="731"/>
      <c r="J821" s="731"/>
      <c r="K821" s="731"/>
    </row>
    <row r="822">
      <c r="A822" s="408"/>
      <c r="B822" s="730"/>
      <c r="C822" s="731"/>
      <c r="D822" s="732"/>
      <c r="E822" s="733"/>
      <c r="F822" s="730"/>
      <c r="G822" s="731"/>
      <c r="H822" s="731"/>
      <c r="I822" s="731"/>
      <c r="J822" s="731"/>
      <c r="K822" s="731"/>
    </row>
    <row r="823">
      <c r="A823" s="408"/>
      <c r="B823" s="730"/>
      <c r="C823" s="731"/>
      <c r="D823" s="732"/>
      <c r="E823" s="733"/>
      <c r="F823" s="730"/>
      <c r="G823" s="731"/>
      <c r="H823" s="731"/>
      <c r="I823" s="731"/>
      <c r="J823" s="731"/>
      <c r="K823" s="731"/>
    </row>
    <row r="824">
      <c r="A824" s="408"/>
      <c r="B824" s="730"/>
      <c r="C824" s="731"/>
      <c r="D824" s="732"/>
      <c r="E824" s="733"/>
      <c r="F824" s="730"/>
      <c r="G824" s="731"/>
      <c r="H824" s="731"/>
      <c r="I824" s="731"/>
      <c r="J824" s="731"/>
      <c r="K824" s="731"/>
    </row>
    <row r="825">
      <c r="A825" s="408"/>
      <c r="B825" s="730"/>
      <c r="C825" s="731"/>
      <c r="D825" s="732"/>
      <c r="E825" s="733"/>
      <c r="F825" s="730"/>
      <c r="G825" s="731"/>
      <c r="H825" s="731"/>
      <c r="I825" s="731"/>
      <c r="J825" s="731"/>
      <c r="K825" s="731"/>
    </row>
    <row r="826">
      <c r="A826" s="408"/>
      <c r="B826" s="730"/>
      <c r="C826" s="731"/>
      <c r="D826" s="732"/>
      <c r="E826" s="733"/>
      <c r="F826" s="730"/>
      <c r="G826" s="731"/>
      <c r="H826" s="731"/>
      <c r="I826" s="731"/>
      <c r="J826" s="731"/>
      <c r="K826" s="731"/>
    </row>
    <row r="827">
      <c r="A827" s="408"/>
      <c r="B827" s="730"/>
      <c r="C827" s="731"/>
      <c r="D827" s="732"/>
      <c r="E827" s="733"/>
      <c r="F827" s="730"/>
      <c r="G827" s="731"/>
      <c r="H827" s="731"/>
      <c r="I827" s="731"/>
      <c r="J827" s="731"/>
      <c r="K827" s="731"/>
    </row>
    <row r="828">
      <c r="A828" s="408"/>
      <c r="B828" s="730"/>
      <c r="C828" s="731"/>
      <c r="D828" s="732"/>
      <c r="E828" s="733"/>
      <c r="F828" s="730"/>
      <c r="G828" s="731"/>
      <c r="H828" s="731"/>
      <c r="I828" s="731"/>
      <c r="J828" s="731"/>
      <c r="K828" s="731"/>
    </row>
    <row r="829">
      <c r="A829" s="408"/>
      <c r="B829" s="730"/>
      <c r="C829" s="731"/>
      <c r="D829" s="732"/>
      <c r="E829" s="733"/>
      <c r="F829" s="730"/>
      <c r="G829" s="731"/>
      <c r="H829" s="731"/>
      <c r="I829" s="731"/>
      <c r="J829" s="731"/>
      <c r="K829" s="731"/>
    </row>
    <row r="830">
      <c r="A830" s="408"/>
      <c r="B830" s="730"/>
      <c r="C830" s="731"/>
      <c r="D830" s="732"/>
      <c r="E830" s="733"/>
      <c r="F830" s="730"/>
      <c r="G830" s="731"/>
      <c r="H830" s="731"/>
      <c r="I830" s="731"/>
      <c r="J830" s="731"/>
      <c r="K830" s="731"/>
    </row>
    <row r="831">
      <c r="A831" s="408"/>
      <c r="B831" s="730"/>
      <c r="C831" s="731"/>
      <c r="D831" s="732"/>
      <c r="E831" s="733"/>
      <c r="F831" s="730"/>
      <c r="G831" s="731"/>
      <c r="H831" s="731"/>
      <c r="I831" s="731"/>
      <c r="J831" s="731"/>
      <c r="K831" s="731"/>
    </row>
    <row r="832">
      <c r="A832" s="408"/>
      <c r="B832" s="730"/>
      <c r="C832" s="731"/>
      <c r="D832" s="732"/>
      <c r="E832" s="733"/>
      <c r="F832" s="730"/>
      <c r="G832" s="731"/>
      <c r="H832" s="731"/>
      <c r="I832" s="731"/>
      <c r="J832" s="731"/>
      <c r="K832" s="731"/>
    </row>
    <row r="833">
      <c r="A833" s="408"/>
      <c r="B833" s="730"/>
      <c r="C833" s="731"/>
      <c r="D833" s="732"/>
      <c r="E833" s="733"/>
      <c r="F833" s="730"/>
      <c r="G833" s="731"/>
      <c r="H833" s="731"/>
      <c r="I833" s="731"/>
      <c r="J833" s="731"/>
      <c r="K833" s="731"/>
    </row>
    <row r="834">
      <c r="A834" s="408"/>
      <c r="B834" s="730"/>
      <c r="C834" s="731"/>
      <c r="D834" s="732"/>
      <c r="E834" s="733"/>
      <c r="F834" s="730"/>
      <c r="G834" s="731"/>
      <c r="H834" s="731"/>
      <c r="I834" s="731"/>
      <c r="J834" s="731"/>
      <c r="K834" s="731"/>
    </row>
    <row r="835">
      <c r="A835" s="408"/>
      <c r="B835" s="730"/>
      <c r="C835" s="731"/>
      <c r="D835" s="732"/>
      <c r="E835" s="733"/>
      <c r="F835" s="730"/>
      <c r="G835" s="731"/>
      <c r="H835" s="731"/>
      <c r="I835" s="731"/>
      <c r="J835" s="731"/>
      <c r="K835" s="731"/>
    </row>
    <row r="836">
      <c r="A836" s="408"/>
      <c r="B836" s="730"/>
      <c r="C836" s="731"/>
      <c r="D836" s="732"/>
      <c r="E836" s="733"/>
      <c r="F836" s="730"/>
      <c r="G836" s="731"/>
      <c r="H836" s="731"/>
      <c r="I836" s="731"/>
      <c r="J836" s="731"/>
      <c r="K836" s="731"/>
    </row>
    <row r="837">
      <c r="A837" s="408"/>
      <c r="B837" s="730"/>
      <c r="C837" s="731"/>
      <c r="D837" s="732"/>
      <c r="E837" s="733"/>
      <c r="F837" s="730"/>
      <c r="G837" s="731"/>
      <c r="H837" s="731"/>
      <c r="I837" s="731"/>
      <c r="J837" s="731"/>
      <c r="K837" s="731"/>
    </row>
    <row r="838">
      <c r="A838" s="408"/>
      <c r="B838" s="730"/>
      <c r="C838" s="731"/>
      <c r="D838" s="732"/>
      <c r="E838" s="733"/>
      <c r="F838" s="730"/>
      <c r="G838" s="731"/>
      <c r="H838" s="731"/>
      <c r="I838" s="731"/>
      <c r="J838" s="731"/>
      <c r="K838" s="731"/>
    </row>
    <row r="839">
      <c r="A839" s="408"/>
      <c r="B839" s="730"/>
      <c r="C839" s="731"/>
      <c r="D839" s="732"/>
      <c r="E839" s="733"/>
      <c r="F839" s="730"/>
      <c r="G839" s="731"/>
      <c r="H839" s="731"/>
      <c r="I839" s="731"/>
      <c r="J839" s="731"/>
      <c r="K839" s="731"/>
    </row>
    <row r="840">
      <c r="A840" s="408"/>
      <c r="B840" s="730"/>
      <c r="C840" s="731"/>
      <c r="D840" s="732"/>
      <c r="E840" s="733"/>
      <c r="F840" s="730"/>
      <c r="G840" s="731"/>
      <c r="H840" s="731"/>
      <c r="I840" s="731"/>
      <c r="J840" s="731"/>
      <c r="K840" s="731"/>
    </row>
    <row r="841">
      <c r="A841" s="408"/>
      <c r="B841" s="730"/>
      <c r="C841" s="731"/>
      <c r="D841" s="732"/>
      <c r="E841" s="733"/>
      <c r="F841" s="730"/>
      <c r="G841" s="731"/>
      <c r="H841" s="731"/>
      <c r="I841" s="731"/>
      <c r="J841" s="731"/>
      <c r="K841" s="731"/>
    </row>
    <row r="842">
      <c r="A842" s="408"/>
      <c r="B842" s="730"/>
      <c r="C842" s="731"/>
      <c r="D842" s="732"/>
      <c r="E842" s="733"/>
      <c r="F842" s="730"/>
      <c r="G842" s="731"/>
      <c r="H842" s="731"/>
      <c r="I842" s="731"/>
      <c r="J842" s="731"/>
      <c r="K842" s="731"/>
    </row>
    <row r="843">
      <c r="A843" s="408"/>
      <c r="B843" s="730"/>
      <c r="C843" s="731"/>
      <c r="D843" s="732"/>
      <c r="E843" s="733"/>
      <c r="F843" s="730"/>
      <c r="G843" s="731"/>
      <c r="H843" s="731"/>
      <c r="I843" s="731"/>
      <c r="J843" s="731"/>
      <c r="K843" s="731"/>
    </row>
    <row r="844">
      <c r="A844" s="408"/>
      <c r="B844" s="730"/>
      <c r="C844" s="731"/>
      <c r="D844" s="732"/>
      <c r="E844" s="733"/>
      <c r="F844" s="730"/>
      <c r="G844" s="731"/>
      <c r="H844" s="731"/>
      <c r="I844" s="731"/>
      <c r="J844" s="731"/>
      <c r="K844" s="731"/>
    </row>
    <row r="845">
      <c r="A845" s="408"/>
      <c r="B845" s="730"/>
      <c r="C845" s="731"/>
      <c r="D845" s="732"/>
      <c r="E845" s="733"/>
      <c r="F845" s="730"/>
      <c r="G845" s="731"/>
      <c r="H845" s="731"/>
      <c r="I845" s="731"/>
      <c r="J845" s="731"/>
      <c r="K845" s="731"/>
    </row>
    <row r="846">
      <c r="A846" s="408"/>
      <c r="B846" s="730"/>
      <c r="C846" s="731"/>
      <c r="D846" s="732"/>
      <c r="E846" s="733"/>
      <c r="F846" s="730"/>
      <c r="G846" s="731"/>
      <c r="H846" s="731"/>
      <c r="I846" s="731"/>
      <c r="J846" s="731"/>
      <c r="K846" s="731"/>
    </row>
    <row r="847">
      <c r="A847" s="408"/>
      <c r="B847" s="730"/>
      <c r="C847" s="731"/>
      <c r="D847" s="732"/>
      <c r="E847" s="733"/>
      <c r="F847" s="730"/>
      <c r="G847" s="731"/>
      <c r="H847" s="731"/>
      <c r="I847" s="731"/>
      <c r="J847" s="731"/>
      <c r="K847" s="731"/>
    </row>
    <row r="848">
      <c r="A848" s="408"/>
      <c r="B848" s="730"/>
      <c r="C848" s="731"/>
      <c r="D848" s="732"/>
      <c r="E848" s="733"/>
      <c r="F848" s="730"/>
      <c r="G848" s="731"/>
      <c r="H848" s="731"/>
      <c r="I848" s="731"/>
      <c r="J848" s="731"/>
      <c r="K848" s="731"/>
    </row>
    <row r="849">
      <c r="A849" s="408"/>
      <c r="B849" s="730"/>
      <c r="C849" s="731"/>
      <c r="D849" s="732"/>
      <c r="E849" s="733"/>
      <c r="F849" s="730"/>
      <c r="G849" s="731"/>
      <c r="H849" s="731"/>
      <c r="I849" s="731"/>
      <c r="J849" s="731"/>
      <c r="K849" s="731"/>
    </row>
    <row r="850">
      <c r="A850" s="408"/>
      <c r="B850" s="730"/>
      <c r="C850" s="731"/>
      <c r="D850" s="732"/>
      <c r="E850" s="733"/>
      <c r="F850" s="730"/>
      <c r="G850" s="731"/>
      <c r="H850" s="731"/>
      <c r="I850" s="731"/>
      <c r="J850" s="731"/>
      <c r="K850" s="731"/>
    </row>
    <row r="851">
      <c r="A851" s="408"/>
      <c r="B851" s="730"/>
      <c r="C851" s="731"/>
      <c r="D851" s="732"/>
      <c r="E851" s="733"/>
      <c r="F851" s="730"/>
      <c r="G851" s="731"/>
      <c r="H851" s="731"/>
      <c r="I851" s="731"/>
      <c r="J851" s="731"/>
      <c r="K851" s="731"/>
    </row>
    <row r="852">
      <c r="A852" s="408"/>
      <c r="B852" s="730"/>
      <c r="C852" s="731"/>
      <c r="D852" s="732"/>
      <c r="E852" s="733"/>
      <c r="F852" s="730"/>
      <c r="G852" s="731"/>
      <c r="H852" s="731"/>
      <c r="I852" s="731"/>
      <c r="J852" s="731"/>
      <c r="K852" s="731"/>
    </row>
    <row r="853">
      <c r="A853" s="408"/>
      <c r="B853" s="730"/>
      <c r="C853" s="731"/>
      <c r="D853" s="732"/>
      <c r="E853" s="733"/>
      <c r="F853" s="730"/>
      <c r="G853" s="731"/>
      <c r="H853" s="731"/>
      <c r="I853" s="731"/>
      <c r="J853" s="731"/>
      <c r="K853" s="731"/>
    </row>
    <row r="854">
      <c r="A854" s="408"/>
      <c r="B854" s="730"/>
      <c r="C854" s="731"/>
      <c r="D854" s="732"/>
      <c r="E854" s="733"/>
      <c r="F854" s="730"/>
      <c r="G854" s="731"/>
      <c r="H854" s="731"/>
      <c r="I854" s="731"/>
      <c r="J854" s="731"/>
      <c r="K854" s="731"/>
    </row>
    <row r="855">
      <c r="A855" s="408"/>
      <c r="B855" s="730"/>
      <c r="C855" s="731"/>
      <c r="D855" s="732"/>
      <c r="E855" s="733"/>
      <c r="F855" s="730"/>
      <c r="G855" s="731"/>
      <c r="H855" s="731"/>
      <c r="I855" s="731"/>
      <c r="J855" s="731"/>
      <c r="K855" s="731"/>
    </row>
    <row r="856">
      <c r="A856" s="408"/>
      <c r="B856" s="730"/>
      <c r="C856" s="731"/>
      <c r="D856" s="732"/>
      <c r="E856" s="733"/>
      <c r="F856" s="730"/>
      <c r="G856" s="731"/>
      <c r="H856" s="731"/>
      <c r="I856" s="731"/>
      <c r="J856" s="731"/>
      <c r="K856" s="731"/>
    </row>
    <row r="857">
      <c r="A857" s="408"/>
      <c r="B857" s="730"/>
      <c r="C857" s="731"/>
      <c r="D857" s="732"/>
      <c r="E857" s="733"/>
      <c r="F857" s="730"/>
      <c r="G857" s="731"/>
      <c r="H857" s="731"/>
      <c r="I857" s="731"/>
      <c r="J857" s="731"/>
      <c r="K857" s="731"/>
    </row>
    <row r="858">
      <c r="A858" s="408"/>
      <c r="B858" s="730"/>
      <c r="C858" s="731"/>
      <c r="D858" s="732"/>
      <c r="E858" s="733"/>
      <c r="F858" s="730"/>
      <c r="G858" s="731"/>
      <c r="H858" s="731"/>
      <c r="I858" s="731"/>
      <c r="J858" s="731"/>
      <c r="K858" s="731"/>
    </row>
    <row r="859">
      <c r="A859" s="408"/>
      <c r="B859" s="730"/>
      <c r="C859" s="731"/>
      <c r="D859" s="732"/>
      <c r="E859" s="733"/>
      <c r="F859" s="730"/>
      <c r="G859" s="731"/>
      <c r="H859" s="731"/>
      <c r="I859" s="731"/>
      <c r="J859" s="731"/>
      <c r="K859" s="731"/>
    </row>
    <row r="860">
      <c r="A860" s="408"/>
      <c r="B860" s="730"/>
      <c r="C860" s="731"/>
      <c r="D860" s="732"/>
      <c r="E860" s="733"/>
      <c r="F860" s="730"/>
      <c r="G860" s="731"/>
      <c r="H860" s="731"/>
      <c r="I860" s="731"/>
      <c r="J860" s="731"/>
      <c r="K860" s="731"/>
    </row>
    <row r="861">
      <c r="A861" s="408"/>
      <c r="B861" s="730"/>
      <c r="C861" s="731"/>
      <c r="D861" s="732"/>
      <c r="E861" s="733"/>
      <c r="F861" s="730"/>
      <c r="G861" s="731"/>
      <c r="H861" s="731"/>
      <c r="I861" s="731"/>
      <c r="J861" s="731"/>
      <c r="K861" s="731"/>
    </row>
    <row r="862">
      <c r="A862" s="408"/>
      <c r="B862" s="730"/>
      <c r="C862" s="731"/>
      <c r="D862" s="732"/>
      <c r="E862" s="733"/>
      <c r="F862" s="730"/>
      <c r="G862" s="731"/>
      <c r="H862" s="731"/>
      <c r="I862" s="731"/>
      <c r="J862" s="731"/>
      <c r="K862" s="731"/>
    </row>
    <row r="863">
      <c r="A863" s="408"/>
      <c r="B863" s="730"/>
      <c r="C863" s="731"/>
      <c r="D863" s="732"/>
      <c r="E863" s="733"/>
      <c r="F863" s="730"/>
      <c r="G863" s="731"/>
      <c r="H863" s="731"/>
      <c r="I863" s="731"/>
      <c r="J863" s="731"/>
      <c r="K863" s="731"/>
    </row>
    <row r="864">
      <c r="A864" s="408"/>
      <c r="B864" s="730"/>
      <c r="C864" s="731"/>
      <c r="D864" s="732"/>
      <c r="E864" s="733"/>
      <c r="F864" s="730"/>
      <c r="G864" s="731"/>
      <c r="H864" s="731"/>
      <c r="I864" s="731"/>
      <c r="J864" s="731"/>
      <c r="K864" s="731"/>
    </row>
    <row r="865">
      <c r="A865" s="408"/>
      <c r="B865" s="730"/>
      <c r="C865" s="731"/>
      <c r="D865" s="732"/>
      <c r="E865" s="733"/>
      <c r="F865" s="730"/>
      <c r="G865" s="731"/>
      <c r="H865" s="731"/>
      <c r="I865" s="731"/>
      <c r="J865" s="731"/>
      <c r="K865" s="731"/>
    </row>
    <row r="866">
      <c r="A866" s="408"/>
      <c r="B866" s="730"/>
      <c r="C866" s="731"/>
      <c r="D866" s="732"/>
      <c r="E866" s="733"/>
      <c r="F866" s="730"/>
      <c r="G866" s="731"/>
      <c r="H866" s="731"/>
      <c r="I866" s="731"/>
      <c r="J866" s="731"/>
      <c r="K866" s="731"/>
    </row>
    <row r="867">
      <c r="A867" s="408"/>
      <c r="B867" s="730"/>
      <c r="C867" s="731"/>
      <c r="D867" s="732"/>
      <c r="E867" s="733"/>
      <c r="F867" s="730"/>
      <c r="G867" s="731"/>
      <c r="H867" s="731"/>
      <c r="I867" s="731"/>
      <c r="J867" s="731"/>
      <c r="K867" s="731"/>
    </row>
    <row r="868">
      <c r="A868" s="408"/>
      <c r="B868" s="730"/>
      <c r="C868" s="731"/>
      <c r="D868" s="732"/>
      <c r="E868" s="733"/>
      <c r="F868" s="730"/>
      <c r="G868" s="731"/>
      <c r="H868" s="731"/>
      <c r="I868" s="731"/>
      <c r="J868" s="731"/>
      <c r="K868" s="731"/>
    </row>
    <row r="869">
      <c r="A869" s="408"/>
      <c r="B869" s="730"/>
      <c r="C869" s="731"/>
      <c r="D869" s="732"/>
      <c r="E869" s="733"/>
      <c r="F869" s="730"/>
      <c r="G869" s="731"/>
      <c r="H869" s="731"/>
      <c r="I869" s="731"/>
      <c r="J869" s="731"/>
      <c r="K869" s="731"/>
    </row>
    <row r="870">
      <c r="A870" s="408"/>
      <c r="B870" s="730"/>
      <c r="C870" s="731"/>
      <c r="D870" s="732"/>
      <c r="E870" s="733"/>
      <c r="F870" s="730"/>
      <c r="G870" s="731"/>
      <c r="H870" s="731"/>
      <c r="I870" s="731"/>
      <c r="J870" s="731"/>
      <c r="K870" s="731"/>
    </row>
    <row r="871">
      <c r="A871" s="408"/>
      <c r="B871" s="730"/>
      <c r="C871" s="731"/>
      <c r="D871" s="732"/>
      <c r="E871" s="733"/>
      <c r="F871" s="730"/>
      <c r="G871" s="731"/>
      <c r="H871" s="731"/>
      <c r="I871" s="731"/>
      <c r="J871" s="731"/>
      <c r="K871" s="731"/>
    </row>
    <row r="872">
      <c r="A872" s="408"/>
      <c r="B872" s="730"/>
      <c r="C872" s="731"/>
      <c r="D872" s="732"/>
      <c r="E872" s="733"/>
      <c r="F872" s="730"/>
      <c r="G872" s="731"/>
      <c r="H872" s="731"/>
      <c r="I872" s="731"/>
      <c r="J872" s="731"/>
      <c r="K872" s="731"/>
    </row>
    <row r="873">
      <c r="A873" s="408"/>
      <c r="B873" s="730"/>
      <c r="C873" s="731"/>
      <c r="D873" s="732"/>
      <c r="E873" s="733"/>
      <c r="F873" s="730"/>
      <c r="G873" s="731"/>
      <c r="H873" s="731"/>
      <c r="I873" s="731"/>
      <c r="J873" s="731"/>
      <c r="K873" s="731"/>
    </row>
    <row r="874">
      <c r="A874" s="408"/>
      <c r="B874" s="730"/>
      <c r="C874" s="731"/>
      <c r="D874" s="732"/>
      <c r="E874" s="733"/>
      <c r="F874" s="730"/>
      <c r="G874" s="731"/>
      <c r="H874" s="731"/>
      <c r="I874" s="731"/>
      <c r="J874" s="731"/>
      <c r="K874" s="731"/>
    </row>
    <row r="875">
      <c r="A875" s="408"/>
      <c r="B875" s="730"/>
      <c r="C875" s="731"/>
      <c r="D875" s="732"/>
      <c r="E875" s="733"/>
      <c r="F875" s="730"/>
      <c r="G875" s="731"/>
      <c r="H875" s="731"/>
      <c r="I875" s="731"/>
      <c r="J875" s="731"/>
      <c r="K875" s="731"/>
    </row>
    <row r="876">
      <c r="A876" s="408"/>
      <c r="B876" s="730"/>
      <c r="C876" s="731"/>
      <c r="D876" s="732"/>
      <c r="E876" s="733"/>
      <c r="F876" s="730"/>
      <c r="G876" s="731"/>
      <c r="H876" s="731"/>
      <c r="I876" s="731"/>
      <c r="J876" s="731"/>
      <c r="K876" s="731"/>
    </row>
    <row r="877">
      <c r="A877" s="408"/>
      <c r="B877" s="730"/>
      <c r="C877" s="731"/>
      <c r="D877" s="732"/>
      <c r="E877" s="733"/>
      <c r="F877" s="730"/>
      <c r="G877" s="731"/>
      <c r="H877" s="731"/>
      <c r="I877" s="731"/>
      <c r="J877" s="731"/>
      <c r="K877" s="731"/>
    </row>
    <row r="878">
      <c r="A878" s="408"/>
      <c r="B878" s="730"/>
      <c r="C878" s="731"/>
      <c r="D878" s="732"/>
      <c r="E878" s="733"/>
      <c r="F878" s="730"/>
      <c r="G878" s="731"/>
      <c r="H878" s="731"/>
      <c r="I878" s="731"/>
      <c r="J878" s="731"/>
      <c r="K878" s="731"/>
    </row>
    <row r="879">
      <c r="A879" s="408"/>
      <c r="B879" s="730"/>
      <c r="C879" s="731"/>
      <c r="D879" s="732"/>
      <c r="E879" s="733"/>
      <c r="F879" s="730"/>
      <c r="G879" s="731"/>
      <c r="H879" s="731"/>
      <c r="I879" s="731"/>
      <c r="J879" s="731"/>
      <c r="K879" s="731"/>
    </row>
    <row r="880">
      <c r="A880" s="408"/>
      <c r="B880" s="730"/>
      <c r="C880" s="731"/>
      <c r="D880" s="732"/>
      <c r="E880" s="733"/>
      <c r="F880" s="730"/>
      <c r="G880" s="731"/>
      <c r="H880" s="731"/>
      <c r="I880" s="731"/>
      <c r="J880" s="731"/>
      <c r="K880" s="731"/>
    </row>
    <row r="881">
      <c r="A881" s="408"/>
      <c r="B881" s="730"/>
      <c r="C881" s="731"/>
      <c r="D881" s="732"/>
      <c r="E881" s="733"/>
      <c r="F881" s="730"/>
      <c r="G881" s="731"/>
      <c r="H881" s="731"/>
      <c r="I881" s="731"/>
      <c r="J881" s="731"/>
      <c r="K881" s="731"/>
    </row>
    <row r="882">
      <c r="A882" s="408"/>
      <c r="B882" s="730"/>
      <c r="C882" s="731"/>
      <c r="D882" s="732"/>
      <c r="E882" s="733"/>
      <c r="F882" s="730"/>
      <c r="G882" s="731"/>
      <c r="H882" s="731"/>
      <c r="I882" s="731"/>
      <c r="J882" s="731"/>
      <c r="K882" s="731"/>
    </row>
    <row r="883">
      <c r="A883" s="408"/>
      <c r="B883" s="730"/>
      <c r="C883" s="731"/>
      <c r="D883" s="732"/>
      <c r="E883" s="733"/>
      <c r="F883" s="730"/>
      <c r="G883" s="731"/>
      <c r="H883" s="731"/>
      <c r="I883" s="731"/>
      <c r="J883" s="731"/>
      <c r="K883" s="731"/>
    </row>
    <row r="884">
      <c r="A884" s="408"/>
      <c r="B884" s="730"/>
      <c r="C884" s="731"/>
      <c r="D884" s="732"/>
      <c r="E884" s="733"/>
      <c r="F884" s="730"/>
      <c r="G884" s="731"/>
      <c r="H884" s="731"/>
      <c r="I884" s="731"/>
      <c r="J884" s="731"/>
      <c r="K884" s="731"/>
    </row>
    <row r="885">
      <c r="A885" s="408"/>
      <c r="B885" s="730"/>
      <c r="C885" s="731"/>
      <c r="D885" s="732"/>
      <c r="E885" s="733"/>
      <c r="F885" s="730"/>
      <c r="G885" s="731"/>
      <c r="H885" s="731"/>
      <c r="I885" s="731"/>
      <c r="J885" s="731"/>
      <c r="K885" s="731"/>
    </row>
    <row r="886">
      <c r="A886" s="408"/>
      <c r="B886" s="730"/>
      <c r="C886" s="731"/>
      <c r="D886" s="732"/>
      <c r="E886" s="733"/>
      <c r="F886" s="730"/>
      <c r="G886" s="731"/>
      <c r="H886" s="731"/>
      <c r="I886" s="731"/>
      <c r="J886" s="731"/>
      <c r="K886" s="731"/>
    </row>
    <row r="887">
      <c r="A887" s="408"/>
      <c r="B887" s="730"/>
      <c r="C887" s="731"/>
      <c r="D887" s="732"/>
      <c r="E887" s="733"/>
      <c r="F887" s="730"/>
      <c r="G887" s="731"/>
      <c r="H887" s="731"/>
      <c r="I887" s="731"/>
      <c r="J887" s="731"/>
      <c r="K887" s="731"/>
    </row>
    <row r="888">
      <c r="A888" s="408"/>
      <c r="B888" s="730"/>
      <c r="C888" s="731"/>
      <c r="D888" s="732"/>
      <c r="E888" s="733"/>
      <c r="F888" s="730"/>
      <c r="G888" s="731"/>
      <c r="H888" s="731"/>
      <c r="I888" s="731"/>
      <c r="J888" s="731"/>
      <c r="K888" s="731"/>
    </row>
    <row r="889">
      <c r="A889" s="408"/>
      <c r="B889" s="730"/>
      <c r="C889" s="731"/>
      <c r="D889" s="732"/>
      <c r="E889" s="733"/>
      <c r="F889" s="730"/>
      <c r="G889" s="731"/>
      <c r="H889" s="731"/>
      <c r="I889" s="731"/>
      <c r="J889" s="731"/>
      <c r="K889" s="731"/>
    </row>
    <row r="890">
      <c r="A890" s="408"/>
      <c r="B890" s="730"/>
      <c r="C890" s="731"/>
      <c r="D890" s="732"/>
      <c r="E890" s="733"/>
      <c r="F890" s="730"/>
      <c r="G890" s="731"/>
      <c r="H890" s="731"/>
      <c r="I890" s="731"/>
      <c r="J890" s="731"/>
      <c r="K890" s="731"/>
    </row>
    <row r="891">
      <c r="A891" s="408"/>
      <c r="B891" s="730"/>
      <c r="C891" s="731"/>
      <c r="D891" s="732"/>
      <c r="E891" s="733"/>
      <c r="F891" s="730"/>
      <c r="G891" s="731"/>
      <c r="H891" s="731"/>
      <c r="I891" s="731"/>
      <c r="J891" s="731"/>
      <c r="K891" s="731"/>
    </row>
    <row r="892">
      <c r="A892" s="408"/>
      <c r="B892" s="730"/>
      <c r="C892" s="731"/>
      <c r="D892" s="732"/>
      <c r="E892" s="733"/>
      <c r="F892" s="730"/>
      <c r="G892" s="731"/>
      <c r="H892" s="731"/>
      <c r="I892" s="731"/>
      <c r="J892" s="731"/>
      <c r="K892" s="731"/>
    </row>
    <row r="893">
      <c r="A893" s="408"/>
      <c r="B893" s="730"/>
      <c r="C893" s="731"/>
      <c r="D893" s="732"/>
      <c r="E893" s="733"/>
      <c r="F893" s="730"/>
      <c r="G893" s="731"/>
      <c r="H893" s="731"/>
      <c r="I893" s="731"/>
      <c r="J893" s="731"/>
      <c r="K893" s="731"/>
    </row>
    <row r="894">
      <c r="A894" s="408"/>
      <c r="B894" s="730"/>
      <c r="C894" s="731"/>
      <c r="D894" s="732"/>
      <c r="E894" s="733"/>
      <c r="F894" s="730"/>
      <c r="G894" s="731"/>
      <c r="H894" s="731"/>
      <c r="I894" s="731"/>
      <c r="J894" s="731"/>
      <c r="K894" s="731"/>
    </row>
    <row r="895">
      <c r="A895" s="408"/>
      <c r="B895" s="730"/>
      <c r="C895" s="731"/>
      <c r="D895" s="732"/>
      <c r="E895" s="733"/>
      <c r="F895" s="730"/>
      <c r="G895" s="731"/>
      <c r="H895" s="731"/>
      <c r="I895" s="731"/>
      <c r="J895" s="731"/>
      <c r="K895" s="731"/>
    </row>
    <row r="896">
      <c r="A896" s="408"/>
      <c r="B896" s="730"/>
      <c r="C896" s="731"/>
      <c r="D896" s="732"/>
      <c r="E896" s="733"/>
      <c r="F896" s="730"/>
      <c r="G896" s="731"/>
      <c r="H896" s="731"/>
      <c r="I896" s="731"/>
      <c r="J896" s="731"/>
      <c r="K896" s="731"/>
    </row>
    <row r="897">
      <c r="A897" s="408"/>
      <c r="B897" s="730"/>
      <c r="C897" s="731"/>
      <c r="D897" s="732"/>
      <c r="E897" s="733"/>
      <c r="F897" s="730"/>
      <c r="G897" s="731"/>
      <c r="H897" s="731"/>
      <c r="I897" s="731"/>
      <c r="J897" s="731"/>
      <c r="K897" s="731"/>
    </row>
    <row r="898">
      <c r="A898" s="408"/>
      <c r="B898" s="730"/>
      <c r="C898" s="731"/>
      <c r="D898" s="732"/>
      <c r="E898" s="733"/>
      <c r="F898" s="730"/>
      <c r="G898" s="731"/>
      <c r="H898" s="731"/>
      <c r="I898" s="731"/>
      <c r="J898" s="731"/>
      <c r="K898" s="731"/>
    </row>
    <row r="899">
      <c r="A899" s="408"/>
      <c r="B899" s="730"/>
      <c r="C899" s="731"/>
      <c r="D899" s="732"/>
      <c r="E899" s="733"/>
      <c r="F899" s="730"/>
      <c r="G899" s="731"/>
      <c r="H899" s="731"/>
      <c r="I899" s="731"/>
      <c r="J899" s="731"/>
      <c r="K899" s="731"/>
    </row>
    <row r="900">
      <c r="A900" s="408"/>
      <c r="B900" s="730"/>
      <c r="C900" s="731"/>
      <c r="D900" s="732"/>
      <c r="E900" s="733"/>
      <c r="F900" s="730"/>
      <c r="G900" s="731"/>
      <c r="H900" s="731"/>
      <c r="I900" s="731"/>
      <c r="J900" s="731"/>
      <c r="K900" s="731"/>
    </row>
    <row r="901">
      <c r="A901" s="408"/>
      <c r="B901" s="730"/>
      <c r="C901" s="731"/>
      <c r="D901" s="732"/>
      <c r="E901" s="733"/>
      <c r="F901" s="730"/>
      <c r="G901" s="731"/>
      <c r="H901" s="731"/>
      <c r="I901" s="731"/>
      <c r="J901" s="731"/>
      <c r="K901" s="731"/>
    </row>
    <row r="902">
      <c r="A902" s="408"/>
      <c r="B902" s="730"/>
      <c r="C902" s="731"/>
      <c r="D902" s="732"/>
      <c r="E902" s="733"/>
      <c r="F902" s="730"/>
      <c r="G902" s="731"/>
      <c r="H902" s="731"/>
      <c r="I902" s="731"/>
      <c r="J902" s="731"/>
      <c r="K902" s="731"/>
    </row>
    <row r="903">
      <c r="A903" s="408"/>
      <c r="B903" s="730"/>
      <c r="C903" s="731"/>
      <c r="D903" s="732"/>
      <c r="E903" s="733"/>
      <c r="F903" s="730"/>
      <c r="G903" s="731"/>
      <c r="H903" s="731"/>
      <c r="I903" s="731"/>
      <c r="J903" s="731"/>
      <c r="K903" s="731"/>
    </row>
    <row r="904">
      <c r="A904" s="408"/>
      <c r="B904" s="730"/>
      <c r="C904" s="731"/>
      <c r="D904" s="732"/>
      <c r="E904" s="733"/>
      <c r="F904" s="730"/>
      <c r="G904" s="731"/>
      <c r="H904" s="731"/>
      <c r="I904" s="731"/>
      <c r="J904" s="731"/>
      <c r="K904" s="731"/>
    </row>
    <row r="905">
      <c r="A905" s="408"/>
      <c r="B905" s="730"/>
      <c r="C905" s="731"/>
      <c r="D905" s="732"/>
      <c r="E905" s="733"/>
      <c r="F905" s="730"/>
      <c r="G905" s="731"/>
      <c r="H905" s="731"/>
      <c r="I905" s="731"/>
      <c r="J905" s="731"/>
      <c r="K905" s="731"/>
    </row>
    <row r="906">
      <c r="A906" s="408"/>
      <c r="B906" s="730"/>
      <c r="C906" s="731"/>
      <c r="D906" s="732"/>
      <c r="E906" s="733"/>
      <c r="F906" s="730"/>
      <c r="G906" s="731"/>
      <c r="H906" s="731"/>
      <c r="I906" s="731"/>
      <c r="J906" s="731"/>
      <c r="K906" s="731"/>
    </row>
    <row r="907">
      <c r="A907" s="408"/>
      <c r="B907" s="730"/>
      <c r="C907" s="731"/>
      <c r="D907" s="732"/>
      <c r="E907" s="733"/>
      <c r="F907" s="730"/>
      <c r="G907" s="731"/>
      <c r="H907" s="731"/>
      <c r="I907" s="731"/>
      <c r="J907" s="731"/>
      <c r="K907" s="731"/>
    </row>
    <row r="908">
      <c r="A908" s="408"/>
      <c r="B908" s="730"/>
      <c r="C908" s="731"/>
      <c r="D908" s="732"/>
      <c r="E908" s="733"/>
      <c r="F908" s="730"/>
      <c r="G908" s="731"/>
      <c r="H908" s="731"/>
      <c r="I908" s="731"/>
      <c r="J908" s="731"/>
      <c r="K908" s="731"/>
    </row>
    <row r="909">
      <c r="A909" s="408"/>
      <c r="B909" s="730"/>
      <c r="C909" s="731"/>
      <c r="D909" s="732"/>
      <c r="E909" s="733"/>
      <c r="F909" s="730"/>
      <c r="G909" s="731"/>
      <c r="H909" s="731"/>
      <c r="I909" s="731"/>
      <c r="J909" s="731"/>
      <c r="K909" s="731"/>
    </row>
    <row r="910">
      <c r="A910" s="408"/>
      <c r="B910" s="730"/>
      <c r="C910" s="731"/>
      <c r="D910" s="732"/>
      <c r="E910" s="733"/>
      <c r="F910" s="730"/>
      <c r="G910" s="731"/>
      <c r="H910" s="731"/>
      <c r="I910" s="731"/>
      <c r="J910" s="731"/>
      <c r="K910" s="731"/>
    </row>
    <row r="911">
      <c r="A911" s="408"/>
      <c r="B911" s="730"/>
      <c r="C911" s="731"/>
      <c r="D911" s="732"/>
      <c r="E911" s="733"/>
      <c r="F911" s="730"/>
      <c r="G911" s="731"/>
      <c r="H911" s="731"/>
      <c r="I911" s="731"/>
      <c r="J911" s="731"/>
      <c r="K911" s="731"/>
    </row>
    <row r="912">
      <c r="A912" s="408"/>
      <c r="B912" s="730"/>
      <c r="C912" s="731"/>
      <c r="D912" s="732"/>
      <c r="E912" s="733"/>
      <c r="F912" s="730"/>
      <c r="G912" s="731"/>
      <c r="H912" s="731"/>
      <c r="I912" s="731"/>
      <c r="J912" s="731"/>
      <c r="K912" s="731"/>
    </row>
    <row r="913">
      <c r="A913" s="408"/>
      <c r="B913" s="730"/>
      <c r="C913" s="731"/>
      <c r="D913" s="732"/>
      <c r="E913" s="733"/>
      <c r="F913" s="730"/>
      <c r="G913" s="731"/>
      <c r="H913" s="731"/>
      <c r="I913" s="731"/>
      <c r="J913" s="731"/>
      <c r="K913" s="731"/>
    </row>
    <row r="914">
      <c r="A914" s="408"/>
      <c r="B914" s="730"/>
      <c r="C914" s="731"/>
      <c r="D914" s="732"/>
      <c r="E914" s="733"/>
      <c r="F914" s="730"/>
      <c r="G914" s="731"/>
      <c r="H914" s="731"/>
      <c r="I914" s="731"/>
      <c r="J914" s="731"/>
      <c r="K914" s="731"/>
    </row>
    <row r="915">
      <c r="A915" s="408"/>
      <c r="B915" s="730"/>
      <c r="C915" s="731"/>
      <c r="D915" s="732"/>
      <c r="E915" s="733"/>
      <c r="F915" s="730"/>
      <c r="G915" s="731"/>
      <c r="H915" s="731"/>
      <c r="I915" s="731"/>
      <c r="J915" s="731"/>
      <c r="K915" s="731"/>
    </row>
    <row r="916">
      <c r="A916" s="408"/>
      <c r="B916" s="730"/>
      <c r="C916" s="731"/>
      <c r="D916" s="732"/>
      <c r="E916" s="733"/>
      <c r="F916" s="730"/>
      <c r="G916" s="731"/>
      <c r="H916" s="731"/>
      <c r="I916" s="731"/>
      <c r="J916" s="731"/>
      <c r="K916" s="731"/>
    </row>
    <row r="917">
      <c r="A917" s="408"/>
      <c r="B917" s="730"/>
      <c r="C917" s="731"/>
      <c r="D917" s="732"/>
      <c r="E917" s="733"/>
      <c r="F917" s="730"/>
      <c r="G917" s="731"/>
      <c r="H917" s="731"/>
      <c r="I917" s="731"/>
      <c r="J917" s="731"/>
      <c r="K917" s="731"/>
    </row>
    <row r="918">
      <c r="A918" s="408"/>
      <c r="B918" s="730"/>
      <c r="C918" s="731"/>
      <c r="D918" s="732"/>
      <c r="E918" s="733"/>
      <c r="F918" s="730"/>
      <c r="G918" s="731"/>
      <c r="H918" s="731"/>
      <c r="I918" s="731"/>
      <c r="J918" s="731"/>
      <c r="K918" s="731"/>
    </row>
    <row r="919">
      <c r="A919" s="408"/>
      <c r="B919" s="730"/>
      <c r="C919" s="731"/>
      <c r="D919" s="732"/>
      <c r="E919" s="733"/>
      <c r="F919" s="730"/>
      <c r="G919" s="731"/>
      <c r="H919" s="731"/>
      <c r="I919" s="731"/>
      <c r="J919" s="731"/>
      <c r="K919" s="731"/>
    </row>
    <row r="920">
      <c r="A920" s="408"/>
      <c r="B920" s="730"/>
      <c r="C920" s="731"/>
      <c r="D920" s="732"/>
      <c r="E920" s="733"/>
      <c r="F920" s="730"/>
      <c r="G920" s="731"/>
      <c r="H920" s="731"/>
      <c r="I920" s="731"/>
      <c r="J920" s="731"/>
      <c r="K920" s="731"/>
    </row>
    <row r="921">
      <c r="A921" s="408"/>
      <c r="B921" s="730"/>
      <c r="C921" s="731"/>
      <c r="D921" s="732"/>
      <c r="E921" s="733"/>
      <c r="F921" s="730"/>
      <c r="G921" s="731"/>
      <c r="H921" s="731"/>
      <c r="I921" s="731"/>
      <c r="J921" s="731"/>
      <c r="K921" s="731"/>
    </row>
    <row r="922">
      <c r="A922" s="408"/>
      <c r="B922" s="730"/>
      <c r="C922" s="731"/>
      <c r="D922" s="732"/>
      <c r="E922" s="733"/>
      <c r="F922" s="730"/>
      <c r="G922" s="731"/>
      <c r="H922" s="731"/>
      <c r="I922" s="731"/>
      <c r="J922" s="731"/>
      <c r="K922" s="731"/>
    </row>
    <row r="923">
      <c r="A923" s="408"/>
      <c r="B923" s="730"/>
      <c r="C923" s="731"/>
      <c r="D923" s="732"/>
      <c r="E923" s="733"/>
      <c r="F923" s="730"/>
      <c r="G923" s="731"/>
      <c r="H923" s="731"/>
      <c r="I923" s="731"/>
      <c r="J923" s="731"/>
      <c r="K923" s="731"/>
    </row>
    <row r="924">
      <c r="A924" s="408"/>
      <c r="B924" s="730"/>
      <c r="C924" s="731"/>
      <c r="D924" s="732"/>
      <c r="E924" s="733"/>
      <c r="F924" s="730"/>
      <c r="G924" s="731"/>
      <c r="H924" s="731"/>
      <c r="I924" s="731"/>
      <c r="J924" s="731"/>
      <c r="K924" s="731"/>
    </row>
    <row r="925">
      <c r="A925" s="408"/>
      <c r="B925" s="730"/>
      <c r="C925" s="731"/>
      <c r="D925" s="732"/>
      <c r="E925" s="733"/>
      <c r="F925" s="730"/>
      <c r="G925" s="731"/>
      <c r="H925" s="731"/>
      <c r="I925" s="731"/>
      <c r="J925" s="731"/>
      <c r="K925" s="731"/>
    </row>
    <row r="926">
      <c r="A926" s="408"/>
      <c r="B926" s="730"/>
      <c r="C926" s="731"/>
      <c r="D926" s="732"/>
      <c r="E926" s="733"/>
      <c r="F926" s="730"/>
      <c r="G926" s="731"/>
      <c r="H926" s="731"/>
      <c r="I926" s="731"/>
      <c r="J926" s="731"/>
      <c r="K926" s="731"/>
    </row>
    <row r="927">
      <c r="A927" s="408"/>
      <c r="B927" s="730"/>
      <c r="C927" s="731"/>
      <c r="D927" s="732"/>
      <c r="E927" s="733"/>
      <c r="F927" s="730"/>
      <c r="G927" s="731"/>
      <c r="H927" s="731"/>
      <c r="I927" s="731"/>
      <c r="J927" s="731"/>
      <c r="K927" s="731"/>
    </row>
    <row r="928">
      <c r="A928" s="408"/>
      <c r="B928" s="730"/>
      <c r="C928" s="731"/>
      <c r="D928" s="732"/>
      <c r="E928" s="733"/>
      <c r="F928" s="730"/>
      <c r="G928" s="731"/>
      <c r="H928" s="731"/>
      <c r="I928" s="731"/>
      <c r="J928" s="731"/>
      <c r="K928" s="731"/>
    </row>
    <row r="929">
      <c r="A929" s="408"/>
      <c r="B929" s="730"/>
      <c r="C929" s="731"/>
      <c r="D929" s="732"/>
      <c r="E929" s="733"/>
      <c r="F929" s="730"/>
      <c r="G929" s="731"/>
      <c r="H929" s="731"/>
      <c r="I929" s="731"/>
      <c r="J929" s="731"/>
      <c r="K929" s="731"/>
    </row>
    <row r="930">
      <c r="A930" s="408"/>
      <c r="B930" s="730"/>
      <c r="C930" s="731"/>
      <c r="D930" s="732"/>
      <c r="E930" s="733"/>
      <c r="F930" s="730"/>
      <c r="G930" s="731"/>
      <c r="H930" s="731"/>
      <c r="I930" s="731"/>
      <c r="J930" s="731"/>
      <c r="K930" s="731"/>
    </row>
    <row r="931">
      <c r="A931" s="408"/>
      <c r="B931" s="730"/>
      <c r="C931" s="731"/>
      <c r="D931" s="732"/>
      <c r="E931" s="733"/>
      <c r="F931" s="730"/>
      <c r="G931" s="731"/>
      <c r="H931" s="731"/>
      <c r="I931" s="731"/>
      <c r="J931" s="731"/>
      <c r="K931" s="731"/>
    </row>
    <row r="932">
      <c r="A932" s="408"/>
      <c r="B932" s="730"/>
      <c r="C932" s="731"/>
      <c r="D932" s="732"/>
      <c r="E932" s="733"/>
      <c r="F932" s="730"/>
      <c r="G932" s="731"/>
      <c r="H932" s="731"/>
      <c r="I932" s="731"/>
      <c r="J932" s="731"/>
      <c r="K932" s="731"/>
    </row>
    <row r="933">
      <c r="A933" s="408"/>
      <c r="B933" s="730"/>
      <c r="C933" s="731"/>
      <c r="D933" s="732"/>
      <c r="E933" s="733"/>
      <c r="F933" s="730"/>
      <c r="G933" s="731"/>
      <c r="H933" s="731"/>
      <c r="I933" s="731"/>
      <c r="J933" s="731"/>
      <c r="K933" s="731"/>
    </row>
    <row r="934">
      <c r="A934" s="408"/>
      <c r="B934" s="730"/>
      <c r="C934" s="731"/>
      <c r="D934" s="732"/>
      <c r="E934" s="733"/>
      <c r="F934" s="730"/>
      <c r="G934" s="731"/>
      <c r="H934" s="731"/>
      <c r="I934" s="731"/>
      <c r="J934" s="731"/>
      <c r="K934" s="731"/>
    </row>
    <row r="935">
      <c r="A935" s="408"/>
      <c r="B935" s="730"/>
      <c r="C935" s="731"/>
      <c r="D935" s="732"/>
      <c r="E935" s="733"/>
      <c r="F935" s="730"/>
      <c r="G935" s="731"/>
      <c r="H935" s="731"/>
      <c r="I935" s="731"/>
      <c r="J935" s="731"/>
      <c r="K935" s="731"/>
    </row>
    <row r="936">
      <c r="A936" s="408"/>
      <c r="B936" s="730"/>
      <c r="C936" s="731"/>
      <c r="D936" s="732"/>
      <c r="E936" s="733"/>
      <c r="F936" s="730"/>
      <c r="G936" s="731"/>
      <c r="H936" s="731"/>
      <c r="I936" s="731"/>
      <c r="J936" s="731"/>
      <c r="K936" s="731"/>
    </row>
    <row r="937">
      <c r="A937" s="408"/>
      <c r="B937" s="730"/>
      <c r="C937" s="731"/>
      <c r="D937" s="732"/>
      <c r="E937" s="733"/>
      <c r="F937" s="730"/>
      <c r="G937" s="731"/>
      <c r="H937" s="731"/>
      <c r="I937" s="731"/>
      <c r="J937" s="731"/>
      <c r="K937" s="731"/>
    </row>
    <row r="938">
      <c r="A938" s="408"/>
      <c r="B938" s="730"/>
      <c r="C938" s="731"/>
      <c r="D938" s="732"/>
      <c r="E938" s="733"/>
      <c r="F938" s="730"/>
      <c r="G938" s="731"/>
      <c r="H938" s="731"/>
      <c r="I938" s="731"/>
      <c r="J938" s="731"/>
      <c r="K938" s="731"/>
    </row>
    <row r="939">
      <c r="A939" s="408"/>
      <c r="B939" s="730"/>
      <c r="C939" s="731"/>
      <c r="D939" s="732"/>
      <c r="E939" s="733"/>
      <c r="F939" s="730"/>
      <c r="G939" s="731"/>
      <c r="H939" s="731"/>
      <c r="I939" s="731"/>
      <c r="J939" s="731"/>
      <c r="K939" s="731"/>
    </row>
    <row r="940">
      <c r="A940" s="408"/>
      <c r="B940" s="730"/>
      <c r="C940" s="731"/>
      <c r="D940" s="732"/>
      <c r="E940" s="733"/>
      <c r="F940" s="730"/>
      <c r="G940" s="731"/>
      <c r="H940" s="731"/>
      <c r="I940" s="731"/>
      <c r="J940" s="731"/>
      <c r="K940" s="731"/>
    </row>
    <row r="941">
      <c r="A941" s="408"/>
      <c r="B941" s="730"/>
      <c r="C941" s="731"/>
      <c r="D941" s="732"/>
      <c r="E941" s="733"/>
      <c r="F941" s="730"/>
      <c r="G941" s="731"/>
      <c r="H941" s="731"/>
      <c r="I941" s="731"/>
      <c r="J941" s="731"/>
      <c r="K941" s="731"/>
    </row>
    <row r="942">
      <c r="A942" s="408"/>
      <c r="B942" s="730"/>
      <c r="C942" s="731"/>
      <c r="D942" s="732"/>
      <c r="E942" s="733"/>
      <c r="F942" s="730"/>
      <c r="G942" s="731"/>
      <c r="H942" s="731"/>
      <c r="I942" s="731"/>
      <c r="J942" s="731"/>
      <c r="K942" s="731"/>
    </row>
    <row r="943">
      <c r="A943" s="408"/>
      <c r="B943" s="730"/>
      <c r="C943" s="731"/>
      <c r="D943" s="732"/>
      <c r="E943" s="733"/>
      <c r="F943" s="730"/>
      <c r="G943" s="731"/>
      <c r="H943" s="731"/>
      <c r="I943" s="731"/>
      <c r="J943" s="731"/>
      <c r="K943" s="731"/>
    </row>
    <row r="944">
      <c r="A944" s="408"/>
      <c r="B944" s="730"/>
      <c r="C944" s="731"/>
      <c r="D944" s="732"/>
      <c r="E944" s="733"/>
      <c r="F944" s="730"/>
      <c r="G944" s="731"/>
      <c r="H944" s="731"/>
      <c r="I944" s="731"/>
      <c r="J944" s="731"/>
      <c r="K944" s="731"/>
    </row>
    <row r="945">
      <c r="A945" s="408"/>
      <c r="B945" s="730"/>
      <c r="C945" s="731"/>
      <c r="D945" s="732"/>
      <c r="E945" s="733"/>
      <c r="F945" s="730"/>
      <c r="G945" s="731"/>
      <c r="H945" s="731"/>
      <c r="I945" s="731"/>
      <c r="J945" s="731"/>
      <c r="K945" s="731"/>
    </row>
    <row r="946">
      <c r="A946" s="408"/>
      <c r="B946" s="730"/>
      <c r="C946" s="731"/>
      <c r="D946" s="732"/>
      <c r="E946" s="733"/>
      <c r="F946" s="730"/>
      <c r="G946" s="731"/>
      <c r="H946" s="731"/>
      <c r="I946" s="731"/>
      <c r="J946" s="731"/>
      <c r="K946" s="731"/>
    </row>
    <row r="947">
      <c r="A947" s="408"/>
      <c r="B947" s="730"/>
      <c r="C947" s="731"/>
      <c r="D947" s="732"/>
      <c r="E947" s="733"/>
      <c r="F947" s="730"/>
      <c r="G947" s="731"/>
      <c r="H947" s="731"/>
      <c r="I947" s="731"/>
      <c r="J947" s="731"/>
      <c r="K947" s="731"/>
    </row>
    <row r="948">
      <c r="A948" s="408"/>
      <c r="B948" s="730"/>
      <c r="C948" s="731"/>
      <c r="D948" s="732"/>
      <c r="E948" s="733"/>
      <c r="F948" s="730"/>
      <c r="G948" s="731"/>
      <c r="H948" s="731"/>
      <c r="I948" s="731"/>
      <c r="J948" s="731"/>
      <c r="K948" s="731"/>
    </row>
    <row r="949">
      <c r="A949" s="408"/>
      <c r="B949" s="730"/>
      <c r="C949" s="731"/>
      <c r="D949" s="732"/>
      <c r="E949" s="733"/>
      <c r="F949" s="730"/>
      <c r="G949" s="731"/>
      <c r="H949" s="731"/>
      <c r="I949" s="731"/>
      <c r="J949" s="731"/>
      <c r="K949" s="731"/>
    </row>
    <row r="950">
      <c r="A950" s="408"/>
      <c r="B950" s="730"/>
      <c r="C950" s="731"/>
      <c r="D950" s="732"/>
      <c r="E950" s="733"/>
      <c r="F950" s="730"/>
      <c r="G950" s="731"/>
      <c r="H950" s="731"/>
      <c r="I950" s="731"/>
      <c r="J950" s="731"/>
      <c r="K950" s="731"/>
    </row>
    <row r="951">
      <c r="A951" s="408"/>
      <c r="B951" s="730"/>
      <c r="C951" s="731"/>
      <c r="D951" s="732"/>
      <c r="E951" s="733"/>
      <c r="F951" s="730"/>
      <c r="G951" s="731"/>
      <c r="H951" s="731"/>
      <c r="I951" s="731"/>
      <c r="J951" s="731"/>
      <c r="K951" s="731"/>
    </row>
    <row r="952">
      <c r="A952" s="408"/>
      <c r="B952" s="730"/>
      <c r="C952" s="731"/>
      <c r="D952" s="732"/>
      <c r="E952" s="733"/>
      <c r="F952" s="730"/>
      <c r="G952" s="731"/>
      <c r="H952" s="731"/>
      <c r="I952" s="731"/>
      <c r="J952" s="731"/>
      <c r="K952" s="731"/>
    </row>
    <row r="953">
      <c r="A953" s="408"/>
      <c r="B953" s="730"/>
      <c r="C953" s="731"/>
      <c r="D953" s="732"/>
      <c r="E953" s="733"/>
      <c r="F953" s="730"/>
      <c r="G953" s="731"/>
      <c r="H953" s="731"/>
      <c r="I953" s="731"/>
      <c r="J953" s="731"/>
      <c r="K953" s="731"/>
    </row>
    <row r="954">
      <c r="A954" s="408"/>
      <c r="B954" s="730"/>
      <c r="C954" s="731"/>
      <c r="D954" s="732"/>
      <c r="E954" s="733"/>
      <c r="F954" s="730"/>
      <c r="G954" s="731"/>
      <c r="H954" s="731"/>
      <c r="I954" s="731"/>
      <c r="J954" s="731"/>
      <c r="K954" s="731"/>
    </row>
    <row r="955">
      <c r="A955" s="408"/>
      <c r="B955" s="730"/>
      <c r="C955" s="731"/>
      <c r="D955" s="732"/>
      <c r="E955" s="733"/>
      <c r="F955" s="730"/>
      <c r="G955" s="731"/>
      <c r="H955" s="731"/>
      <c r="I955" s="731"/>
      <c r="J955" s="731"/>
      <c r="K955" s="731"/>
    </row>
    <row r="956">
      <c r="A956" s="408"/>
      <c r="B956" s="730"/>
      <c r="C956" s="731"/>
      <c r="D956" s="732"/>
      <c r="E956" s="733"/>
      <c r="F956" s="730"/>
      <c r="G956" s="731"/>
      <c r="H956" s="731"/>
      <c r="I956" s="731"/>
      <c r="J956" s="731"/>
      <c r="K956" s="731"/>
    </row>
    <row r="957">
      <c r="A957" s="408"/>
      <c r="B957" s="730"/>
      <c r="C957" s="731"/>
      <c r="D957" s="732"/>
      <c r="E957" s="733"/>
      <c r="F957" s="730"/>
      <c r="G957" s="731"/>
      <c r="H957" s="731"/>
      <c r="I957" s="731"/>
      <c r="J957" s="731"/>
      <c r="K957" s="731"/>
    </row>
    <row r="958">
      <c r="A958" s="408"/>
      <c r="B958" s="730"/>
      <c r="C958" s="731"/>
      <c r="D958" s="732"/>
      <c r="E958" s="733"/>
      <c r="F958" s="730"/>
      <c r="G958" s="731"/>
      <c r="H958" s="731"/>
      <c r="I958" s="731"/>
      <c r="J958" s="731"/>
      <c r="K958" s="731"/>
    </row>
    <row r="959">
      <c r="A959" s="408"/>
      <c r="B959" s="730"/>
      <c r="C959" s="731"/>
      <c r="D959" s="732"/>
      <c r="E959" s="733"/>
      <c r="F959" s="730"/>
      <c r="G959" s="731"/>
      <c r="H959" s="731"/>
      <c r="I959" s="731"/>
      <c r="J959" s="731"/>
      <c r="K959" s="731"/>
    </row>
    <row r="960">
      <c r="A960" s="408"/>
      <c r="B960" s="730"/>
      <c r="C960" s="731"/>
      <c r="D960" s="732"/>
      <c r="E960" s="733"/>
      <c r="F960" s="730"/>
      <c r="G960" s="731"/>
      <c r="H960" s="731"/>
      <c r="I960" s="731"/>
      <c r="J960" s="731"/>
      <c r="K960" s="731"/>
    </row>
    <row r="961">
      <c r="A961" s="408"/>
      <c r="B961" s="730"/>
      <c r="C961" s="731"/>
      <c r="D961" s="732"/>
      <c r="E961" s="733"/>
      <c r="F961" s="730"/>
      <c r="G961" s="731"/>
      <c r="H961" s="731"/>
      <c r="I961" s="731"/>
      <c r="J961" s="731"/>
      <c r="K961" s="731"/>
    </row>
    <row r="962">
      <c r="A962" s="408"/>
      <c r="B962" s="730"/>
      <c r="C962" s="731"/>
      <c r="D962" s="732"/>
      <c r="E962" s="733"/>
      <c r="F962" s="730"/>
      <c r="G962" s="731"/>
      <c r="H962" s="731"/>
      <c r="I962" s="731"/>
      <c r="J962" s="731"/>
      <c r="K962" s="731"/>
    </row>
    <row r="963">
      <c r="A963" s="408"/>
      <c r="B963" s="730"/>
      <c r="C963" s="731"/>
      <c r="D963" s="732"/>
      <c r="E963" s="733"/>
      <c r="F963" s="730"/>
      <c r="G963" s="731"/>
      <c r="H963" s="731"/>
      <c r="I963" s="731"/>
      <c r="J963" s="731"/>
      <c r="K963" s="731"/>
    </row>
    <row r="964">
      <c r="A964" s="408"/>
      <c r="B964" s="730"/>
      <c r="C964" s="731"/>
      <c r="D964" s="732"/>
      <c r="E964" s="733"/>
      <c r="F964" s="730"/>
      <c r="G964" s="731"/>
      <c r="H964" s="731"/>
      <c r="I964" s="731"/>
      <c r="J964" s="731"/>
      <c r="K964" s="731"/>
    </row>
    <row r="965">
      <c r="A965" s="408"/>
      <c r="B965" s="730"/>
      <c r="C965" s="731"/>
      <c r="D965" s="732"/>
      <c r="E965" s="733"/>
      <c r="F965" s="730"/>
      <c r="G965" s="731"/>
      <c r="H965" s="731"/>
      <c r="I965" s="731"/>
      <c r="J965" s="731"/>
      <c r="K965" s="731"/>
    </row>
    <row r="966">
      <c r="A966" s="408"/>
      <c r="B966" s="730"/>
      <c r="C966" s="731"/>
      <c r="D966" s="732"/>
      <c r="E966" s="733"/>
      <c r="F966" s="730"/>
      <c r="G966" s="731"/>
      <c r="H966" s="731"/>
      <c r="I966" s="731"/>
      <c r="J966" s="731"/>
      <c r="K966" s="731"/>
    </row>
    <row r="967">
      <c r="A967" s="408"/>
      <c r="B967" s="730"/>
      <c r="C967" s="731"/>
      <c r="D967" s="732"/>
      <c r="E967" s="733"/>
      <c r="F967" s="730"/>
      <c r="G967" s="731"/>
      <c r="H967" s="731"/>
      <c r="I967" s="731"/>
      <c r="J967" s="731"/>
      <c r="K967" s="731"/>
    </row>
    <row r="968">
      <c r="A968" s="408"/>
      <c r="B968" s="730"/>
      <c r="C968" s="731"/>
      <c r="D968" s="732"/>
      <c r="E968" s="733"/>
      <c r="F968" s="730"/>
      <c r="G968" s="731"/>
      <c r="H968" s="731"/>
      <c r="I968" s="731"/>
      <c r="J968" s="731"/>
      <c r="K968" s="731"/>
    </row>
    <row r="969">
      <c r="A969" s="408"/>
      <c r="B969" s="730"/>
      <c r="C969" s="731"/>
      <c r="D969" s="732"/>
      <c r="E969" s="733"/>
      <c r="F969" s="730"/>
      <c r="G969" s="731"/>
      <c r="H969" s="731"/>
      <c r="I969" s="731"/>
      <c r="J969" s="731"/>
      <c r="K969" s="731"/>
    </row>
    <row r="970">
      <c r="A970" s="408"/>
      <c r="B970" s="730"/>
      <c r="C970" s="731"/>
      <c r="D970" s="732"/>
      <c r="E970" s="733"/>
      <c r="F970" s="730"/>
      <c r="G970" s="731"/>
      <c r="H970" s="731"/>
      <c r="I970" s="731"/>
      <c r="J970" s="731"/>
      <c r="K970" s="731"/>
    </row>
    <row r="971">
      <c r="A971" s="408"/>
      <c r="B971" s="730"/>
      <c r="C971" s="731"/>
      <c r="D971" s="732"/>
      <c r="E971" s="733"/>
      <c r="F971" s="730"/>
      <c r="G971" s="731"/>
      <c r="H971" s="731"/>
      <c r="I971" s="731"/>
      <c r="J971" s="731"/>
      <c r="K971" s="731"/>
    </row>
    <row r="972">
      <c r="A972" s="408"/>
      <c r="B972" s="730"/>
      <c r="C972" s="731"/>
      <c r="D972" s="732"/>
      <c r="E972" s="733"/>
      <c r="F972" s="730"/>
      <c r="G972" s="731"/>
      <c r="H972" s="731"/>
      <c r="I972" s="731"/>
      <c r="J972" s="731"/>
      <c r="K972" s="731"/>
    </row>
    <row r="973">
      <c r="A973" s="408"/>
      <c r="B973" s="730"/>
      <c r="C973" s="731"/>
      <c r="D973" s="732"/>
      <c r="E973" s="733"/>
      <c r="F973" s="730"/>
      <c r="G973" s="731"/>
      <c r="H973" s="731"/>
      <c r="I973" s="731"/>
      <c r="J973" s="731"/>
      <c r="K973" s="731"/>
    </row>
    <row r="974">
      <c r="A974" s="408"/>
      <c r="B974" s="730"/>
      <c r="C974" s="731"/>
      <c r="D974" s="732"/>
      <c r="E974" s="733"/>
      <c r="F974" s="730"/>
      <c r="G974" s="731"/>
      <c r="H974" s="731"/>
      <c r="I974" s="731"/>
      <c r="J974" s="731"/>
      <c r="K974" s="731"/>
    </row>
    <row r="975">
      <c r="A975" s="408"/>
      <c r="B975" s="730"/>
      <c r="C975" s="731"/>
      <c r="D975" s="732"/>
      <c r="E975" s="733"/>
      <c r="F975" s="730"/>
      <c r="G975" s="731"/>
      <c r="H975" s="731"/>
      <c r="I975" s="731"/>
      <c r="J975" s="731"/>
      <c r="K975" s="731"/>
    </row>
    <row r="976">
      <c r="A976" s="408"/>
      <c r="B976" s="730"/>
      <c r="C976" s="731"/>
      <c r="D976" s="732"/>
      <c r="E976" s="733"/>
      <c r="F976" s="730"/>
      <c r="G976" s="731"/>
      <c r="H976" s="731"/>
      <c r="I976" s="731"/>
      <c r="J976" s="731"/>
      <c r="K976" s="731"/>
    </row>
    <row r="977">
      <c r="A977" s="408"/>
      <c r="B977" s="730"/>
      <c r="C977" s="731"/>
      <c r="D977" s="732"/>
      <c r="E977" s="733"/>
      <c r="F977" s="730"/>
      <c r="G977" s="731"/>
      <c r="H977" s="731"/>
      <c r="I977" s="731"/>
      <c r="J977" s="731"/>
      <c r="K977" s="731"/>
    </row>
    <row r="978">
      <c r="A978" s="408"/>
      <c r="B978" s="730"/>
      <c r="C978" s="731"/>
      <c r="D978" s="732"/>
      <c r="E978" s="733"/>
      <c r="F978" s="730"/>
      <c r="G978" s="731"/>
      <c r="H978" s="731"/>
      <c r="I978" s="731"/>
      <c r="J978" s="731"/>
      <c r="K978" s="731"/>
    </row>
    <row r="979">
      <c r="A979" s="408"/>
      <c r="B979" s="730"/>
      <c r="C979" s="731"/>
      <c r="D979" s="732"/>
      <c r="E979" s="733"/>
      <c r="F979" s="730"/>
      <c r="G979" s="731"/>
      <c r="H979" s="731"/>
      <c r="I979" s="731"/>
      <c r="J979" s="731"/>
      <c r="K979" s="731"/>
    </row>
    <row r="980">
      <c r="A980" s="408"/>
      <c r="B980" s="730"/>
      <c r="C980" s="731"/>
      <c r="D980" s="732"/>
      <c r="E980" s="733"/>
      <c r="F980" s="730"/>
      <c r="G980" s="731"/>
      <c r="H980" s="731"/>
      <c r="I980" s="731"/>
      <c r="J980" s="731"/>
      <c r="K980" s="731"/>
    </row>
    <row r="981">
      <c r="A981" s="408"/>
      <c r="B981" s="730"/>
      <c r="C981" s="731"/>
      <c r="D981" s="732"/>
      <c r="E981" s="733"/>
      <c r="F981" s="730"/>
      <c r="G981" s="731"/>
      <c r="H981" s="731"/>
      <c r="I981" s="731"/>
      <c r="J981" s="731"/>
      <c r="K981" s="731"/>
    </row>
    <row r="982">
      <c r="A982" s="408"/>
      <c r="B982" s="730"/>
      <c r="C982" s="731"/>
      <c r="D982" s="732"/>
      <c r="E982" s="733"/>
      <c r="F982" s="730"/>
      <c r="G982" s="731"/>
      <c r="H982" s="731"/>
      <c r="I982" s="731"/>
      <c r="J982" s="731"/>
      <c r="K982" s="731"/>
    </row>
    <row r="983">
      <c r="A983" s="408"/>
      <c r="B983" s="730"/>
      <c r="C983" s="731"/>
      <c r="D983" s="732"/>
      <c r="E983" s="733"/>
      <c r="F983" s="730"/>
      <c r="G983" s="731"/>
      <c r="H983" s="731"/>
      <c r="I983" s="731"/>
      <c r="J983" s="731"/>
      <c r="K983" s="731"/>
    </row>
    <row r="984">
      <c r="A984" s="408"/>
      <c r="B984" s="730"/>
      <c r="C984" s="731"/>
      <c r="D984" s="732"/>
      <c r="E984" s="733"/>
      <c r="F984" s="730"/>
      <c r="G984" s="731"/>
      <c r="H984" s="731"/>
      <c r="I984" s="731"/>
      <c r="J984" s="731"/>
      <c r="K984" s="731"/>
    </row>
    <row r="985">
      <c r="A985" s="408"/>
      <c r="B985" s="730"/>
      <c r="C985" s="731"/>
      <c r="D985" s="732"/>
      <c r="E985" s="733"/>
      <c r="F985" s="730"/>
      <c r="G985" s="731"/>
      <c r="H985" s="731"/>
      <c r="I985" s="731"/>
      <c r="J985" s="731"/>
      <c r="K985" s="731"/>
    </row>
    <row r="986">
      <c r="A986" s="408"/>
      <c r="B986" s="730"/>
      <c r="C986" s="731"/>
      <c r="D986" s="732"/>
      <c r="E986" s="733"/>
      <c r="F986" s="730"/>
      <c r="G986" s="731"/>
      <c r="H986" s="731"/>
      <c r="I986" s="731"/>
      <c r="J986" s="731"/>
      <c r="K986" s="731"/>
    </row>
    <row r="987">
      <c r="A987" s="408"/>
      <c r="B987" s="730"/>
      <c r="C987" s="731"/>
      <c r="D987" s="732"/>
      <c r="E987" s="733"/>
      <c r="F987" s="730"/>
      <c r="G987" s="731"/>
      <c r="H987" s="731"/>
      <c r="I987" s="731"/>
      <c r="J987" s="731"/>
      <c r="K987" s="731"/>
    </row>
    <row r="988">
      <c r="A988" s="408"/>
      <c r="B988" s="730"/>
      <c r="C988" s="731"/>
      <c r="D988" s="732"/>
      <c r="E988" s="733"/>
      <c r="F988" s="730"/>
      <c r="G988" s="731"/>
      <c r="H988" s="731"/>
      <c r="I988" s="731"/>
      <c r="J988" s="731"/>
      <c r="K988" s="731"/>
    </row>
    <row r="989">
      <c r="A989" s="408"/>
      <c r="B989" s="730"/>
      <c r="C989" s="731"/>
      <c r="D989" s="732"/>
      <c r="E989" s="733"/>
      <c r="F989" s="730"/>
      <c r="G989" s="731"/>
      <c r="H989" s="731"/>
      <c r="I989" s="731"/>
      <c r="J989" s="731"/>
      <c r="K989" s="731"/>
    </row>
    <row r="990">
      <c r="A990" s="408"/>
      <c r="B990" s="730"/>
      <c r="C990" s="731"/>
      <c r="D990" s="732"/>
      <c r="E990" s="733"/>
      <c r="F990" s="730"/>
      <c r="G990" s="731"/>
      <c r="H990" s="731"/>
      <c r="I990" s="731"/>
      <c r="J990" s="731"/>
      <c r="K990" s="731"/>
    </row>
    <row r="991">
      <c r="A991" s="408"/>
      <c r="B991" s="730"/>
      <c r="C991" s="731"/>
      <c r="D991" s="732"/>
      <c r="E991" s="733"/>
      <c r="F991" s="730"/>
      <c r="G991" s="731"/>
      <c r="H991" s="731"/>
      <c r="I991" s="731"/>
      <c r="J991" s="731"/>
      <c r="K991" s="731"/>
    </row>
    <row r="992">
      <c r="A992" s="408"/>
      <c r="B992" s="730"/>
      <c r="C992" s="731"/>
      <c r="D992" s="732"/>
      <c r="E992" s="733"/>
      <c r="F992" s="730"/>
      <c r="G992" s="731"/>
      <c r="H992" s="731"/>
      <c r="I992" s="731"/>
      <c r="J992" s="731"/>
      <c r="K992" s="731"/>
    </row>
    <row r="993">
      <c r="A993" s="408"/>
      <c r="B993" s="730"/>
      <c r="C993" s="731"/>
      <c r="D993" s="732"/>
      <c r="E993" s="733"/>
      <c r="F993" s="730"/>
      <c r="G993" s="731"/>
      <c r="H993" s="731"/>
      <c r="I993" s="731"/>
      <c r="J993" s="731"/>
      <c r="K993" s="731"/>
    </row>
    <row r="994">
      <c r="A994" s="408"/>
      <c r="B994" s="730"/>
      <c r="C994" s="731"/>
      <c r="D994" s="732"/>
      <c r="E994" s="733"/>
      <c r="F994" s="730"/>
      <c r="G994" s="731"/>
      <c r="H994" s="731"/>
      <c r="I994" s="731"/>
      <c r="J994" s="731"/>
      <c r="K994" s="731"/>
    </row>
    <row r="995">
      <c r="A995" s="408"/>
      <c r="B995" s="730"/>
      <c r="C995" s="731"/>
      <c r="D995" s="732"/>
      <c r="E995" s="733"/>
      <c r="F995" s="730"/>
      <c r="G995" s="731"/>
      <c r="H995" s="731"/>
      <c r="I995" s="731"/>
      <c r="J995" s="731"/>
      <c r="K995" s="731"/>
    </row>
    <row r="996">
      <c r="A996" s="408"/>
      <c r="B996" s="730"/>
      <c r="C996" s="731"/>
      <c r="D996" s="732"/>
      <c r="E996" s="733"/>
      <c r="F996" s="730"/>
      <c r="G996" s="731"/>
      <c r="H996" s="731"/>
      <c r="I996" s="731"/>
      <c r="J996" s="731"/>
      <c r="K996" s="731"/>
    </row>
    <row r="997">
      <c r="A997" s="408"/>
      <c r="B997" s="730"/>
      <c r="C997" s="731"/>
      <c r="D997" s="732"/>
      <c r="E997" s="733"/>
      <c r="F997" s="730"/>
      <c r="G997" s="731"/>
      <c r="H997" s="731"/>
      <c r="I997" s="731"/>
      <c r="J997" s="731"/>
      <c r="K997" s="731"/>
    </row>
    <row r="998">
      <c r="A998" s="408"/>
      <c r="B998" s="730"/>
      <c r="C998" s="731"/>
      <c r="D998" s="732"/>
      <c r="E998" s="733"/>
      <c r="F998" s="730"/>
      <c r="G998" s="731"/>
      <c r="H998" s="731"/>
      <c r="I998" s="731"/>
      <c r="J998" s="731"/>
      <c r="K998" s="731"/>
    </row>
    <row r="999">
      <c r="A999" s="408"/>
      <c r="B999" s="730"/>
      <c r="C999" s="731"/>
      <c r="D999" s="732"/>
      <c r="E999" s="733"/>
      <c r="F999" s="730"/>
      <c r="G999" s="731"/>
      <c r="H999" s="731"/>
      <c r="I999" s="731"/>
      <c r="J999" s="731"/>
      <c r="K999" s="731"/>
    </row>
    <row r="1000">
      <c r="A1000" s="408"/>
      <c r="B1000" s="730"/>
      <c r="C1000" s="731"/>
      <c r="D1000" s="732"/>
      <c r="E1000" s="733"/>
      <c r="F1000" s="730"/>
      <c r="G1000" s="731"/>
      <c r="H1000" s="731"/>
      <c r="I1000" s="731"/>
      <c r="J1000" s="731"/>
      <c r="K1000" s="731"/>
    </row>
    <row r="1001">
      <c r="A1001" s="408"/>
      <c r="B1001" s="730"/>
      <c r="C1001" s="731"/>
      <c r="D1001" s="732"/>
      <c r="E1001" s="733"/>
      <c r="F1001" s="730"/>
      <c r="G1001" s="731"/>
      <c r="H1001" s="731"/>
      <c r="I1001" s="731"/>
      <c r="J1001" s="731"/>
      <c r="K1001" s="731"/>
    </row>
    <row r="1002">
      <c r="A1002" s="408"/>
      <c r="B1002" s="730"/>
      <c r="C1002" s="731"/>
      <c r="D1002" s="732"/>
      <c r="E1002" s="733"/>
      <c r="F1002" s="730"/>
      <c r="G1002" s="731"/>
      <c r="H1002" s="731"/>
      <c r="I1002" s="731"/>
      <c r="J1002" s="731"/>
      <c r="K1002" s="731"/>
    </row>
    <row r="1003">
      <c r="A1003" s="408"/>
      <c r="B1003" s="730"/>
      <c r="C1003" s="731"/>
      <c r="D1003" s="732"/>
      <c r="E1003" s="733"/>
      <c r="F1003" s="730"/>
      <c r="G1003" s="731"/>
      <c r="H1003" s="731"/>
      <c r="I1003" s="731"/>
      <c r="J1003" s="731"/>
      <c r="K1003" s="731"/>
    </row>
    <row r="1004">
      <c r="A1004" s="408"/>
      <c r="B1004" s="730"/>
      <c r="C1004" s="731"/>
      <c r="D1004" s="732"/>
      <c r="E1004" s="733"/>
      <c r="F1004" s="730"/>
      <c r="G1004" s="731"/>
      <c r="H1004" s="731"/>
      <c r="I1004" s="731"/>
      <c r="J1004" s="731"/>
      <c r="K1004" s="731"/>
    </row>
    <row r="1005">
      <c r="A1005" s="408"/>
      <c r="B1005" s="730"/>
      <c r="C1005" s="731"/>
      <c r="D1005" s="732"/>
      <c r="E1005" s="733"/>
      <c r="F1005" s="730"/>
      <c r="G1005" s="731"/>
      <c r="H1005" s="731"/>
    </row>
    <row r="1006">
      <c r="A1006" s="408"/>
      <c r="B1006" s="730"/>
      <c r="C1006" s="731"/>
      <c r="D1006" s="732"/>
      <c r="E1006" s="733"/>
      <c r="F1006" s="730"/>
      <c r="G1006" s="731"/>
      <c r="H1006" s="731"/>
    </row>
    <row r="1007">
      <c r="A1007" s="408"/>
      <c r="B1007" s="730"/>
      <c r="C1007" s="731"/>
      <c r="D1007" s="732"/>
      <c r="E1007" s="733"/>
      <c r="F1007" s="730"/>
      <c r="G1007" s="731"/>
      <c r="H1007" s="731"/>
    </row>
    <row r="1008">
      <c r="A1008" s="408"/>
      <c r="B1008" s="730"/>
      <c r="C1008" s="731"/>
      <c r="D1008" s="732"/>
      <c r="E1008" s="733"/>
      <c r="F1008" s="730"/>
      <c r="G1008" s="731"/>
      <c r="H1008" s="731"/>
    </row>
    <row r="1009">
      <c r="A1009" s="408"/>
      <c r="B1009" s="730"/>
      <c r="C1009" s="731"/>
      <c r="D1009" s="732"/>
      <c r="E1009" s="733"/>
      <c r="F1009" s="730"/>
      <c r="G1009" s="731"/>
      <c r="H1009" s="731"/>
    </row>
    <row r="1010">
      <c r="A1010" s="408"/>
      <c r="B1010" s="730"/>
      <c r="C1010" s="731"/>
      <c r="D1010" s="732"/>
      <c r="E1010" s="733"/>
      <c r="F1010" s="730"/>
      <c r="G1010" s="731"/>
      <c r="H1010" s="731"/>
    </row>
    <row r="1011">
      <c r="A1011" s="408"/>
      <c r="B1011" s="730"/>
      <c r="C1011" s="731"/>
      <c r="D1011" s="732"/>
      <c r="E1011" s="733"/>
      <c r="F1011" s="730"/>
      <c r="G1011" s="731"/>
      <c r="H1011" s="731"/>
    </row>
    <row r="1012">
      <c r="A1012" s="408"/>
      <c r="B1012" s="730"/>
      <c r="C1012" s="731"/>
      <c r="D1012" s="732"/>
      <c r="E1012" s="733"/>
      <c r="F1012" s="730"/>
      <c r="G1012" s="731"/>
      <c r="H1012" s="731"/>
    </row>
    <row r="1013">
      <c r="A1013" s="408"/>
      <c r="B1013" s="730"/>
      <c r="C1013" s="731"/>
      <c r="D1013" s="732"/>
      <c r="E1013" s="733"/>
      <c r="F1013" s="730"/>
      <c r="G1013" s="731"/>
      <c r="H1013" s="731"/>
    </row>
    <row r="1014">
      <c r="A1014" s="408"/>
      <c r="B1014" s="730"/>
      <c r="C1014" s="731"/>
      <c r="D1014" s="732"/>
      <c r="E1014" s="733"/>
      <c r="F1014" s="730"/>
      <c r="G1014" s="731"/>
      <c r="H1014" s="731"/>
    </row>
    <row r="1015">
      <c r="A1015" s="408"/>
      <c r="B1015" s="730"/>
      <c r="C1015" s="731"/>
      <c r="D1015" s="732"/>
      <c r="E1015" s="733"/>
      <c r="F1015" s="730"/>
      <c r="G1015" s="731"/>
      <c r="H1015" s="731"/>
    </row>
    <row r="1016">
      <c r="A1016" s="408"/>
      <c r="B1016" s="730"/>
      <c r="C1016" s="731"/>
      <c r="D1016" s="732"/>
      <c r="E1016" s="733"/>
      <c r="F1016" s="730"/>
      <c r="G1016" s="731"/>
      <c r="H1016" s="731"/>
    </row>
    <row r="1017">
      <c r="A1017" s="408"/>
      <c r="B1017" s="730"/>
      <c r="C1017" s="731"/>
      <c r="D1017" s="732"/>
      <c r="E1017" s="733"/>
      <c r="F1017" s="730"/>
      <c r="G1017" s="731"/>
      <c r="H1017" s="731"/>
    </row>
  </sheetData>
  <mergeCells count="7">
    <mergeCell ref="A2:E2"/>
    <mergeCell ref="A14:E14"/>
    <mergeCell ref="A20:E20"/>
    <mergeCell ref="A40:E40"/>
    <mergeCell ref="A48:E48"/>
    <mergeCell ref="A62:E62"/>
    <mergeCell ref="A70:E7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4.5"/>
  </cols>
  <sheetData>
    <row r="1">
      <c r="A1" s="511" t="s">
        <v>215</v>
      </c>
      <c r="B1" s="513" t="s">
        <v>216</v>
      </c>
      <c r="C1" s="514" t="s">
        <v>217</v>
      </c>
      <c r="D1" s="515" t="s">
        <v>218</v>
      </c>
      <c r="E1" s="516" t="s">
        <v>219</v>
      </c>
      <c r="F1" s="517" t="s">
        <v>220</v>
      </c>
      <c r="G1" s="518" t="s">
        <v>221</v>
      </c>
      <c r="H1" s="519" t="s">
        <v>16</v>
      </c>
      <c r="I1" s="520" t="s">
        <v>223</v>
      </c>
      <c r="J1" s="522" t="s">
        <v>224</v>
      </c>
      <c r="K1" s="523" t="s">
        <v>225</v>
      </c>
      <c r="L1" s="524"/>
      <c r="M1" s="524" t="s">
        <v>226</v>
      </c>
      <c r="N1" s="524" t="s">
        <v>227</v>
      </c>
      <c r="O1" s="526"/>
      <c r="P1" s="527" t="s">
        <v>228</v>
      </c>
      <c r="Q1" s="527" t="s">
        <v>230</v>
      </c>
      <c r="R1" s="527"/>
      <c r="S1" s="528"/>
      <c r="T1" s="528"/>
      <c r="U1" s="528"/>
      <c r="V1" s="528"/>
      <c r="W1" s="528"/>
      <c r="X1" s="529"/>
      <c r="Y1" s="528"/>
      <c r="Z1" s="529"/>
      <c r="AA1" s="528"/>
      <c r="AB1" s="528"/>
      <c r="AC1" s="528"/>
      <c r="AD1" s="528"/>
      <c r="AE1" s="528"/>
      <c r="AF1" s="529"/>
      <c r="AG1" s="528"/>
    </row>
    <row r="2">
      <c r="A2" s="530" t="s">
        <v>231</v>
      </c>
      <c r="B2" s="531" t="s">
        <v>27</v>
      </c>
      <c r="C2" s="532" t="s">
        <v>28</v>
      </c>
      <c r="D2" s="533" t="s">
        <v>27</v>
      </c>
      <c r="E2" s="532" t="s">
        <v>28</v>
      </c>
      <c r="F2" s="533" t="s">
        <v>27</v>
      </c>
      <c r="G2" s="530" t="s">
        <v>28</v>
      </c>
      <c r="H2" s="534"/>
      <c r="I2" s="535"/>
      <c r="J2" s="537"/>
      <c r="K2" s="538"/>
      <c r="L2" s="539"/>
      <c r="M2" s="539" t="s">
        <v>233</v>
      </c>
      <c r="N2" s="539"/>
      <c r="O2" s="540">
        <v>1.0</v>
      </c>
      <c r="P2" s="540" t="s">
        <v>234</v>
      </c>
      <c r="Q2" s="540"/>
      <c r="R2" s="540">
        <v>1.0</v>
      </c>
      <c r="S2" s="529"/>
      <c r="T2" s="529"/>
      <c r="U2" s="529"/>
      <c r="V2" s="529"/>
      <c r="W2" s="529"/>
      <c r="X2" s="529"/>
      <c r="Y2" s="529"/>
      <c r="Z2" s="529"/>
      <c r="AA2" s="529"/>
      <c r="AB2" s="529"/>
      <c r="AC2" s="529"/>
      <c r="AD2" s="541"/>
      <c r="AE2" s="529"/>
      <c r="AF2" s="529"/>
      <c r="AG2" s="529"/>
    </row>
    <row r="3">
      <c r="A3" s="542" t="s">
        <v>235</v>
      </c>
      <c r="B3" s="543" t="s">
        <v>237</v>
      </c>
      <c r="D3" s="544" t="s">
        <v>239</v>
      </c>
      <c r="E3" s="545"/>
      <c r="F3" s="544" t="s">
        <v>240</v>
      </c>
      <c r="G3" s="545"/>
      <c r="H3" s="546"/>
      <c r="I3" s="547"/>
      <c r="J3" s="550"/>
      <c r="K3" s="551"/>
      <c r="L3" s="552"/>
      <c r="M3" s="552">
        <f t="shared" ref="M3:M21" si="1">CEILING(1000/O3,1)</f>
        <v>500</v>
      </c>
      <c r="N3" s="552">
        <f t="shared" ref="N3:N21" si="2">CEILING(1000/(O3-1)-1,1)</f>
        <v>999</v>
      </c>
      <c r="O3" s="558">
        <v>2.0</v>
      </c>
      <c r="P3" s="559">
        <f t="shared" ref="P3:P21" si="3">CEILING(760/R3,1)</f>
        <v>380</v>
      </c>
      <c r="Q3" s="559">
        <f t="shared" ref="Q3:Q21" si="4">CEILING(760/(R3-1)-1,1)</f>
        <v>759</v>
      </c>
      <c r="R3" s="558">
        <v>2.0</v>
      </c>
      <c r="S3" s="529"/>
      <c r="T3" s="529"/>
      <c r="U3" s="529"/>
      <c r="V3" s="529"/>
      <c r="W3" s="529"/>
      <c r="X3" s="529"/>
      <c r="Y3" s="529"/>
      <c r="Z3" s="529"/>
      <c r="AA3" s="529"/>
      <c r="AB3" s="529"/>
      <c r="AC3" s="529"/>
      <c r="AD3" s="541"/>
      <c r="AE3" s="529"/>
      <c r="AF3" s="529"/>
      <c r="AG3" s="529"/>
    </row>
    <row r="4">
      <c r="A4" s="564" t="s">
        <v>246</v>
      </c>
      <c r="B4" s="565"/>
      <c r="C4" s="565"/>
      <c r="D4" s="565"/>
      <c r="E4" s="565"/>
      <c r="F4" s="565"/>
      <c r="G4" s="565"/>
      <c r="H4" s="565"/>
      <c r="I4" s="535"/>
      <c r="J4" s="567"/>
      <c r="K4" s="568"/>
      <c r="L4" s="539"/>
      <c r="M4" s="539">
        <f t="shared" si="1"/>
        <v>334</v>
      </c>
      <c r="N4" s="539">
        <f t="shared" si="2"/>
        <v>499</v>
      </c>
      <c r="O4" s="540">
        <v>3.0</v>
      </c>
      <c r="P4" s="570">
        <f t="shared" si="3"/>
        <v>254</v>
      </c>
      <c r="Q4" s="570">
        <f t="shared" si="4"/>
        <v>379</v>
      </c>
      <c r="R4" s="540">
        <v>3.0</v>
      </c>
      <c r="S4" s="528"/>
      <c r="T4" s="528"/>
      <c r="U4" s="528"/>
      <c r="V4" s="528"/>
      <c r="W4" s="528"/>
      <c r="X4" s="528"/>
      <c r="Y4" s="528"/>
      <c r="Z4" s="528"/>
      <c r="AA4" s="528"/>
      <c r="AB4" s="528"/>
      <c r="AC4" s="528"/>
      <c r="AD4" s="528"/>
      <c r="AE4" s="541"/>
      <c r="AF4" s="541"/>
      <c r="AG4" s="541"/>
    </row>
    <row r="5">
      <c r="A5" s="575" t="s">
        <v>30</v>
      </c>
      <c r="B5" s="547">
        <f>'RAW Shot to kill'!X5</f>
        <v>1</v>
      </c>
      <c r="C5" s="577">
        <v>2.0</v>
      </c>
      <c r="D5" s="579">
        <f>'RAW Shot to kill'!X4</f>
        <v>1</v>
      </c>
      <c r="E5" s="580">
        <f>'RAW Shot to kill'!Y4</f>
        <v>2</v>
      </c>
      <c r="F5" s="581">
        <f>'RAW Shot to kill'!X3</f>
        <v>1</v>
      </c>
      <c r="G5" s="583">
        <v>1.0</v>
      </c>
      <c r="H5" s="584" t="s">
        <v>251</v>
      </c>
      <c r="I5" s="585" t="s">
        <v>253</v>
      </c>
      <c r="J5" s="588" t="s">
        <v>253</v>
      </c>
      <c r="K5" s="589" t="s">
        <v>43</v>
      </c>
      <c r="L5" s="552"/>
      <c r="M5" s="552">
        <f t="shared" si="1"/>
        <v>250</v>
      </c>
      <c r="N5" s="552">
        <f t="shared" si="2"/>
        <v>333</v>
      </c>
      <c r="O5" s="558">
        <v>4.0</v>
      </c>
      <c r="P5" s="559">
        <f t="shared" si="3"/>
        <v>190</v>
      </c>
      <c r="Q5" s="559">
        <f t="shared" si="4"/>
        <v>253</v>
      </c>
      <c r="R5" s="558">
        <v>4.0</v>
      </c>
      <c r="S5" s="528"/>
      <c r="T5" s="528"/>
      <c r="U5" s="528"/>
      <c r="V5" s="528"/>
      <c r="W5" s="528"/>
      <c r="X5" s="528"/>
      <c r="Y5" s="528"/>
      <c r="Z5" s="528"/>
      <c r="AA5" s="528"/>
      <c r="AB5" s="528"/>
      <c r="AC5" s="528"/>
      <c r="AD5" s="528"/>
      <c r="AE5" s="541"/>
      <c r="AF5" s="541"/>
      <c r="AG5" s="541"/>
    </row>
    <row r="6">
      <c r="A6" s="591" t="s">
        <v>44</v>
      </c>
      <c r="B6" s="592"/>
      <c r="C6" s="593"/>
      <c r="D6" s="598">
        <f>'RAW Shot to kill'!X7</f>
        <v>1</v>
      </c>
      <c r="E6" s="602">
        <v>1.0</v>
      </c>
      <c r="F6" s="603">
        <f>'RAW Shot to kill'!X6</f>
        <v>1</v>
      </c>
      <c r="G6" s="604">
        <v>1.0</v>
      </c>
      <c r="H6" s="606" t="s">
        <v>260</v>
      </c>
      <c r="I6" s="592"/>
      <c r="J6" s="567" t="s">
        <v>43</v>
      </c>
      <c r="K6" s="568" t="s">
        <v>43</v>
      </c>
      <c r="L6" s="539"/>
      <c r="M6" s="539">
        <f t="shared" si="1"/>
        <v>200</v>
      </c>
      <c r="N6" s="539">
        <f t="shared" si="2"/>
        <v>249</v>
      </c>
      <c r="O6" s="540">
        <v>5.0</v>
      </c>
      <c r="P6" s="570">
        <f t="shared" si="3"/>
        <v>152</v>
      </c>
      <c r="Q6" s="570">
        <f t="shared" si="4"/>
        <v>189</v>
      </c>
      <c r="R6" s="540">
        <v>5.0</v>
      </c>
      <c r="S6" s="528"/>
      <c r="T6" s="528"/>
      <c r="U6" s="528"/>
      <c r="V6" s="528"/>
      <c r="W6" s="528"/>
      <c r="X6" s="528"/>
      <c r="Y6" s="528"/>
      <c r="Z6" s="528"/>
      <c r="AA6" s="528"/>
      <c r="AB6" s="528"/>
      <c r="AC6" s="528"/>
      <c r="AD6" s="528"/>
      <c r="AE6" s="528"/>
      <c r="AF6" s="528"/>
      <c r="AG6" s="528"/>
    </row>
    <row r="7">
      <c r="A7" s="611" t="s">
        <v>48</v>
      </c>
      <c r="B7" s="585"/>
      <c r="C7" s="612"/>
      <c r="D7" s="613">
        <f>'RAW Shot to kill'!X9</f>
        <v>1</v>
      </c>
      <c r="E7" s="614">
        <v>1.0</v>
      </c>
      <c r="F7" s="615">
        <f>'RAW Shot to kill'!X8</f>
        <v>1</v>
      </c>
      <c r="G7" s="616">
        <v>1.0</v>
      </c>
      <c r="H7" s="617" t="s">
        <v>264</v>
      </c>
      <c r="I7" s="585"/>
      <c r="J7" s="588" t="s">
        <v>43</v>
      </c>
      <c r="K7" s="589" t="s">
        <v>43</v>
      </c>
      <c r="L7" s="552"/>
      <c r="M7" s="552">
        <f t="shared" si="1"/>
        <v>167</v>
      </c>
      <c r="N7" s="552">
        <f t="shared" si="2"/>
        <v>199</v>
      </c>
      <c r="O7" s="558">
        <v>6.0</v>
      </c>
      <c r="P7" s="559">
        <f t="shared" si="3"/>
        <v>127</v>
      </c>
      <c r="Q7" s="559">
        <f t="shared" si="4"/>
        <v>151</v>
      </c>
      <c r="R7" s="558">
        <v>6.0</v>
      </c>
      <c r="S7" s="528"/>
      <c r="T7" s="528"/>
      <c r="U7" s="528"/>
      <c r="V7" s="528"/>
      <c r="W7" s="528"/>
      <c r="X7" s="528"/>
      <c r="Y7" s="528"/>
      <c r="Z7" s="528"/>
      <c r="AA7" s="528"/>
      <c r="AB7" s="528"/>
      <c r="AC7" s="528"/>
      <c r="AD7" s="528"/>
      <c r="AE7" s="541"/>
      <c r="AF7" s="541"/>
      <c r="AG7" s="541"/>
    </row>
    <row r="8">
      <c r="A8" s="591" t="s">
        <v>51</v>
      </c>
      <c r="B8" s="592"/>
      <c r="C8" s="593"/>
      <c r="D8" s="598">
        <f>'RAW Shot to kill'!X11</f>
        <v>1</v>
      </c>
      <c r="E8" s="602">
        <v>1.0</v>
      </c>
      <c r="F8" s="603">
        <f>'RAW Shot to kill'!X10</f>
        <v>1</v>
      </c>
      <c r="G8" s="604">
        <v>1.0</v>
      </c>
      <c r="H8" s="606" t="s">
        <v>266</v>
      </c>
      <c r="I8" s="592"/>
      <c r="J8" s="567" t="s">
        <v>43</v>
      </c>
      <c r="K8" s="568" t="s">
        <v>43</v>
      </c>
      <c r="L8" s="539"/>
      <c r="M8" s="539">
        <f t="shared" si="1"/>
        <v>143</v>
      </c>
      <c r="N8" s="539">
        <f t="shared" si="2"/>
        <v>166</v>
      </c>
      <c r="O8" s="540">
        <v>7.0</v>
      </c>
      <c r="P8" s="570">
        <f t="shared" si="3"/>
        <v>109</v>
      </c>
      <c r="Q8" s="570">
        <f t="shared" si="4"/>
        <v>126</v>
      </c>
      <c r="R8" s="540">
        <v>7.0</v>
      </c>
      <c r="S8" s="528"/>
      <c r="T8" s="528"/>
      <c r="U8" s="528"/>
      <c r="V8" s="528"/>
      <c r="W8" s="528"/>
      <c r="X8" s="528"/>
      <c r="Y8" s="528"/>
      <c r="Z8" s="528"/>
      <c r="AA8" s="528"/>
      <c r="AB8" s="528"/>
      <c r="AC8" s="528"/>
      <c r="AD8" s="528"/>
      <c r="AE8" s="528"/>
      <c r="AF8" s="528"/>
      <c r="AG8" s="528"/>
    </row>
    <row r="9">
      <c r="A9" s="611" t="s">
        <v>53</v>
      </c>
      <c r="B9" s="585"/>
      <c r="C9" s="612"/>
      <c r="D9" s="613">
        <f>'RAW Shot to kill'!X13</f>
        <v>1</v>
      </c>
      <c r="E9" s="614">
        <v>1.0</v>
      </c>
      <c r="F9" s="615">
        <f>'RAW Shot to kill'!X12</f>
        <v>1</v>
      </c>
      <c r="G9" s="616">
        <v>1.0</v>
      </c>
      <c r="H9" s="617" t="s">
        <v>264</v>
      </c>
      <c r="I9" s="585"/>
      <c r="J9" s="588" t="s">
        <v>43</v>
      </c>
      <c r="K9" s="589" t="s">
        <v>43</v>
      </c>
      <c r="L9" s="552"/>
      <c r="M9" s="552">
        <f t="shared" si="1"/>
        <v>125</v>
      </c>
      <c r="N9" s="552">
        <f t="shared" si="2"/>
        <v>142</v>
      </c>
      <c r="O9" s="558">
        <v>8.0</v>
      </c>
      <c r="P9" s="559">
        <f t="shared" si="3"/>
        <v>95</v>
      </c>
      <c r="Q9" s="559">
        <f t="shared" si="4"/>
        <v>108</v>
      </c>
      <c r="R9" s="558">
        <v>8.0</v>
      </c>
      <c r="S9" s="528"/>
      <c r="T9" s="528"/>
      <c r="U9" s="528"/>
      <c r="V9" s="528"/>
      <c r="W9" s="528"/>
      <c r="X9" s="528"/>
      <c r="Y9" s="528"/>
      <c r="Z9" s="528"/>
      <c r="AA9" s="528"/>
      <c r="AB9" s="528"/>
      <c r="AC9" s="528"/>
      <c r="AD9" s="528"/>
      <c r="AE9" s="528"/>
      <c r="AF9" s="528"/>
      <c r="AG9" s="528"/>
    </row>
    <row r="10">
      <c r="A10" s="591" t="s">
        <v>55</v>
      </c>
      <c r="B10" s="592">
        <f>'RAW Shot to kill'!X16</f>
        <v>1</v>
      </c>
      <c r="C10" s="593">
        <v>1.0</v>
      </c>
      <c r="D10" s="598">
        <f>'RAW Shot to kill'!X15</f>
        <v>1</v>
      </c>
      <c r="E10" s="602">
        <v>1.0</v>
      </c>
      <c r="F10" s="603">
        <f>'RAW Shot to kill'!X14</f>
        <v>1</v>
      </c>
      <c r="G10" s="604">
        <f>'RAW Shot to kill'!Y14</f>
        <v>1</v>
      </c>
      <c r="H10" s="606" t="s">
        <v>271</v>
      </c>
      <c r="I10" s="592" t="s">
        <v>43</v>
      </c>
      <c r="J10" s="567" t="s">
        <v>43</v>
      </c>
      <c r="K10" s="568" t="s">
        <v>43</v>
      </c>
      <c r="L10" s="539"/>
      <c r="M10" s="539">
        <f t="shared" si="1"/>
        <v>112</v>
      </c>
      <c r="N10" s="539">
        <f t="shared" si="2"/>
        <v>124</v>
      </c>
      <c r="O10" s="540">
        <v>9.0</v>
      </c>
      <c r="P10" s="570">
        <f t="shared" si="3"/>
        <v>85</v>
      </c>
      <c r="Q10" s="570">
        <f t="shared" si="4"/>
        <v>94</v>
      </c>
      <c r="R10" s="540">
        <v>9.0</v>
      </c>
      <c r="S10" s="528"/>
      <c r="T10" s="528"/>
      <c r="U10" s="528"/>
      <c r="V10" s="528"/>
      <c r="W10" s="528"/>
      <c r="X10" s="528"/>
      <c r="Y10" s="528"/>
      <c r="Z10" s="528"/>
      <c r="AA10" s="528"/>
      <c r="AB10" s="528"/>
      <c r="AC10" s="528"/>
      <c r="AD10" s="528"/>
      <c r="AE10" s="541"/>
      <c r="AF10" s="541"/>
      <c r="AG10" s="541"/>
    </row>
    <row r="11">
      <c r="A11" s="611" t="s">
        <v>57</v>
      </c>
      <c r="B11" s="585"/>
      <c r="C11" s="612"/>
      <c r="D11" s="613">
        <f>'RAW Shot to kill'!X18</f>
        <v>1</v>
      </c>
      <c r="E11" s="614">
        <f>'RAW Shot to kill'!Y18</f>
        <v>1</v>
      </c>
      <c r="F11" s="615">
        <f>'RAW Shot to kill'!X17</f>
        <v>1</v>
      </c>
      <c r="G11" s="616">
        <f>'RAW Shot to kill'!Y17</f>
        <v>1</v>
      </c>
      <c r="H11" s="617" t="s">
        <v>272</v>
      </c>
      <c r="I11" s="585"/>
      <c r="J11" s="588" t="s">
        <v>43</v>
      </c>
      <c r="K11" s="589" t="s">
        <v>43</v>
      </c>
      <c r="L11" s="552"/>
      <c r="M11" s="552">
        <f t="shared" si="1"/>
        <v>100</v>
      </c>
      <c r="N11" s="552">
        <f t="shared" si="2"/>
        <v>111</v>
      </c>
      <c r="O11" s="558">
        <v>10.0</v>
      </c>
      <c r="P11" s="559">
        <f t="shared" si="3"/>
        <v>76</v>
      </c>
      <c r="Q11" s="559">
        <f t="shared" si="4"/>
        <v>84</v>
      </c>
      <c r="R11" s="558">
        <v>10.0</v>
      </c>
      <c r="S11" s="528"/>
      <c r="T11" s="528"/>
      <c r="U11" s="528"/>
      <c r="V11" s="528"/>
      <c r="W11" s="528"/>
      <c r="X11" s="528"/>
      <c r="Y11" s="528"/>
      <c r="Z11" s="528"/>
      <c r="AA11" s="528"/>
      <c r="AB11" s="528"/>
      <c r="AC11" s="528"/>
      <c r="AD11" s="541"/>
      <c r="AE11" s="541"/>
      <c r="AF11" s="541"/>
      <c r="AG11" s="541"/>
    </row>
    <row r="12">
      <c r="A12" s="591" t="s">
        <v>273</v>
      </c>
      <c r="B12" s="592"/>
      <c r="C12" s="593"/>
      <c r="D12" s="598">
        <f>'RAW Shot to kill'!X20</f>
        <v>1</v>
      </c>
      <c r="E12" s="602">
        <f>'RAW Shot to kill'!Y20</f>
        <v>1</v>
      </c>
      <c r="F12" s="603">
        <f>'RAW Shot to kill'!X19</f>
        <v>1</v>
      </c>
      <c r="G12" s="604">
        <f>'RAW Shot to kill'!Y19</f>
        <v>1</v>
      </c>
      <c r="H12" s="626"/>
      <c r="I12" s="592"/>
      <c r="J12" s="567" t="s">
        <v>43</v>
      </c>
      <c r="K12" s="568" t="s">
        <v>43</v>
      </c>
      <c r="L12" s="539"/>
      <c r="M12" s="539">
        <f t="shared" si="1"/>
        <v>91</v>
      </c>
      <c r="N12" s="539">
        <f t="shared" si="2"/>
        <v>99</v>
      </c>
      <c r="O12" s="540">
        <v>11.0</v>
      </c>
      <c r="P12" s="570">
        <f t="shared" si="3"/>
        <v>70</v>
      </c>
      <c r="Q12" s="570">
        <f t="shared" si="4"/>
        <v>75</v>
      </c>
      <c r="R12" s="540">
        <v>11.0</v>
      </c>
      <c r="S12" s="528"/>
      <c r="T12" s="528"/>
      <c r="U12" s="528"/>
      <c r="V12" s="528"/>
      <c r="W12" s="528"/>
      <c r="X12" s="528"/>
      <c r="Y12" s="528"/>
      <c r="Z12" s="528"/>
      <c r="AA12" s="528"/>
      <c r="AB12" s="528"/>
      <c r="AC12" s="528"/>
      <c r="AD12" s="528"/>
      <c r="AE12" s="528"/>
      <c r="AF12" s="528"/>
      <c r="AG12" s="528"/>
    </row>
    <row r="13">
      <c r="A13" s="611" t="s">
        <v>136</v>
      </c>
      <c r="B13" s="585"/>
      <c r="C13" s="612"/>
      <c r="D13" s="613">
        <f>'RAW Shot to kill'!X21</f>
        <v>1</v>
      </c>
      <c r="E13" s="614">
        <v>1.0</v>
      </c>
      <c r="F13" s="615"/>
      <c r="G13" s="616"/>
      <c r="H13" s="617" t="s">
        <v>275</v>
      </c>
      <c r="I13" s="585"/>
      <c r="J13" s="588" t="s">
        <v>43</v>
      </c>
      <c r="K13" s="589"/>
      <c r="L13" s="552"/>
      <c r="M13" s="552">
        <f t="shared" si="1"/>
        <v>84</v>
      </c>
      <c r="N13" s="552">
        <f t="shared" si="2"/>
        <v>90</v>
      </c>
      <c r="O13" s="558">
        <v>12.0</v>
      </c>
      <c r="P13" s="559">
        <f t="shared" si="3"/>
        <v>64</v>
      </c>
      <c r="Q13" s="559">
        <f t="shared" si="4"/>
        <v>69</v>
      </c>
      <c r="R13" s="558">
        <v>12.0</v>
      </c>
      <c r="S13" s="528"/>
      <c r="T13" s="528"/>
      <c r="U13" s="528"/>
      <c r="V13" s="528"/>
      <c r="W13" s="528"/>
      <c r="X13" s="528"/>
      <c r="Y13" s="528"/>
      <c r="Z13" s="528"/>
      <c r="AA13" s="528"/>
      <c r="AB13" s="528"/>
      <c r="AC13" s="528"/>
      <c r="AD13" s="528"/>
      <c r="AE13" s="529"/>
      <c r="AF13" s="541"/>
      <c r="AG13" s="541"/>
    </row>
    <row r="14">
      <c r="A14" s="591" t="s">
        <v>114</v>
      </c>
      <c r="B14" s="592"/>
      <c r="C14" s="593"/>
      <c r="D14" s="598">
        <f>'RAW Shot to kill'!X22</f>
        <v>1</v>
      </c>
      <c r="E14" s="602">
        <f>'RAW Shot to kill'!Y22</f>
        <v>1</v>
      </c>
      <c r="F14" s="603"/>
      <c r="G14" s="604"/>
      <c r="H14" s="606" t="s">
        <v>278</v>
      </c>
      <c r="I14" s="592"/>
      <c r="J14" s="567" t="s">
        <v>43</v>
      </c>
      <c r="K14" s="568"/>
      <c r="L14" s="539"/>
      <c r="M14" s="539">
        <f t="shared" si="1"/>
        <v>77</v>
      </c>
      <c r="N14" s="539">
        <f t="shared" si="2"/>
        <v>83</v>
      </c>
      <c r="O14" s="540">
        <v>13.0</v>
      </c>
      <c r="P14" s="570">
        <f t="shared" si="3"/>
        <v>59</v>
      </c>
      <c r="Q14" s="570">
        <f t="shared" si="4"/>
        <v>63</v>
      </c>
      <c r="R14" s="540">
        <v>13.0</v>
      </c>
      <c r="S14" s="528"/>
      <c r="T14" s="528"/>
      <c r="U14" s="528"/>
      <c r="V14" s="528"/>
      <c r="W14" s="528"/>
      <c r="X14" s="528"/>
      <c r="Y14" s="528"/>
      <c r="Z14" s="528"/>
      <c r="AA14" s="528"/>
      <c r="AB14" s="528"/>
      <c r="AC14" s="528"/>
      <c r="AD14" s="528"/>
      <c r="AE14" s="529"/>
      <c r="AF14" s="541"/>
      <c r="AG14" s="541"/>
    </row>
    <row r="15">
      <c r="A15" s="632"/>
      <c r="B15" s="633"/>
      <c r="C15" s="634"/>
      <c r="D15" s="635"/>
      <c r="E15" s="636"/>
      <c r="F15" s="637"/>
      <c r="G15" s="638"/>
      <c r="H15" s="639"/>
      <c r="I15" s="585"/>
      <c r="J15" s="588"/>
      <c r="K15" s="589"/>
      <c r="L15" s="552"/>
      <c r="M15" s="552">
        <f t="shared" si="1"/>
        <v>72</v>
      </c>
      <c r="N15" s="552">
        <f t="shared" si="2"/>
        <v>76</v>
      </c>
      <c r="O15" s="558">
        <v>14.0</v>
      </c>
      <c r="P15" s="559">
        <f t="shared" si="3"/>
        <v>55</v>
      </c>
      <c r="Q15" s="559">
        <f t="shared" si="4"/>
        <v>58</v>
      </c>
      <c r="R15" s="558">
        <v>14.0</v>
      </c>
      <c r="S15" s="52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41"/>
      <c r="AE15" s="541"/>
      <c r="AF15" s="541"/>
      <c r="AG15" s="541"/>
    </row>
    <row r="16">
      <c r="A16" s="564" t="s">
        <v>282</v>
      </c>
      <c r="B16" s="565"/>
      <c r="C16" s="565"/>
      <c r="D16" s="565"/>
      <c r="E16" s="565"/>
      <c r="F16" s="565"/>
      <c r="G16" s="565"/>
      <c r="H16" s="565"/>
      <c r="I16" s="592"/>
      <c r="J16" s="567"/>
      <c r="K16" s="568"/>
      <c r="L16" s="539"/>
      <c r="M16" s="539">
        <f t="shared" si="1"/>
        <v>67</v>
      </c>
      <c r="N16" s="539">
        <f t="shared" si="2"/>
        <v>71</v>
      </c>
      <c r="O16" s="540">
        <v>15.0</v>
      </c>
      <c r="P16" s="570">
        <f t="shared" si="3"/>
        <v>51</v>
      </c>
      <c r="Q16" s="570">
        <f t="shared" si="4"/>
        <v>54</v>
      </c>
      <c r="R16" s="540">
        <v>15.0</v>
      </c>
      <c r="S16" s="528"/>
      <c r="T16" s="528"/>
      <c r="U16" s="528"/>
      <c r="V16" s="528"/>
      <c r="W16" s="528"/>
      <c r="X16" s="528"/>
      <c r="Y16" s="528"/>
      <c r="Z16" s="528"/>
      <c r="AA16" s="528"/>
      <c r="AB16" s="528"/>
      <c r="AC16" s="528"/>
      <c r="AD16" s="528"/>
      <c r="AE16" s="528"/>
      <c r="AF16" s="528"/>
      <c r="AG16" s="528"/>
    </row>
    <row r="17">
      <c r="A17" s="575" t="s">
        <v>60</v>
      </c>
      <c r="B17" s="547">
        <v>1.0</v>
      </c>
      <c r="C17" s="577">
        <v>3.0</v>
      </c>
      <c r="D17" s="579">
        <v>1.0</v>
      </c>
      <c r="E17" s="580">
        <v>2.0</v>
      </c>
      <c r="F17" s="581"/>
      <c r="G17" s="583"/>
      <c r="H17" s="642"/>
      <c r="I17" s="585"/>
      <c r="J17" s="588"/>
      <c r="K17" s="589"/>
      <c r="L17" s="552"/>
      <c r="M17" s="552">
        <f t="shared" si="1"/>
        <v>63</v>
      </c>
      <c r="N17" s="552">
        <f t="shared" si="2"/>
        <v>66</v>
      </c>
      <c r="O17" s="558">
        <v>16.0</v>
      </c>
      <c r="P17" s="559">
        <f t="shared" si="3"/>
        <v>48</v>
      </c>
      <c r="Q17" s="559">
        <f t="shared" si="4"/>
        <v>50</v>
      </c>
      <c r="R17" s="558">
        <v>16.0</v>
      </c>
      <c r="S17" s="528"/>
      <c r="T17" s="528"/>
      <c r="U17" s="528"/>
      <c r="V17" s="528"/>
      <c r="W17" s="528"/>
      <c r="X17" s="528"/>
      <c r="Y17" s="528"/>
      <c r="Z17" s="528"/>
      <c r="AA17" s="528"/>
      <c r="AB17" s="528"/>
      <c r="AC17" s="528"/>
      <c r="AD17" s="528"/>
      <c r="AE17" s="541"/>
      <c r="AF17" s="541"/>
      <c r="AG17" s="541"/>
    </row>
    <row r="18">
      <c r="A18" s="591" t="s">
        <v>62</v>
      </c>
      <c r="B18" s="592">
        <v>2.0</v>
      </c>
      <c r="C18" s="593">
        <v>3.0</v>
      </c>
      <c r="D18" s="598">
        <v>1.0</v>
      </c>
      <c r="E18" s="602">
        <v>3.0</v>
      </c>
      <c r="F18" s="603"/>
      <c r="G18" s="645"/>
      <c r="H18" s="626"/>
      <c r="I18" s="592"/>
      <c r="J18" s="567"/>
      <c r="K18" s="568"/>
      <c r="L18" s="539"/>
      <c r="M18" s="539">
        <f t="shared" si="1"/>
        <v>59</v>
      </c>
      <c r="N18" s="539">
        <f t="shared" si="2"/>
        <v>62</v>
      </c>
      <c r="O18" s="540">
        <v>17.0</v>
      </c>
      <c r="P18" s="570">
        <f t="shared" si="3"/>
        <v>45</v>
      </c>
      <c r="Q18" s="570">
        <f t="shared" si="4"/>
        <v>47</v>
      </c>
      <c r="R18" s="540">
        <v>17.0</v>
      </c>
      <c r="S18" s="528"/>
      <c r="T18" s="528"/>
      <c r="U18" s="528"/>
      <c r="V18" s="528"/>
      <c r="W18" s="528"/>
      <c r="X18" s="528"/>
      <c r="Y18" s="528"/>
      <c r="Z18" s="528"/>
      <c r="AA18" s="528"/>
      <c r="AB18" s="528"/>
      <c r="AC18" s="528"/>
      <c r="AD18" s="528"/>
      <c r="AE18" s="541"/>
      <c r="AF18" s="541"/>
      <c r="AG18" s="541"/>
    </row>
    <row r="19">
      <c r="A19" s="611" t="s">
        <v>63</v>
      </c>
      <c r="B19" s="646"/>
      <c r="C19" s="612"/>
      <c r="D19" s="647">
        <v>43161.0</v>
      </c>
      <c r="E19" s="648">
        <v>43256.0</v>
      </c>
      <c r="F19" s="649">
        <v>43161.0</v>
      </c>
      <c r="G19" s="650">
        <v>43224.0</v>
      </c>
      <c r="H19" s="617">
        <v>705.0</v>
      </c>
      <c r="I19" s="585" t="str">
        <f t="shared" ref="I19:I22" si="5">IFS(ISBLANK(C19)," ",VALUE(RIGHT(C19,1))&lt;=1,"one-hit",VALUE(RIGHT(C19,1))&lt;=3,1*60/H19,VALUE(RIGHT(C19,1))=4,"manual",VALUE(RIGHT(C19,1))&lt;=6,2*60/H19,VALUE(RIGHT(C19,1))=7,"manual",VALUE(RIGHT(C19,1))=8,3*60/H19,VALUE(RIGHT(C19,1))=9,"manual",VALUE(RIGHT(C19,1))&lt;=11,4*60/H19)</f>
        <v> </v>
      </c>
      <c r="J19" s="588">
        <f>IFS(ISBLANK(E19)," ",VALUE(RIGHT(E19,1))&lt;=1,"one-hit",VALUE(RIGHT(E19,1))&lt;=3,1*60/H19,VALUE(RIGHT(E19,1))=4,"manual",VALUE(RIGHT(E19,1))&lt;=6,2*60/H19,VALUE(RIGHT(E19,1))=7,"manual",VALUE(RIGHT(E19,1))=8,3*60/H19,VALUE(RIGHT(E19,1))=9,"manual",VALUE(RIGHT(E19,1))&lt;=11,4*60/H19)</f>
        <v>0.170212766</v>
      </c>
      <c r="K19" s="589">
        <f>IFS(ISBLANK(G19)," ",VALUE(RIGHT(G19,1))&lt;=1,"one-hit",VALUE(RIGHT(G19,1))&lt;=3,1*60/H19,VALUE(RIGHT(G19,1))=4,"manual",VALUE(RIGHT(G19,1))&lt;=6,2*60/H19,VALUE(RIGHT(G19,1))=7,"manual",VALUE(RIGHT(G19,1))=8,3*60/H19,VALUE(RIGHT(G19,1))=9,"manual",VALUE(RIGHT(G19,1))&lt;=11,4*60/H19)</f>
        <v>0.170212766</v>
      </c>
      <c r="L19" s="552"/>
      <c r="M19" s="552">
        <f t="shared" si="1"/>
        <v>56</v>
      </c>
      <c r="N19" s="552">
        <f t="shared" si="2"/>
        <v>58</v>
      </c>
      <c r="O19" s="558">
        <v>18.0</v>
      </c>
      <c r="P19" s="559">
        <f t="shared" si="3"/>
        <v>43</v>
      </c>
      <c r="Q19" s="559">
        <f t="shared" si="4"/>
        <v>44</v>
      </c>
      <c r="R19" s="558">
        <v>18.0</v>
      </c>
      <c r="S19" s="528"/>
      <c r="T19" s="528"/>
      <c r="U19" s="528"/>
      <c r="V19" s="528"/>
      <c r="W19" s="528"/>
      <c r="X19" s="528"/>
      <c r="Y19" s="528"/>
      <c r="Z19" s="528"/>
      <c r="AA19" s="528"/>
      <c r="AB19" s="528"/>
      <c r="AC19" s="528"/>
      <c r="AD19" s="528"/>
      <c r="AE19" s="528"/>
      <c r="AF19" s="528"/>
      <c r="AG19" s="528"/>
    </row>
    <row r="20">
      <c r="A20" s="591" t="s">
        <v>65</v>
      </c>
      <c r="B20" s="651"/>
      <c r="C20" s="593"/>
      <c r="D20" s="598">
        <v>3.0</v>
      </c>
      <c r="E20" s="602">
        <v>6.0</v>
      </c>
      <c r="F20" s="603">
        <v>3.0</v>
      </c>
      <c r="G20" s="604">
        <v>5.0</v>
      </c>
      <c r="H20" s="626"/>
      <c r="I20" s="592" t="str">
        <f t="shared" si="5"/>
        <v> </v>
      </c>
      <c r="J20" s="567"/>
      <c r="K20" s="568"/>
      <c r="L20" s="539"/>
      <c r="M20" s="539">
        <f t="shared" si="1"/>
        <v>53</v>
      </c>
      <c r="N20" s="539">
        <f t="shared" si="2"/>
        <v>55</v>
      </c>
      <c r="O20" s="540">
        <v>19.0</v>
      </c>
      <c r="P20" s="570">
        <f t="shared" si="3"/>
        <v>40</v>
      </c>
      <c r="Q20" s="570">
        <f t="shared" si="4"/>
        <v>42</v>
      </c>
      <c r="R20" s="540">
        <v>19.0</v>
      </c>
      <c r="S20" s="528"/>
      <c r="T20" s="528"/>
      <c r="U20" s="528"/>
      <c r="V20" s="528"/>
      <c r="W20" s="528"/>
      <c r="X20" s="528"/>
      <c r="Y20" s="528"/>
      <c r="Z20" s="528"/>
      <c r="AA20" s="528"/>
      <c r="AB20" s="528"/>
      <c r="AC20" s="528"/>
      <c r="AD20" s="528"/>
      <c r="AE20" s="529"/>
      <c r="AF20" s="541"/>
      <c r="AG20" s="541"/>
    </row>
    <row r="21">
      <c r="A21" s="652" t="s">
        <v>68</v>
      </c>
      <c r="B21" s="653"/>
      <c r="C21" s="634"/>
      <c r="D21" s="635">
        <v>3.0</v>
      </c>
      <c r="E21" s="636">
        <v>6.0</v>
      </c>
      <c r="F21" s="637">
        <v>3.0</v>
      </c>
      <c r="G21" s="638">
        <v>5.0</v>
      </c>
      <c r="H21" s="654"/>
      <c r="I21" s="585" t="str">
        <f t="shared" si="5"/>
        <v> </v>
      </c>
      <c r="J21" s="588"/>
      <c r="K21" s="589"/>
      <c r="L21" s="552"/>
      <c r="M21" s="552">
        <f t="shared" si="1"/>
        <v>50</v>
      </c>
      <c r="N21" s="552">
        <f t="shared" si="2"/>
        <v>52</v>
      </c>
      <c r="O21" s="558">
        <v>20.0</v>
      </c>
      <c r="P21" s="559">
        <f t="shared" si="3"/>
        <v>38</v>
      </c>
      <c r="Q21" s="559">
        <f t="shared" si="4"/>
        <v>39</v>
      </c>
      <c r="R21" s="558">
        <v>20.0</v>
      </c>
      <c r="S21" s="528"/>
      <c r="T21" s="528"/>
      <c r="U21" s="528"/>
      <c r="V21" s="528"/>
      <c r="W21" s="528"/>
      <c r="X21" s="528"/>
      <c r="Y21" s="528"/>
      <c r="Z21" s="528"/>
      <c r="AA21" s="528"/>
      <c r="AB21" s="528"/>
      <c r="AC21" s="528"/>
      <c r="AD21" s="528"/>
      <c r="AE21" s="541"/>
      <c r="AF21" s="528"/>
      <c r="AG21" s="528"/>
    </row>
    <row r="22">
      <c r="A22" s="564" t="s">
        <v>2</v>
      </c>
      <c r="B22" s="565"/>
      <c r="C22" s="565"/>
      <c r="D22" s="565"/>
      <c r="E22" s="565"/>
      <c r="F22" s="565"/>
      <c r="G22" s="565"/>
      <c r="H22" s="565"/>
      <c r="I22" s="592" t="str">
        <f t="shared" si="5"/>
        <v> </v>
      </c>
      <c r="J22" s="567" t="str">
        <f t="shared" ref="J22:J47" si="6">IFS(ISBLANK(E22)," ",VALUE(RIGHT(E22,1))&lt;=1,"one-hit",VALUE(RIGHT(E22,1))&lt;=3,1*60/H22,VALUE(RIGHT(E22,1))=4,"manual",VALUE(RIGHT(E22,1))&lt;=6,2*60/H22,VALUE(RIGHT(E22,1))=7,"manual",VALUE(RIGHT(E22,1))=8,3*60/H22,VALUE(RIGHT(E22,1))=9,"manual",VALUE(RIGHT(E22,1))&lt;=11,4*60/H22)</f>
        <v> </v>
      </c>
      <c r="K22" s="568" t="str">
        <f t="shared" ref="K22:K54" si="7">IFS(ISBLANK(G22)," ",VALUE(RIGHT(G22,1))&lt;=1,"one-hit",VALUE(RIGHT(G22,1))&lt;=3,1*60/H22,VALUE(RIGHT(G22,1))=4,"manual",VALUE(RIGHT(G22,1))&lt;=6,2*60/H22,VALUE(RIGHT(G22,1))=7,"manual",VALUE(RIGHT(G22,1))=8,3*60/H22,VALUE(RIGHT(G22,1))=9,"manual",VALUE(RIGHT(G22,1))&lt;=11,4*60/H22)</f>
        <v> </v>
      </c>
      <c r="L22" s="539"/>
      <c r="M22" s="539"/>
      <c r="N22" s="655"/>
      <c r="O22" s="570"/>
      <c r="P22" s="570"/>
      <c r="Q22" s="570"/>
      <c r="R22" s="656"/>
      <c r="S22" s="528"/>
      <c r="T22" s="528"/>
      <c r="U22" s="528"/>
      <c r="V22" s="528"/>
      <c r="W22" s="528"/>
      <c r="X22" s="528"/>
      <c r="Y22" s="528"/>
      <c r="Z22" s="528"/>
      <c r="AA22" s="528"/>
      <c r="AB22" s="528"/>
      <c r="AC22" s="528"/>
      <c r="AD22" s="528"/>
      <c r="AE22" s="528"/>
      <c r="AF22" s="528"/>
      <c r="AG22" s="528"/>
    </row>
    <row r="23">
      <c r="A23" s="575" t="s">
        <v>38</v>
      </c>
      <c r="B23" s="657">
        <v>43193.0</v>
      </c>
      <c r="C23" s="658">
        <v>43380.0</v>
      </c>
      <c r="D23" s="659">
        <v>43193.0</v>
      </c>
      <c r="E23" s="660">
        <v>43350.0</v>
      </c>
      <c r="F23" s="581"/>
      <c r="G23" s="661"/>
      <c r="H23" s="584">
        <v>735.0</v>
      </c>
      <c r="I23" s="585">
        <f>4*60/H23</f>
        <v>0.3265306122</v>
      </c>
      <c r="J23" s="588" t="str">
        <f t="shared" si="6"/>
        <v>manual</v>
      </c>
      <c r="K23" s="589" t="str">
        <f t="shared" si="7"/>
        <v> </v>
      </c>
      <c r="L23" s="552"/>
      <c r="M23" s="552"/>
      <c r="N23" s="662"/>
      <c r="O23" s="559"/>
      <c r="P23" s="559"/>
      <c r="Q23" s="663"/>
      <c r="R23" s="663"/>
      <c r="S23" s="541"/>
      <c r="T23" s="528"/>
      <c r="U23" s="528"/>
      <c r="V23" s="528"/>
      <c r="W23" s="528"/>
      <c r="X23" s="528"/>
      <c r="Y23" s="528"/>
      <c r="Z23" s="528"/>
      <c r="AA23" s="528"/>
      <c r="AB23" s="528"/>
      <c r="AC23" s="528"/>
      <c r="AD23" s="528"/>
      <c r="AE23" s="541"/>
      <c r="AF23" s="541"/>
      <c r="AG23" s="541"/>
    </row>
    <row r="24">
      <c r="A24" s="591" t="s">
        <v>290</v>
      </c>
      <c r="B24" s="592"/>
      <c r="C24" s="593"/>
      <c r="D24" s="664">
        <v>43162.0</v>
      </c>
      <c r="E24" s="665">
        <v>43256.0</v>
      </c>
      <c r="F24" s="603"/>
      <c r="G24" s="645"/>
      <c r="H24" s="606">
        <v>828.0</v>
      </c>
      <c r="I24" s="592" t="str">
        <f t="shared" ref="I24:I27" si="8">IFS(ISBLANK(C24)," ",VALUE(RIGHT(C24,1))&lt;=1,"one-hit",VALUE(RIGHT(C24,1))&lt;=3,1*60/H24,VALUE(RIGHT(C24,1))=4,"manual",VALUE(RIGHT(C24,1))&lt;=6,2*60/H24,VALUE(RIGHT(C24,1))=7,"manual",VALUE(RIGHT(C24,1))=8,3*60/H24,VALUE(RIGHT(C24,1))=9,"manual",VALUE(RIGHT(C24,1))&lt;=11,4*60/H24)</f>
        <v> </v>
      </c>
      <c r="J24" s="567">
        <f t="shared" si="6"/>
        <v>0.1449275362</v>
      </c>
      <c r="K24" s="568" t="str">
        <f t="shared" si="7"/>
        <v> </v>
      </c>
      <c r="L24" s="539"/>
      <c r="M24" s="539"/>
      <c r="N24" s="539">
        <v>1.0</v>
      </c>
      <c r="O24" s="540">
        <v>1.0</v>
      </c>
      <c r="P24" s="570"/>
      <c r="Q24" s="656"/>
      <c r="R24" s="656"/>
      <c r="S24" s="541"/>
      <c r="T24" s="528"/>
      <c r="U24" s="528"/>
      <c r="V24" s="528"/>
      <c r="W24" s="528"/>
      <c r="X24" s="528"/>
      <c r="Y24" s="528"/>
      <c r="Z24" s="528"/>
      <c r="AA24" s="528"/>
      <c r="AB24" s="528"/>
      <c r="AC24" s="528"/>
      <c r="AD24" s="528"/>
      <c r="AE24" s="541"/>
      <c r="AF24" s="541"/>
      <c r="AG24" s="541"/>
    </row>
    <row r="25">
      <c r="A25" s="611" t="s">
        <v>47</v>
      </c>
      <c r="B25" s="618"/>
      <c r="C25" s="667"/>
      <c r="D25" s="647">
        <v>43193.0</v>
      </c>
      <c r="E25" s="648">
        <v>43350.0</v>
      </c>
      <c r="F25" s="649">
        <v>43193.0</v>
      </c>
      <c r="G25" s="650">
        <v>43319.0</v>
      </c>
      <c r="H25" s="617">
        <v>877.0</v>
      </c>
      <c r="I25" s="585" t="str">
        <f t="shared" si="8"/>
        <v> </v>
      </c>
      <c r="J25" s="588" t="str">
        <f t="shared" si="6"/>
        <v>manual</v>
      </c>
      <c r="K25" s="589">
        <f t="shared" si="7"/>
        <v>0.2052451539</v>
      </c>
      <c r="L25" s="552"/>
      <c r="M25" s="552"/>
      <c r="N25" s="552">
        <v>2.0</v>
      </c>
      <c r="O25" s="558">
        <v>2.0</v>
      </c>
      <c r="P25" s="559"/>
      <c r="Q25" s="663"/>
      <c r="R25" s="663"/>
      <c r="S25" s="541"/>
      <c r="T25" s="528"/>
      <c r="U25" s="528"/>
      <c r="V25" s="528"/>
      <c r="W25" s="528"/>
      <c r="X25" s="528"/>
      <c r="Y25" s="528"/>
      <c r="Z25" s="528"/>
      <c r="AA25" s="528"/>
      <c r="AB25" s="528"/>
      <c r="AC25" s="528"/>
      <c r="AD25" s="528"/>
      <c r="AE25" s="528"/>
      <c r="AF25" s="528"/>
      <c r="AG25" s="528"/>
    </row>
    <row r="26">
      <c r="A26" s="591" t="s">
        <v>59</v>
      </c>
      <c r="B26" s="592"/>
      <c r="C26" s="593"/>
      <c r="D26" s="664">
        <v>43162.0</v>
      </c>
      <c r="E26" s="665">
        <v>43287.0</v>
      </c>
      <c r="F26" s="668">
        <v>43162.0</v>
      </c>
      <c r="G26" s="669">
        <v>43286.0</v>
      </c>
      <c r="H26" s="606">
        <v>844.0</v>
      </c>
      <c r="I26" s="592" t="str">
        <f t="shared" si="8"/>
        <v> </v>
      </c>
      <c r="J26" s="567" t="str">
        <f t="shared" si="6"/>
        <v>manual</v>
      </c>
      <c r="K26" s="568" t="str">
        <f t="shared" si="7"/>
        <v>manual</v>
      </c>
      <c r="L26" s="539"/>
      <c r="M26" s="539"/>
      <c r="N26" s="539">
        <v>3.0</v>
      </c>
      <c r="O26" s="540">
        <v>2.0</v>
      </c>
      <c r="P26" s="570"/>
      <c r="Q26" s="656"/>
      <c r="R26" s="656"/>
      <c r="S26" s="541"/>
      <c r="T26" s="528"/>
      <c r="U26" s="528"/>
      <c r="V26" s="528"/>
      <c r="W26" s="528"/>
      <c r="X26" s="528"/>
      <c r="Y26" s="528"/>
      <c r="Z26" s="528"/>
      <c r="AA26" s="528"/>
      <c r="AB26" s="528"/>
      <c r="AC26" s="528"/>
      <c r="AD26" s="528"/>
      <c r="AE26" s="529"/>
      <c r="AF26" s="529"/>
      <c r="AG26" s="529"/>
    </row>
    <row r="27">
      <c r="A27" s="611" t="s">
        <v>292</v>
      </c>
      <c r="B27" s="585"/>
      <c r="C27" s="612"/>
      <c r="D27" s="647">
        <v>43162.0</v>
      </c>
      <c r="E27" s="648">
        <v>43287.0</v>
      </c>
      <c r="F27" s="649">
        <v>43162.0</v>
      </c>
      <c r="G27" s="650">
        <v>43286.0</v>
      </c>
      <c r="H27" s="617">
        <v>682.0</v>
      </c>
      <c r="I27" s="585" t="str">
        <f t="shared" si="8"/>
        <v> </v>
      </c>
      <c r="J27" s="588" t="str">
        <f t="shared" si="6"/>
        <v>manual</v>
      </c>
      <c r="K27" s="589" t="str">
        <f t="shared" si="7"/>
        <v>manual</v>
      </c>
      <c r="L27" s="552"/>
      <c r="M27" s="552"/>
      <c r="N27" s="552">
        <v>4.0</v>
      </c>
      <c r="O27" s="670">
        <v>43161.0</v>
      </c>
      <c r="P27" s="671"/>
      <c r="Q27" s="672"/>
      <c r="R27" s="672"/>
      <c r="S27" s="541"/>
      <c r="T27" s="528"/>
      <c r="U27" s="528"/>
      <c r="V27" s="528"/>
      <c r="W27" s="528"/>
      <c r="X27" s="528"/>
      <c r="Y27" s="528"/>
      <c r="Z27" s="528"/>
      <c r="AA27" s="528"/>
      <c r="AB27" s="528"/>
      <c r="AC27" s="528"/>
      <c r="AD27" s="528"/>
      <c r="AE27" s="541"/>
      <c r="AF27" s="541"/>
      <c r="AG27" s="541"/>
    </row>
    <row r="28">
      <c r="A28" s="591" t="s">
        <v>79</v>
      </c>
      <c r="B28" s="619">
        <v>43193.0</v>
      </c>
      <c r="C28" s="673">
        <v>43380.0</v>
      </c>
      <c r="D28" s="664">
        <v>43193.0</v>
      </c>
      <c r="E28" s="665">
        <v>43319.0</v>
      </c>
      <c r="F28" s="668">
        <v>43162.0</v>
      </c>
      <c r="G28" s="669">
        <v>43287.0</v>
      </c>
      <c r="H28" s="606">
        <v>732.0</v>
      </c>
      <c r="I28" s="592">
        <f>4*60/H28</f>
        <v>0.3278688525</v>
      </c>
      <c r="J28" s="567">
        <f t="shared" si="6"/>
        <v>0.2459016393</v>
      </c>
      <c r="K28" s="568" t="str">
        <f t="shared" si="7"/>
        <v>manual</v>
      </c>
      <c r="L28" s="539"/>
      <c r="M28" s="539"/>
      <c r="N28" s="539">
        <v>5.0</v>
      </c>
      <c r="O28" s="540">
        <v>3.0</v>
      </c>
      <c r="P28" s="674"/>
      <c r="Q28" s="674"/>
      <c r="R28" s="674"/>
      <c r="S28" s="541"/>
      <c r="T28" s="528"/>
      <c r="U28" s="528"/>
      <c r="V28" s="528"/>
      <c r="W28" s="528"/>
      <c r="X28" s="528"/>
      <c r="Y28" s="528"/>
      <c r="Z28" s="528"/>
      <c r="AA28" s="528"/>
      <c r="AB28" s="528"/>
      <c r="AC28" s="528"/>
      <c r="AD28" s="528"/>
      <c r="AE28" s="528"/>
      <c r="AF28" s="528"/>
      <c r="AG28" s="528"/>
    </row>
    <row r="29">
      <c r="A29" s="611" t="s">
        <v>169</v>
      </c>
      <c r="B29" s="585"/>
      <c r="C29" s="612"/>
      <c r="D29" s="647">
        <v>43162.0</v>
      </c>
      <c r="E29" s="648">
        <v>43287.0</v>
      </c>
      <c r="F29" s="649">
        <v>43162.0</v>
      </c>
      <c r="G29" s="650">
        <v>43286.0</v>
      </c>
      <c r="H29" s="617">
        <v>691.0</v>
      </c>
      <c r="I29" s="585" t="str">
        <f t="shared" ref="I29:I30" si="9">IFS(ISBLANK(C29)," ",VALUE(RIGHT(C29,1))&lt;=1,"one-hit",VALUE(RIGHT(C29,1))&lt;=3,1*60/H29,VALUE(RIGHT(C29,1))=4,"manual",VALUE(RIGHT(C29,1))&lt;=6,2*60/H29,VALUE(RIGHT(C29,1))=7,"manual",VALUE(RIGHT(C29,1))=8,3*60/H29,VALUE(RIGHT(C29,1))=9,"manual",VALUE(RIGHT(C29,1))&lt;=11,4*60/H29)</f>
        <v> </v>
      </c>
      <c r="J29" s="588" t="str">
        <f t="shared" si="6"/>
        <v>manual</v>
      </c>
      <c r="K29" s="589" t="str">
        <f t="shared" si="7"/>
        <v>manual</v>
      </c>
      <c r="L29" s="552"/>
      <c r="M29" s="552"/>
      <c r="N29" s="552">
        <v>6.0</v>
      </c>
      <c r="O29" s="558">
        <v>3.0</v>
      </c>
      <c r="P29" s="672"/>
      <c r="Q29" s="672"/>
      <c r="R29" s="672"/>
    </row>
    <row r="30">
      <c r="A30" s="591" t="s">
        <v>102</v>
      </c>
      <c r="B30" s="619">
        <v>43193.0</v>
      </c>
      <c r="C30" s="673">
        <v>43318.0</v>
      </c>
      <c r="D30" s="664">
        <v>43162.0</v>
      </c>
      <c r="E30" s="665">
        <v>43287.0</v>
      </c>
      <c r="F30" s="668">
        <v>43162.0</v>
      </c>
      <c r="G30" s="669">
        <v>43286.0</v>
      </c>
      <c r="H30" s="606">
        <v>732.0</v>
      </c>
      <c r="I30" s="592">
        <f t="shared" si="9"/>
        <v>0.2459016393</v>
      </c>
      <c r="J30" s="567" t="str">
        <f t="shared" si="6"/>
        <v>manual</v>
      </c>
      <c r="K30" s="568" t="str">
        <f t="shared" si="7"/>
        <v>manual</v>
      </c>
      <c r="L30" s="539"/>
      <c r="M30" s="539"/>
      <c r="N30" s="539">
        <v>7.0</v>
      </c>
      <c r="O30" s="676">
        <v>43193.0</v>
      </c>
      <c r="P30" s="674"/>
      <c r="Q30" s="674"/>
      <c r="R30" s="674"/>
    </row>
    <row r="31">
      <c r="A31" s="611" t="s">
        <v>128</v>
      </c>
      <c r="B31" s="618">
        <v>43193.0</v>
      </c>
      <c r="C31" s="667">
        <v>43380.0</v>
      </c>
      <c r="D31" s="647">
        <v>43193.0</v>
      </c>
      <c r="E31" s="648">
        <v>43350.0</v>
      </c>
      <c r="F31" s="615"/>
      <c r="G31" s="650"/>
      <c r="H31" s="617">
        <v>970.0</v>
      </c>
      <c r="I31" s="585">
        <f>4*60/H31</f>
        <v>0.2474226804</v>
      </c>
      <c r="J31" s="588" t="str">
        <f t="shared" si="6"/>
        <v>manual</v>
      </c>
      <c r="K31" s="589" t="str">
        <f t="shared" si="7"/>
        <v> </v>
      </c>
      <c r="L31" s="552"/>
      <c r="M31" s="552"/>
      <c r="N31" s="552">
        <v>8.0</v>
      </c>
      <c r="O31" s="558">
        <v>4.0</v>
      </c>
      <c r="P31" s="672"/>
      <c r="Q31" s="672"/>
      <c r="R31" s="672"/>
    </row>
    <row r="32">
      <c r="A32" s="591" t="s">
        <v>138</v>
      </c>
      <c r="B32" s="619">
        <v>43162.0</v>
      </c>
      <c r="C32" s="673">
        <v>43287.0</v>
      </c>
      <c r="D32" s="664">
        <v>43162.0</v>
      </c>
      <c r="E32" s="665">
        <v>43287.0</v>
      </c>
      <c r="F32" s="603"/>
      <c r="G32" s="645"/>
      <c r="H32" s="606">
        <v>695.0</v>
      </c>
      <c r="I32" s="592" t="str">
        <f t="shared" ref="I32:I61" si="10">IFS(ISBLANK(C32)," ",VALUE(RIGHT(C32,1))&lt;=1,"one-hit",VALUE(RIGHT(C32,1))&lt;=3,1*60/H32,VALUE(RIGHT(C32,1))=4,"manual",VALUE(RIGHT(C32,1))&lt;=6,2*60/H32,VALUE(RIGHT(C32,1))=7,"manual",VALUE(RIGHT(C32,1))=8,3*60/H32,VALUE(RIGHT(C32,1))=9,"manual",VALUE(RIGHT(C32,1))&lt;=11,4*60/H32)</f>
        <v>manual</v>
      </c>
      <c r="J32" s="567" t="str">
        <f t="shared" si="6"/>
        <v>manual</v>
      </c>
      <c r="K32" s="568" t="str">
        <f t="shared" si="7"/>
        <v> </v>
      </c>
      <c r="L32" s="539"/>
      <c r="M32" s="539"/>
      <c r="N32" s="539">
        <v>9.0</v>
      </c>
      <c r="O32" s="676">
        <v>43224.0</v>
      </c>
      <c r="P32" s="680"/>
      <c r="Q32" s="674"/>
      <c r="R32" s="674"/>
    </row>
    <row r="33">
      <c r="A33" s="611" t="s">
        <v>293</v>
      </c>
      <c r="B33" s="585"/>
      <c r="C33" s="612"/>
      <c r="D33" s="613">
        <v>3.0</v>
      </c>
      <c r="E33" s="614">
        <v>7.0</v>
      </c>
      <c r="F33" s="615">
        <v>3.0</v>
      </c>
      <c r="G33" s="616">
        <v>6.0</v>
      </c>
      <c r="H33" s="617">
        <v>620.0</v>
      </c>
      <c r="I33" s="585" t="str">
        <f t="shared" si="10"/>
        <v> </v>
      </c>
      <c r="J33" s="588" t="str">
        <f t="shared" si="6"/>
        <v>manual</v>
      </c>
      <c r="K33" s="589">
        <f t="shared" si="7"/>
        <v>0.1935483871</v>
      </c>
      <c r="L33" s="552"/>
      <c r="M33" s="552"/>
      <c r="N33" s="552">
        <v>10.0</v>
      </c>
      <c r="O33" s="558">
        <v>5.0</v>
      </c>
      <c r="P33" s="672"/>
      <c r="Q33" s="672"/>
      <c r="R33" s="672"/>
    </row>
    <row r="34">
      <c r="A34" s="591" t="s">
        <v>148</v>
      </c>
      <c r="B34" s="619">
        <v>43162.0</v>
      </c>
      <c r="C34" s="673">
        <v>43287.0</v>
      </c>
      <c r="D34" s="664">
        <v>43162.0</v>
      </c>
      <c r="E34" s="665">
        <v>43286.0</v>
      </c>
      <c r="F34" s="668">
        <v>43161.0</v>
      </c>
      <c r="G34" s="669">
        <v>43256.0</v>
      </c>
      <c r="H34" s="606">
        <v>588.0</v>
      </c>
      <c r="I34" s="592" t="str">
        <f t="shared" si="10"/>
        <v>manual</v>
      </c>
      <c r="J34" s="567" t="str">
        <f t="shared" si="6"/>
        <v>manual</v>
      </c>
      <c r="K34" s="568">
        <f t="shared" si="7"/>
        <v>0.2040816327</v>
      </c>
      <c r="L34" s="539"/>
      <c r="M34" s="539"/>
      <c r="N34" s="539">
        <v>11.0</v>
      </c>
      <c r="O34" s="540">
        <v>5.0</v>
      </c>
      <c r="P34" s="674"/>
      <c r="Q34" s="674"/>
      <c r="R34" s="674"/>
    </row>
    <row r="35">
      <c r="A35" s="681" t="s">
        <v>164</v>
      </c>
      <c r="B35" s="675"/>
      <c r="C35" s="612"/>
      <c r="D35" s="647">
        <v>43162.0</v>
      </c>
      <c r="E35" s="648">
        <v>43287.0</v>
      </c>
      <c r="F35" s="649">
        <v>43162.0</v>
      </c>
      <c r="G35" s="650">
        <v>43287.0</v>
      </c>
      <c r="H35" s="617">
        <v>882.0</v>
      </c>
      <c r="I35" s="585" t="str">
        <f t="shared" si="10"/>
        <v> </v>
      </c>
      <c r="J35" s="588" t="str">
        <f t="shared" si="6"/>
        <v>manual</v>
      </c>
      <c r="K35" s="589" t="str">
        <f t="shared" si="7"/>
        <v>manual</v>
      </c>
      <c r="L35" s="552"/>
      <c r="M35" s="552"/>
      <c r="N35" s="552">
        <v>12.0</v>
      </c>
      <c r="O35" s="558"/>
      <c r="P35" s="672"/>
      <c r="Q35" s="672"/>
      <c r="R35" s="672"/>
    </row>
    <row r="36">
      <c r="A36" s="682" t="s">
        <v>165</v>
      </c>
      <c r="B36" s="619">
        <v>43161.0</v>
      </c>
      <c r="C36" s="673">
        <v>43256.0</v>
      </c>
      <c r="D36" s="664">
        <v>43161.0</v>
      </c>
      <c r="E36" s="665">
        <v>43256.0</v>
      </c>
      <c r="F36" s="668">
        <v>43161.0</v>
      </c>
      <c r="G36" s="669">
        <v>43224.0</v>
      </c>
      <c r="H36" s="606">
        <v>610.0</v>
      </c>
      <c r="I36" s="592">
        <f t="shared" si="10"/>
        <v>0.1967213115</v>
      </c>
      <c r="J36" s="567">
        <f t="shared" si="6"/>
        <v>0.1967213115</v>
      </c>
      <c r="K36" s="568">
        <f t="shared" si="7"/>
        <v>0.1967213115</v>
      </c>
      <c r="L36" s="539"/>
      <c r="M36" s="539"/>
      <c r="N36" s="539">
        <v>13.0</v>
      </c>
      <c r="O36" s="540"/>
      <c r="P36" s="674"/>
      <c r="Q36" s="674"/>
      <c r="R36" s="674"/>
    </row>
    <row r="37">
      <c r="A37" s="681" t="s">
        <v>166</v>
      </c>
      <c r="B37" s="618">
        <v>43193.0</v>
      </c>
      <c r="C37" s="667">
        <v>43350.0</v>
      </c>
      <c r="D37" s="647">
        <v>43193.0</v>
      </c>
      <c r="E37" s="648">
        <v>43318.0</v>
      </c>
      <c r="F37" s="649">
        <v>43162.0</v>
      </c>
      <c r="G37" s="650">
        <v>43287.0</v>
      </c>
      <c r="H37" s="617">
        <v>780.0</v>
      </c>
      <c r="I37" s="585" t="str">
        <f t="shared" si="10"/>
        <v>manual</v>
      </c>
      <c r="J37" s="588">
        <f t="shared" si="6"/>
        <v>0.2307692308</v>
      </c>
      <c r="K37" s="589" t="str">
        <f t="shared" si="7"/>
        <v>manual</v>
      </c>
      <c r="L37" s="552"/>
      <c r="M37" s="552"/>
      <c r="N37" s="552">
        <v>14.0</v>
      </c>
      <c r="O37" s="558"/>
      <c r="P37" s="672"/>
      <c r="Q37" s="672"/>
      <c r="R37" s="672"/>
    </row>
    <row r="38">
      <c r="A38" s="682" t="s">
        <v>167</v>
      </c>
      <c r="B38" s="619"/>
      <c r="C38" s="673"/>
      <c r="D38" s="664">
        <v>43193.0</v>
      </c>
      <c r="E38" s="665">
        <v>43318.0</v>
      </c>
      <c r="F38" s="668">
        <v>43162.0</v>
      </c>
      <c r="G38" s="669">
        <v>43287.0</v>
      </c>
      <c r="H38" s="606">
        <v>832.0</v>
      </c>
      <c r="I38" s="592" t="str">
        <f t="shared" si="10"/>
        <v> </v>
      </c>
      <c r="J38" s="567">
        <f t="shared" si="6"/>
        <v>0.2163461538</v>
      </c>
      <c r="K38" s="568" t="str">
        <f t="shared" si="7"/>
        <v>manual</v>
      </c>
      <c r="L38" s="539"/>
      <c r="M38" s="539"/>
      <c r="N38" s="539">
        <v>15.0</v>
      </c>
      <c r="O38" s="540"/>
      <c r="P38" s="674"/>
      <c r="Q38" s="674"/>
      <c r="R38" s="674"/>
    </row>
    <row r="39">
      <c r="A39" s="681" t="s">
        <v>294</v>
      </c>
      <c r="B39" s="675"/>
      <c r="C39" s="612"/>
      <c r="D39" s="647">
        <v>43162.0</v>
      </c>
      <c r="E39" s="648">
        <v>43287.0</v>
      </c>
      <c r="F39" s="649">
        <v>43162.0</v>
      </c>
      <c r="G39" s="650">
        <v>43287.0</v>
      </c>
      <c r="H39" s="617">
        <v>735.0</v>
      </c>
      <c r="I39" s="585" t="str">
        <f t="shared" si="10"/>
        <v> </v>
      </c>
      <c r="J39" s="588" t="str">
        <f t="shared" si="6"/>
        <v>manual</v>
      </c>
      <c r="K39" s="589" t="str">
        <f t="shared" si="7"/>
        <v>manual</v>
      </c>
      <c r="L39" s="552"/>
      <c r="M39" s="552"/>
      <c r="N39" s="552">
        <v>16.0</v>
      </c>
      <c r="O39" s="558"/>
      <c r="P39" s="672"/>
      <c r="Q39" s="672"/>
      <c r="R39" s="672"/>
    </row>
    <row r="40">
      <c r="A40" s="682" t="s">
        <v>170</v>
      </c>
      <c r="B40" s="683"/>
      <c r="C40" s="593"/>
      <c r="D40" s="664">
        <v>43193.0</v>
      </c>
      <c r="E40" s="665">
        <v>43318.0</v>
      </c>
      <c r="F40" s="668">
        <v>43162.0</v>
      </c>
      <c r="G40" s="669">
        <v>43287.0</v>
      </c>
      <c r="H40" s="606">
        <v>828.0</v>
      </c>
      <c r="I40" s="592" t="str">
        <f t="shared" si="10"/>
        <v> </v>
      </c>
      <c r="J40" s="567">
        <f t="shared" si="6"/>
        <v>0.2173913043</v>
      </c>
      <c r="K40" s="568" t="str">
        <f t="shared" si="7"/>
        <v>manual</v>
      </c>
      <c r="L40" s="539"/>
      <c r="M40" s="539"/>
      <c r="N40" s="539">
        <v>17.0</v>
      </c>
      <c r="O40" s="540"/>
      <c r="P40" s="674"/>
      <c r="Q40" s="674"/>
      <c r="R40" s="674"/>
    </row>
    <row r="41">
      <c r="A41" s="684" t="s">
        <v>171</v>
      </c>
      <c r="B41" s="685"/>
      <c r="C41" s="634"/>
      <c r="D41" s="686">
        <v>43162.0</v>
      </c>
      <c r="E41" s="687">
        <v>43287.0</v>
      </c>
      <c r="F41" s="637"/>
      <c r="G41" s="638"/>
      <c r="H41" s="639">
        <v>686.0</v>
      </c>
      <c r="I41" s="585" t="str">
        <f t="shared" si="10"/>
        <v> </v>
      </c>
      <c r="J41" s="588" t="str">
        <f t="shared" si="6"/>
        <v>manual</v>
      </c>
      <c r="K41" s="589" t="str">
        <f t="shared" si="7"/>
        <v> </v>
      </c>
      <c r="L41" s="552"/>
      <c r="M41" s="552"/>
      <c r="N41" s="552">
        <v>18.0</v>
      </c>
      <c r="O41" s="558"/>
      <c r="P41" s="672"/>
      <c r="Q41" s="672"/>
      <c r="R41" s="672"/>
    </row>
    <row r="42">
      <c r="A42" s="564" t="s">
        <v>12</v>
      </c>
      <c r="B42" s="565"/>
      <c r="C42" s="565"/>
      <c r="D42" s="565"/>
      <c r="E42" s="565"/>
      <c r="F42" s="565"/>
      <c r="G42" s="565"/>
      <c r="H42" s="565"/>
      <c r="I42" s="592" t="str">
        <f t="shared" si="10"/>
        <v> </v>
      </c>
      <c r="J42" s="567" t="str">
        <f t="shared" si="6"/>
        <v> </v>
      </c>
      <c r="K42" s="568" t="str">
        <f t="shared" si="7"/>
        <v> </v>
      </c>
      <c r="L42" s="539"/>
      <c r="M42" s="655"/>
      <c r="N42" s="539">
        <v>19.0</v>
      </c>
      <c r="O42" s="540"/>
      <c r="P42" s="674"/>
      <c r="Q42" s="674"/>
      <c r="R42" s="674"/>
    </row>
    <row r="43">
      <c r="A43" s="691" t="s">
        <v>295</v>
      </c>
      <c r="B43" s="547">
        <v>3.0</v>
      </c>
      <c r="C43" s="577">
        <v>8.0</v>
      </c>
      <c r="D43" s="579">
        <v>3.0</v>
      </c>
      <c r="E43" s="580">
        <v>7.0</v>
      </c>
      <c r="F43" s="581"/>
      <c r="G43" s="661"/>
      <c r="H43" s="584">
        <v>702.0</v>
      </c>
      <c r="I43" s="585">
        <f t="shared" si="10"/>
        <v>0.2564102564</v>
      </c>
      <c r="J43" s="588" t="str">
        <f t="shared" si="6"/>
        <v>manual</v>
      </c>
      <c r="K43" s="589" t="str">
        <f t="shared" si="7"/>
        <v> </v>
      </c>
      <c r="L43" s="552"/>
      <c r="M43" s="552"/>
      <c r="N43" s="552">
        <v>20.0</v>
      </c>
      <c r="O43" s="558"/>
      <c r="P43" s="672"/>
      <c r="Q43" s="672"/>
      <c r="R43" s="672"/>
    </row>
    <row r="44">
      <c r="A44" s="682" t="s">
        <v>296</v>
      </c>
      <c r="B44" s="592"/>
      <c r="C44" s="593"/>
      <c r="D44" s="598">
        <v>3.0</v>
      </c>
      <c r="E44" s="602">
        <v>5.0</v>
      </c>
      <c r="F44" s="603">
        <v>2.0</v>
      </c>
      <c r="G44" s="604">
        <v>5.0</v>
      </c>
      <c r="H44" s="606">
        <v>698.0</v>
      </c>
      <c r="I44" s="592" t="str">
        <f t="shared" si="10"/>
        <v> </v>
      </c>
      <c r="J44" s="567">
        <f t="shared" si="6"/>
        <v>0.1719197708</v>
      </c>
      <c r="K44" s="568">
        <f t="shared" si="7"/>
        <v>0.1719197708</v>
      </c>
      <c r="L44" s="539"/>
      <c r="M44" s="539"/>
      <c r="N44" s="539">
        <v>21.0</v>
      </c>
      <c r="O44" s="540"/>
      <c r="P44" s="674"/>
      <c r="Q44" s="674"/>
      <c r="R44" s="674"/>
    </row>
    <row r="45">
      <c r="A45" s="681" t="s">
        <v>297</v>
      </c>
      <c r="B45" s="585"/>
      <c r="C45" s="612"/>
      <c r="D45" s="613">
        <v>3.0</v>
      </c>
      <c r="E45" s="614">
        <v>6.0</v>
      </c>
      <c r="F45" s="615">
        <v>3.0</v>
      </c>
      <c r="G45" s="616">
        <v>5.0</v>
      </c>
      <c r="H45" s="617">
        <v>698.0</v>
      </c>
      <c r="I45" s="585" t="str">
        <f t="shared" si="10"/>
        <v> </v>
      </c>
      <c r="J45" s="588">
        <f t="shared" si="6"/>
        <v>0.1719197708</v>
      </c>
      <c r="K45" s="589">
        <f t="shared" si="7"/>
        <v>0.1719197708</v>
      </c>
      <c r="L45" s="552"/>
      <c r="M45" s="552"/>
      <c r="N45" s="552">
        <v>22.0</v>
      </c>
      <c r="O45" s="558"/>
      <c r="P45" s="672"/>
      <c r="Q45" s="672"/>
      <c r="R45" s="672"/>
    </row>
    <row r="46">
      <c r="A46" s="682" t="s">
        <v>299</v>
      </c>
      <c r="B46" s="592">
        <v>3.0</v>
      </c>
      <c r="C46" s="593">
        <v>7.0</v>
      </c>
      <c r="D46" s="598">
        <v>3.0</v>
      </c>
      <c r="E46" s="602">
        <v>6.0</v>
      </c>
      <c r="F46" s="603"/>
      <c r="G46" s="645"/>
      <c r="H46" s="606">
        <v>636.0</v>
      </c>
      <c r="I46" s="592" t="str">
        <f t="shared" si="10"/>
        <v>manual</v>
      </c>
      <c r="J46" s="567">
        <f t="shared" si="6"/>
        <v>0.1886792453</v>
      </c>
      <c r="K46" s="568" t="str">
        <f t="shared" si="7"/>
        <v> </v>
      </c>
      <c r="L46" s="539"/>
      <c r="M46" s="539"/>
      <c r="N46" s="539">
        <v>23.0</v>
      </c>
      <c r="O46" s="540"/>
      <c r="P46" s="674"/>
      <c r="Q46" s="674"/>
      <c r="R46" s="674"/>
    </row>
    <row r="47">
      <c r="A47" s="681" t="s">
        <v>300</v>
      </c>
      <c r="B47" s="585"/>
      <c r="C47" s="612"/>
      <c r="D47" s="613">
        <v>2.0</v>
      </c>
      <c r="E47" s="614">
        <v>5.0</v>
      </c>
      <c r="F47" s="615">
        <v>2.0</v>
      </c>
      <c r="G47" s="616">
        <v>4.0</v>
      </c>
      <c r="H47" s="617">
        <v>590.0</v>
      </c>
      <c r="I47" s="585" t="str">
        <f t="shared" si="10"/>
        <v> </v>
      </c>
      <c r="J47" s="588">
        <f t="shared" si="6"/>
        <v>0.2033898305</v>
      </c>
      <c r="K47" s="589" t="str">
        <f t="shared" si="7"/>
        <v>manual</v>
      </c>
      <c r="L47" s="552"/>
      <c r="M47" s="552"/>
      <c r="N47" s="552">
        <v>24.0</v>
      </c>
      <c r="O47" s="558"/>
      <c r="P47" s="672"/>
      <c r="Q47" s="672"/>
      <c r="R47" s="672"/>
    </row>
    <row r="48">
      <c r="A48" s="682" t="s">
        <v>301</v>
      </c>
      <c r="B48" s="683"/>
      <c r="C48" s="593"/>
      <c r="D48" s="598">
        <v>3.0</v>
      </c>
      <c r="E48" s="602">
        <v>7.0</v>
      </c>
      <c r="F48" s="603">
        <v>3.0</v>
      </c>
      <c r="G48" s="604">
        <v>7.0</v>
      </c>
      <c r="H48" s="606">
        <v>891.0</v>
      </c>
      <c r="I48" s="592" t="str">
        <f t="shared" si="10"/>
        <v> </v>
      </c>
      <c r="J48" s="567">
        <f>3*60/H48</f>
        <v>0.202020202</v>
      </c>
      <c r="K48" s="568" t="str">
        <f t="shared" si="7"/>
        <v>manual</v>
      </c>
      <c r="L48" s="539"/>
      <c r="M48" s="539"/>
      <c r="N48" s="539">
        <v>25.0</v>
      </c>
      <c r="O48" s="540"/>
      <c r="P48" s="674"/>
      <c r="Q48" s="674"/>
      <c r="R48" s="674"/>
    </row>
    <row r="49">
      <c r="A49" s="684"/>
      <c r="B49" s="685"/>
      <c r="C49" s="634"/>
      <c r="D49" s="635"/>
      <c r="E49" s="636"/>
      <c r="F49" s="637"/>
      <c r="G49" s="638"/>
      <c r="H49" s="654"/>
      <c r="I49" s="585" t="str">
        <f t="shared" si="10"/>
        <v> </v>
      </c>
      <c r="J49" s="588" t="str">
        <f t="shared" ref="J49:J50" si="11">IFS(ISBLANK(E49)," ",VALUE(RIGHT(E49,1))&lt;=1,"one-hit",VALUE(RIGHT(E49,1))&lt;=3,1*60/H49,VALUE(RIGHT(E49,1))=4,"manual",VALUE(RIGHT(E49,1))&lt;=6,2*60/H49,VALUE(RIGHT(E49,1))=7,"manual",VALUE(RIGHT(E49,1))=8,3*60/H49,VALUE(RIGHT(E49,1))=9,"manual",VALUE(RIGHT(E49,1))&lt;=11,4*60/H49)</f>
        <v> </v>
      </c>
      <c r="K49" s="589" t="str">
        <f t="shared" si="7"/>
        <v> </v>
      </c>
      <c r="L49" s="552"/>
      <c r="M49" s="662"/>
      <c r="N49" s="552">
        <v>26.0</v>
      </c>
      <c r="O49" s="558"/>
      <c r="P49" s="672"/>
      <c r="Q49" s="672"/>
      <c r="R49" s="672"/>
    </row>
    <row r="50">
      <c r="A50" s="564" t="s">
        <v>302</v>
      </c>
      <c r="B50" s="565"/>
      <c r="C50" s="565"/>
      <c r="D50" s="565"/>
      <c r="E50" s="565"/>
      <c r="F50" s="565"/>
      <c r="G50" s="565"/>
      <c r="H50" s="565"/>
      <c r="I50" s="592" t="str">
        <f t="shared" si="10"/>
        <v> </v>
      </c>
      <c r="J50" s="567" t="str">
        <f t="shared" si="11"/>
        <v> </v>
      </c>
      <c r="K50" s="568" t="str">
        <f t="shared" si="7"/>
        <v> </v>
      </c>
      <c r="L50" s="539"/>
      <c r="M50" s="655"/>
      <c r="N50" s="539">
        <v>27.0</v>
      </c>
      <c r="O50" s="540"/>
      <c r="P50" s="674"/>
      <c r="Q50" s="674"/>
      <c r="R50" s="674"/>
    </row>
    <row r="51">
      <c r="A51" s="691" t="s">
        <v>39</v>
      </c>
      <c r="B51" s="695"/>
      <c r="C51" s="577"/>
      <c r="D51" s="659">
        <v>43193.0</v>
      </c>
      <c r="E51" s="660">
        <v>43380.0</v>
      </c>
      <c r="F51" s="696">
        <v>43193.0</v>
      </c>
      <c r="G51" s="697">
        <v>43350.0</v>
      </c>
      <c r="H51" s="584">
        <v>780.0</v>
      </c>
      <c r="I51" s="585" t="str">
        <f t="shared" si="10"/>
        <v> </v>
      </c>
      <c r="J51" s="588">
        <f>4*60/H51</f>
        <v>0.3076923077</v>
      </c>
      <c r="K51" s="589" t="str">
        <f t="shared" si="7"/>
        <v>manual</v>
      </c>
      <c r="L51" s="552"/>
      <c r="M51" s="552"/>
      <c r="N51" s="552">
        <v>28.0</v>
      </c>
      <c r="O51" s="558"/>
      <c r="P51" s="672"/>
      <c r="Q51" s="672"/>
      <c r="R51" s="672"/>
    </row>
    <row r="52">
      <c r="A52" s="682" t="s">
        <v>49</v>
      </c>
      <c r="B52" s="619">
        <v>43161.0</v>
      </c>
      <c r="C52" s="673">
        <v>43256.0</v>
      </c>
      <c r="D52" s="664">
        <v>43161.0</v>
      </c>
      <c r="E52" s="665">
        <v>43225.0</v>
      </c>
      <c r="F52" s="668"/>
      <c r="G52" s="669"/>
      <c r="H52" s="606">
        <v>590.0</v>
      </c>
      <c r="I52" s="592">
        <f t="shared" si="10"/>
        <v>0.2033898305</v>
      </c>
      <c r="J52" s="567">
        <f t="shared" ref="J52:J55" si="12">IFS(ISBLANK(E52)," ",VALUE(RIGHT(E52,1))&lt;=1,"one-hit",VALUE(RIGHT(E52,1))&lt;=3,1*60/H52,VALUE(RIGHT(E52,1))=4,"manual",VALUE(RIGHT(E52,1))&lt;=6,2*60/H52,VALUE(RIGHT(E52,1))=7,"manual",VALUE(RIGHT(E52,1))=8,3*60/H52,VALUE(RIGHT(E52,1))=9,"manual",VALUE(RIGHT(E52,1))&lt;=11,4*60/H52)</f>
        <v>0.2033898305</v>
      </c>
      <c r="K52" s="568" t="str">
        <f t="shared" si="7"/>
        <v> </v>
      </c>
      <c r="L52" s="539"/>
      <c r="M52" s="539"/>
      <c r="N52" s="655"/>
      <c r="O52" s="674"/>
      <c r="P52" s="674"/>
      <c r="Q52" s="674"/>
      <c r="R52" s="674"/>
    </row>
    <row r="53">
      <c r="A53" s="681" t="s">
        <v>61</v>
      </c>
      <c r="B53" s="618"/>
      <c r="C53" s="612"/>
      <c r="D53" s="647">
        <v>43193.0</v>
      </c>
      <c r="E53" s="648">
        <v>43319.0</v>
      </c>
      <c r="F53" s="649">
        <v>43162.0</v>
      </c>
      <c r="G53" s="650">
        <v>43287.0</v>
      </c>
      <c r="H53" s="617">
        <v>878.0</v>
      </c>
      <c r="I53" s="585" t="str">
        <f t="shared" si="10"/>
        <v> </v>
      </c>
      <c r="J53" s="588">
        <f t="shared" si="12"/>
        <v>0.2050113895</v>
      </c>
      <c r="K53" s="589" t="str">
        <f t="shared" si="7"/>
        <v>manual</v>
      </c>
      <c r="L53" s="552"/>
      <c r="M53" s="552"/>
      <c r="N53" s="662"/>
      <c r="O53" s="672"/>
      <c r="P53" s="672"/>
      <c r="Q53" s="672"/>
      <c r="R53" s="672"/>
    </row>
    <row r="54">
      <c r="A54" s="682" t="s">
        <v>66</v>
      </c>
      <c r="B54" s="683"/>
      <c r="C54" s="593"/>
      <c r="D54" s="664">
        <v>43193.0</v>
      </c>
      <c r="E54" s="665">
        <v>43319.0</v>
      </c>
      <c r="F54" s="668">
        <v>43162.0</v>
      </c>
      <c r="G54" s="669">
        <v>43287.0</v>
      </c>
      <c r="H54" s="606">
        <v>685.0</v>
      </c>
      <c r="I54" s="592" t="str">
        <f t="shared" si="10"/>
        <v> </v>
      </c>
      <c r="J54" s="567">
        <f t="shared" si="12"/>
        <v>0.2627737226</v>
      </c>
      <c r="K54" s="568" t="str">
        <f t="shared" si="7"/>
        <v>manual</v>
      </c>
      <c r="L54" s="539"/>
      <c r="M54" s="539"/>
      <c r="N54" s="655"/>
      <c r="O54" s="674"/>
      <c r="P54" s="674"/>
      <c r="Q54" s="674"/>
      <c r="R54" s="674"/>
    </row>
    <row r="55">
      <c r="A55" s="681" t="s">
        <v>139</v>
      </c>
      <c r="B55" s="618">
        <v>43194.0</v>
      </c>
      <c r="C55" s="667">
        <v>43381.0</v>
      </c>
      <c r="D55" s="647">
        <v>43193.0</v>
      </c>
      <c r="E55" s="648">
        <v>43350.0</v>
      </c>
      <c r="F55" s="649"/>
      <c r="G55" s="650"/>
      <c r="H55" s="617">
        <v>730.0</v>
      </c>
      <c r="I55" s="585" t="str">
        <f t="shared" si="10"/>
        <v>one-hit</v>
      </c>
      <c r="J55" s="588" t="str">
        <f t="shared" si="12"/>
        <v>manual</v>
      </c>
      <c r="K55" s="589">
        <f>4*60/H55</f>
        <v>0.3287671233</v>
      </c>
      <c r="L55" s="552"/>
      <c r="M55" s="552"/>
      <c r="N55" s="662"/>
      <c r="O55" s="672"/>
      <c r="P55" s="672"/>
      <c r="Q55" s="672"/>
      <c r="R55" s="672"/>
    </row>
    <row r="56">
      <c r="A56" s="682" t="s">
        <v>303</v>
      </c>
      <c r="B56" s="683"/>
      <c r="C56" s="593"/>
      <c r="D56" s="664">
        <v>43224.0</v>
      </c>
      <c r="E56" s="665">
        <v>43381.0</v>
      </c>
      <c r="F56" s="668">
        <v>43193.0</v>
      </c>
      <c r="G56" s="669">
        <v>43380.0</v>
      </c>
      <c r="H56" s="606">
        <v>923.0</v>
      </c>
      <c r="I56" s="592" t="str">
        <f t="shared" si="10"/>
        <v> </v>
      </c>
      <c r="J56" s="567">
        <f>4*60/H56</f>
        <v>0.2600216685</v>
      </c>
      <c r="K56" s="568">
        <f>J56</f>
        <v>0.2600216685</v>
      </c>
      <c r="L56" s="539"/>
      <c r="M56" s="539"/>
      <c r="N56" s="655"/>
      <c r="O56" s="674"/>
      <c r="P56" s="674"/>
      <c r="Q56" s="674"/>
      <c r="R56" s="674"/>
    </row>
    <row r="57">
      <c r="A57" s="681" t="s">
        <v>77</v>
      </c>
      <c r="B57" s="675"/>
      <c r="C57" s="612"/>
      <c r="D57" s="647">
        <v>43193.0</v>
      </c>
      <c r="E57" s="648">
        <v>43319.0</v>
      </c>
      <c r="F57" s="649">
        <v>43162.0</v>
      </c>
      <c r="G57" s="650">
        <v>43287.0</v>
      </c>
      <c r="H57" s="617">
        <v>828.0</v>
      </c>
      <c r="I57" s="585" t="str">
        <f t="shared" si="10"/>
        <v> </v>
      </c>
      <c r="J57" s="588">
        <f t="shared" ref="J57:J60" si="13">IFS(ISBLANK(E57)," ",VALUE(RIGHT(E57,1))&lt;=1,"one-hit",VALUE(RIGHT(E57,1))&lt;=3,1*60/H57,VALUE(RIGHT(E57,1))=4,"manual",VALUE(RIGHT(E57,1))&lt;=6,2*60/H57,VALUE(RIGHT(E57,1))=7,"manual",VALUE(RIGHT(E57,1))=8,3*60/H57,VALUE(RIGHT(E57,1))=9,"manual",VALUE(RIGHT(E57,1))&lt;=11,4*60/H57)</f>
        <v>0.2173913043</v>
      </c>
      <c r="K57" s="589" t="str">
        <f t="shared" ref="K57:K60" si="14">IFS(ISBLANK(G57)," ",VALUE(RIGHT(G57,1))&lt;=1,"one-hit",VALUE(RIGHT(G57,1))&lt;=3,1*60/H57,VALUE(RIGHT(G57,1))=4,"manual",VALUE(RIGHT(G57,1))&lt;=6,2*60/H57,VALUE(RIGHT(G57,1))=7,"manual",VALUE(RIGHT(G57,1))=8,3*60/H57,VALUE(RIGHT(G57,1))=9,"manual",VALUE(RIGHT(G57,1))&lt;=11,4*60/H57)</f>
        <v>manual</v>
      </c>
      <c r="L57" s="552"/>
      <c r="M57" s="552"/>
      <c r="N57" s="662"/>
      <c r="O57" s="672"/>
      <c r="P57" s="672"/>
      <c r="Q57" s="672"/>
      <c r="R57" s="672"/>
    </row>
    <row r="58">
      <c r="A58" s="682" t="s">
        <v>96</v>
      </c>
      <c r="B58" s="683"/>
      <c r="C58" s="593"/>
      <c r="D58" s="664">
        <v>43193.0</v>
      </c>
      <c r="E58" s="665">
        <v>43318.0</v>
      </c>
      <c r="F58" s="668">
        <v>43162.0</v>
      </c>
      <c r="G58" s="669">
        <v>43287.0</v>
      </c>
      <c r="H58" s="606">
        <v>780.0</v>
      </c>
      <c r="I58" s="592" t="str">
        <f t="shared" si="10"/>
        <v> </v>
      </c>
      <c r="J58" s="567">
        <f t="shared" si="13"/>
        <v>0.2307692308</v>
      </c>
      <c r="K58" s="568" t="str">
        <f t="shared" si="14"/>
        <v>manual</v>
      </c>
      <c r="L58" s="539"/>
      <c r="M58" s="539"/>
      <c r="N58" s="655"/>
      <c r="O58" s="674"/>
      <c r="P58" s="674"/>
      <c r="Q58" s="674"/>
      <c r="R58" s="674"/>
    </row>
    <row r="59">
      <c r="A59" s="681" t="s">
        <v>304</v>
      </c>
      <c r="B59" s="675"/>
      <c r="C59" s="612"/>
      <c r="D59" s="613">
        <v>2.0</v>
      </c>
      <c r="E59" s="614">
        <v>5.0</v>
      </c>
      <c r="F59" s="615">
        <v>2.0</v>
      </c>
      <c r="G59" s="616">
        <v>5.0</v>
      </c>
      <c r="H59" s="617">
        <v>538.0</v>
      </c>
      <c r="I59" s="585" t="str">
        <f t="shared" si="10"/>
        <v> </v>
      </c>
      <c r="J59" s="588">
        <f t="shared" si="13"/>
        <v>0.2230483271</v>
      </c>
      <c r="K59" s="589">
        <f t="shared" si="14"/>
        <v>0.2230483271</v>
      </c>
      <c r="L59" s="552"/>
      <c r="M59" s="552"/>
      <c r="N59" s="662"/>
      <c r="O59" s="672"/>
      <c r="P59" s="672"/>
      <c r="Q59" s="672"/>
      <c r="R59" s="672"/>
    </row>
    <row r="60">
      <c r="A60" s="682" t="s">
        <v>305</v>
      </c>
      <c r="B60" s="683"/>
      <c r="C60" s="593"/>
      <c r="D60" s="664">
        <v>43162.0</v>
      </c>
      <c r="E60" s="665">
        <v>43287.0</v>
      </c>
      <c r="F60" s="668">
        <v>43162.0</v>
      </c>
      <c r="G60" s="669">
        <v>43286.0</v>
      </c>
      <c r="H60" s="606">
        <v>682.0</v>
      </c>
      <c r="I60" s="592" t="str">
        <f t="shared" si="10"/>
        <v> </v>
      </c>
      <c r="J60" s="567" t="str">
        <f t="shared" si="13"/>
        <v>manual</v>
      </c>
      <c r="K60" s="568" t="str">
        <f t="shared" si="14"/>
        <v>manual</v>
      </c>
      <c r="L60" s="539"/>
      <c r="M60" s="539"/>
      <c r="N60" s="655"/>
      <c r="O60" s="674"/>
      <c r="P60" s="674"/>
      <c r="Q60" s="674"/>
      <c r="R60" s="674"/>
    </row>
    <row r="61">
      <c r="A61" s="681" t="s">
        <v>306</v>
      </c>
      <c r="B61" s="675"/>
      <c r="C61" s="612"/>
      <c r="D61" s="647">
        <v>43224.0</v>
      </c>
      <c r="E61" s="648">
        <v>43444.0</v>
      </c>
      <c r="F61" s="649">
        <v>43224.0</v>
      </c>
      <c r="G61" s="650">
        <v>43382.0</v>
      </c>
      <c r="H61" s="617">
        <v>1111.0</v>
      </c>
      <c r="I61" s="585" t="str">
        <f t="shared" si="10"/>
        <v> </v>
      </c>
      <c r="J61" s="588"/>
      <c r="K61" s="589">
        <f>4*60/H61</f>
        <v>0.2160216022</v>
      </c>
      <c r="L61" s="552"/>
      <c r="M61" s="552"/>
      <c r="N61" s="662"/>
      <c r="O61" s="672"/>
      <c r="P61" s="672"/>
      <c r="Q61" s="672"/>
      <c r="R61" s="672"/>
    </row>
    <row r="62">
      <c r="A62" s="682" t="s">
        <v>137</v>
      </c>
      <c r="B62" s="619">
        <v>43224.0</v>
      </c>
      <c r="C62" s="673">
        <v>43443.0</v>
      </c>
      <c r="D62" s="664">
        <v>43224.0</v>
      </c>
      <c r="E62" s="665">
        <v>43381.0</v>
      </c>
      <c r="F62" s="668"/>
      <c r="G62" s="604"/>
      <c r="H62" s="606">
        <v>1137.0</v>
      </c>
      <c r="I62" s="592"/>
      <c r="J62" s="567">
        <f>4*60/H62</f>
        <v>0.2110817942</v>
      </c>
      <c r="K62" s="568" t="str">
        <f t="shared" ref="K62:K70" si="15">IFS(ISBLANK(G62)," ",VALUE(RIGHT(G62,1))&lt;=1,"one-hit",VALUE(RIGHT(G62,1))&lt;=3,1*60/H62,VALUE(RIGHT(G62,1))=4,"manual",VALUE(RIGHT(G62,1))&lt;=6,2*60/H62,VALUE(RIGHT(G62,1))=7,"manual",VALUE(RIGHT(G62,1))=8,3*60/H62,VALUE(RIGHT(G62,1))=9,"manual",VALUE(RIGHT(G62,1))&lt;=11,4*60/H62)</f>
        <v> </v>
      </c>
      <c r="L62" s="539"/>
      <c r="M62" s="539"/>
      <c r="N62" s="655"/>
      <c r="O62" s="674"/>
      <c r="P62" s="674"/>
      <c r="Q62" s="674"/>
      <c r="R62" s="674"/>
    </row>
    <row r="63">
      <c r="A63" s="684"/>
      <c r="B63" s="685"/>
      <c r="C63" s="634"/>
      <c r="D63" s="635"/>
      <c r="E63" s="636"/>
      <c r="F63" s="637"/>
      <c r="G63" s="638"/>
      <c r="H63" s="654"/>
      <c r="I63" s="585" t="str">
        <f t="shared" ref="I63:I70" si="16">IFS(ISBLANK(C63)," ",VALUE(RIGHT(C63,1))&lt;=1,"one-hit",VALUE(RIGHT(C63,1))&lt;=3,1*60/H63,VALUE(RIGHT(C63,1))=4,"manual",VALUE(RIGHT(C63,1))&lt;=6,2*60/H63,VALUE(RIGHT(C63,1))=7,"manual",VALUE(RIGHT(C63,1))=8,3*60/H63,VALUE(RIGHT(C63,1))=9,"manual",VALUE(RIGHT(C63,1))&lt;=11,4*60/H63)</f>
        <v> </v>
      </c>
      <c r="J63" s="588" t="str">
        <f t="shared" ref="J63:J70" si="17">IFS(ISBLANK(E63)," ",VALUE(RIGHT(E63,1))&lt;=1,"one-hit",VALUE(RIGHT(E63,1))&lt;=3,1*60/H63,VALUE(RIGHT(E63,1))=4,"manual",VALUE(RIGHT(E63,1))&lt;=6,2*60/H63,VALUE(RIGHT(E63,1))=7,"manual",VALUE(RIGHT(E63,1))=8,3*60/H63,VALUE(RIGHT(E63,1))=9,"manual",VALUE(RIGHT(E63,1))&lt;=11,4*60/H63)</f>
        <v> </v>
      </c>
      <c r="K63" s="589" t="str">
        <f t="shared" si="15"/>
        <v> </v>
      </c>
      <c r="L63" s="552"/>
      <c r="M63" s="662"/>
      <c r="N63" s="662"/>
      <c r="O63" s="672"/>
      <c r="P63" s="672"/>
      <c r="Q63" s="672"/>
      <c r="R63" s="672"/>
    </row>
    <row r="64">
      <c r="A64" s="564" t="s">
        <v>204</v>
      </c>
      <c r="B64" s="565"/>
      <c r="C64" s="565"/>
      <c r="D64" s="565"/>
      <c r="E64" s="565"/>
      <c r="F64" s="565"/>
      <c r="G64" s="565"/>
      <c r="H64" s="565"/>
      <c r="I64" s="592" t="str">
        <f t="shared" si="16"/>
        <v> </v>
      </c>
      <c r="J64" s="567" t="str">
        <f t="shared" si="17"/>
        <v> </v>
      </c>
      <c r="K64" s="568" t="str">
        <f t="shared" si="15"/>
        <v> </v>
      </c>
      <c r="L64" s="539"/>
      <c r="M64" s="655"/>
      <c r="N64" s="655"/>
      <c r="O64" s="674"/>
      <c r="P64" s="674"/>
      <c r="Q64" s="674"/>
      <c r="R64" s="674"/>
    </row>
    <row r="65">
      <c r="A65" s="691" t="s">
        <v>206</v>
      </c>
      <c r="B65" s="695"/>
      <c r="C65" s="577"/>
      <c r="D65" s="579">
        <v>1.0</v>
      </c>
      <c r="E65" s="580">
        <v>1.0</v>
      </c>
      <c r="F65" s="581">
        <v>1.0</v>
      </c>
      <c r="G65" s="583">
        <v>1.0</v>
      </c>
      <c r="H65" s="642"/>
      <c r="I65" s="585" t="str">
        <f t="shared" si="16"/>
        <v> </v>
      </c>
      <c r="J65" s="588" t="str">
        <f t="shared" si="17"/>
        <v>one-hit</v>
      </c>
      <c r="K65" s="589" t="str">
        <f t="shared" si="15"/>
        <v>one-hit</v>
      </c>
      <c r="L65" s="552"/>
      <c r="M65" s="662"/>
      <c r="N65" s="662"/>
      <c r="O65" s="672"/>
      <c r="P65" s="672"/>
      <c r="Q65" s="672"/>
      <c r="R65" s="672"/>
    </row>
    <row r="66">
      <c r="A66" s="682" t="s">
        <v>208</v>
      </c>
      <c r="B66" s="683"/>
      <c r="C66" s="593"/>
      <c r="D66" s="598">
        <v>1.0</v>
      </c>
      <c r="E66" s="665">
        <v>43133.0</v>
      </c>
      <c r="F66" s="603">
        <v>1.0</v>
      </c>
      <c r="G66" s="669">
        <v>43133.0</v>
      </c>
      <c r="H66" s="606">
        <v>300.0</v>
      </c>
      <c r="I66" s="592" t="str">
        <f t="shared" si="16"/>
        <v> </v>
      </c>
      <c r="J66" s="567">
        <f t="shared" si="17"/>
        <v>0.2</v>
      </c>
      <c r="K66" s="568">
        <f t="shared" si="15"/>
        <v>0.2</v>
      </c>
      <c r="L66" s="539"/>
      <c r="M66" s="539"/>
      <c r="N66" s="655"/>
      <c r="O66" s="674"/>
      <c r="P66" s="674"/>
      <c r="Q66" s="674"/>
      <c r="R66" s="674"/>
    </row>
    <row r="67">
      <c r="A67" s="681" t="s">
        <v>310</v>
      </c>
      <c r="B67" s="585">
        <v>1.0</v>
      </c>
      <c r="C67" s="612">
        <v>1.0</v>
      </c>
      <c r="D67" s="613">
        <v>1.0</v>
      </c>
      <c r="E67" s="614">
        <v>1.0</v>
      </c>
      <c r="F67" s="615">
        <v>1.0</v>
      </c>
      <c r="G67" s="616">
        <v>1.0</v>
      </c>
      <c r="H67" s="699"/>
      <c r="I67" s="585" t="str">
        <f t="shared" si="16"/>
        <v>one-hit</v>
      </c>
      <c r="J67" s="588" t="str">
        <f t="shared" si="17"/>
        <v>one-hit</v>
      </c>
      <c r="K67" s="589" t="str">
        <f t="shared" si="15"/>
        <v>one-hit</v>
      </c>
      <c r="L67" s="552"/>
      <c r="M67" s="662"/>
      <c r="N67" s="662"/>
      <c r="O67" s="672"/>
      <c r="P67" s="672"/>
      <c r="Q67" s="672"/>
      <c r="R67" s="672"/>
    </row>
    <row r="68">
      <c r="A68" s="682" t="s">
        <v>259</v>
      </c>
      <c r="B68" s="683"/>
      <c r="C68" s="593"/>
      <c r="D68" s="598">
        <v>1.0</v>
      </c>
      <c r="E68" s="602">
        <v>1.0</v>
      </c>
      <c r="F68" s="603"/>
      <c r="G68" s="645"/>
      <c r="H68" s="626"/>
      <c r="I68" s="592" t="str">
        <f t="shared" si="16"/>
        <v> </v>
      </c>
      <c r="J68" s="567" t="str">
        <f t="shared" si="17"/>
        <v>one-hit</v>
      </c>
      <c r="K68" s="568" t="str">
        <f t="shared" si="15"/>
        <v> </v>
      </c>
      <c r="L68" s="539"/>
      <c r="M68" s="655"/>
      <c r="N68" s="655"/>
    </row>
    <row r="69">
      <c r="A69" s="684" t="s">
        <v>311</v>
      </c>
      <c r="B69" s="685"/>
      <c r="C69" s="634"/>
      <c r="D69" s="635">
        <v>1.0</v>
      </c>
      <c r="E69" s="636">
        <v>1.0</v>
      </c>
      <c r="F69" s="637"/>
      <c r="G69" s="700"/>
      <c r="H69" s="654"/>
      <c r="I69" s="585" t="str">
        <f t="shared" si="16"/>
        <v> </v>
      </c>
      <c r="J69" s="588" t="str">
        <f t="shared" si="17"/>
        <v>one-hit</v>
      </c>
      <c r="K69" s="589" t="str">
        <f t="shared" si="15"/>
        <v> </v>
      </c>
      <c r="L69" s="552"/>
      <c r="M69" s="662"/>
      <c r="N69" s="662"/>
      <c r="O69" s="672"/>
      <c r="P69" s="672"/>
      <c r="Q69" s="672"/>
      <c r="R69" s="672"/>
    </row>
    <row r="70">
      <c r="A70" s="564" t="s">
        <v>312</v>
      </c>
      <c r="B70" s="565"/>
      <c r="C70" s="565"/>
      <c r="D70" s="565"/>
      <c r="E70" s="565"/>
      <c r="F70" s="565"/>
      <c r="G70" s="565"/>
      <c r="H70" s="565"/>
      <c r="I70" s="592" t="str">
        <f t="shared" si="16"/>
        <v> </v>
      </c>
      <c r="J70" s="567" t="str">
        <f t="shared" si="17"/>
        <v> </v>
      </c>
      <c r="K70" s="568" t="str">
        <f t="shared" si="15"/>
        <v> </v>
      </c>
      <c r="L70" s="655"/>
      <c r="M70" s="655"/>
      <c r="N70" s="655"/>
      <c r="O70" s="674"/>
      <c r="P70" s="674"/>
      <c r="Q70" s="674"/>
      <c r="R70" s="674"/>
    </row>
    <row r="71">
      <c r="A71" s="691" t="s">
        <v>212</v>
      </c>
      <c r="B71" s="695"/>
      <c r="C71" s="577"/>
      <c r="D71" s="579">
        <v>4.0</v>
      </c>
      <c r="E71" s="580">
        <v>8.0</v>
      </c>
      <c r="F71" s="581"/>
      <c r="G71" s="661"/>
      <c r="H71" s="642"/>
      <c r="I71" s="585"/>
      <c r="J71" s="588"/>
      <c r="K71" s="589"/>
      <c r="L71" s="662"/>
      <c r="M71" s="662"/>
      <c r="N71" s="662"/>
      <c r="O71" s="672"/>
      <c r="P71" s="672"/>
      <c r="Q71" s="672"/>
      <c r="R71" s="672"/>
    </row>
    <row r="72">
      <c r="A72" s="682" t="s">
        <v>214</v>
      </c>
      <c r="B72" s="683"/>
      <c r="C72" s="593"/>
      <c r="D72" s="598">
        <v>3.0</v>
      </c>
      <c r="E72" s="602">
        <v>7.0</v>
      </c>
      <c r="F72" s="603"/>
      <c r="G72" s="645"/>
      <c r="H72" s="626"/>
      <c r="I72" s="592"/>
      <c r="J72" s="567"/>
      <c r="K72" s="568"/>
      <c r="L72" s="655"/>
      <c r="M72" s="655"/>
      <c r="N72" s="655"/>
      <c r="O72" s="674"/>
      <c r="P72" s="674"/>
      <c r="Q72" s="674"/>
      <c r="R72" s="674"/>
    </row>
    <row r="73">
      <c r="A73" s="681" t="s">
        <v>229</v>
      </c>
      <c r="B73" s="675"/>
      <c r="C73" s="612"/>
      <c r="D73" s="613">
        <v>3.0</v>
      </c>
      <c r="E73" s="614">
        <v>7.0</v>
      </c>
      <c r="F73" s="615"/>
      <c r="G73" s="677"/>
      <c r="H73" s="699"/>
      <c r="I73" s="585"/>
      <c r="J73" s="588"/>
      <c r="K73" s="589"/>
      <c r="L73" s="662"/>
      <c r="M73" s="662"/>
      <c r="N73" s="662"/>
      <c r="O73" s="672"/>
      <c r="P73" s="672"/>
      <c r="Q73" s="672"/>
      <c r="R73" s="672"/>
    </row>
    <row r="74">
      <c r="A74" s="682" t="s">
        <v>232</v>
      </c>
      <c r="B74" s="683"/>
      <c r="C74" s="593"/>
      <c r="D74" s="598">
        <v>3.0</v>
      </c>
      <c r="E74" s="602">
        <v>7.0</v>
      </c>
      <c r="F74" s="603"/>
      <c r="G74" s="645"/>
      <c r="H74" s="626"/>
      <c r="I74" s="592"/>
      <c r="J74" s="567"/>
      <c r="K74" s="568"/>
      <c r="L74" s="655"/>
      <c r="M74" s="655"/>
      <c r="N74" s="655"/>
      <c r="O74" s="674"/>
      <c r="P74" s="674"/>
      <c r="Q74" s="674"/>
      <c r="R74" s="674"/>
    </row>
    <row r="75">
      <c r="A75" s="681" t="s">
        <v>236</v>
      </c>
      <c r="B75" s="675"/>
      <c r="C75" s="612"/>
      <c r="D75" s="613">
        <v>3.0</v>
      </c>
      <c r="E75" s="614">
        <v>7.0</v>
      </c>
      <c r="F75" s="615"/>
      <c r="G75" s="677"/>
      <c r="H75" s="699"/>
      <c r="I75" s="585"/>
      <c r="J75" s="588"/>
      <c r="K75" s="589"/>
      <c r="L75" s="662"/>
      <c r="M75" s="662"/>
      <c r="N75" s="662"/>
      <c r="O75" s="672"/>
      <c r="P75" s="672"/>
      <c r="Q75" s="672"/>
      <c r="R75" s="672"/>
    </row>
    <row r="76">
      <c r="A76" s="682" t="s">
        <v>317</v>
      </c>
      <c r="B76" s="683"/>
      <c r="C76" s="593"/>
      <c r="D76" s="598">
        <v>2.0</v>
      </c>
      <c r="E76" s="602">
        <v>3.0</v>
      </c>
      <c r="F76" s="603"/>
      <c r="G76" s="645"/>
      <c r="H76" s="626"/>
      <c r="I76" s="592"/>
      <c r="J76" s="567"/>
      <c r="K76" s="568"/>
      <c r="L76" s="655"/>
      <c r="M76" s="655"/>
      <c r="N76" s="655"/>
      <c r="O76" s="674"/>
      <c r="P76" s="674"/>
      <c r="Q76" s="674"/>
      <c r="R76" s="674"/>
    </row>
    <row r="77">
      <c r="A77" s="681" t="s">
        <v>284</v>
      </c>
      <c r="B77" s="675"/>
      <c r="C77" s="612"/>
      <c r="D77" s="613">
        <v>2.0</v>
      </c>
      <c r="E77" s="614">
        <v>3.0</v>
      </c>
      <c r="F77" s="615"/>
      <c r="G77" s="677"/>
      <c r="H77" s="699"/>
      <c r="I77" s="585"/>
      <c r="J77" s="588"/>
      <c r="K77" s="589"/>
      <c r="L77" s="662"/>
      <c r="M77" s="662"/>
      <c r="N77" s="662"/>
      <c r="O77" s="672"/>
      <c r="P77" s="672"/>
      <c r="Q77" s="672"/>
      <c r="R77" s="672"/>
    </row>
    <row r="78">
      <c r="A78" s="682" t="s">
        <v>279</v>
      </c>
      <c r="B78" s="683"/>
      <c r="C78" s="593"/>
      <c r="D78" s="598">
        <v>2.0</v>
      </c>
      <c r="E78" s="602">
        <v>3.0</v>
      </c>
      <c r="F78" s="603"/>
      <c r="G78" s="645"/>
      <c r="H78" s="626"/>
      <c r="I78" s="592"/>
      <c r="J78" s="567"/>
      <c r="K78" s="568"/>
      <c r="L78" s="539"/>
      <c r="M78" s="655"/>
      <c r="N78" s="655"/>
      <c r="O78" s="674"/>
      <c r="P78" s="674"/>
      <c r="Q78" s="674"/>
      <c r="R78" s="674"/>
    </row>
    <row r="79">
      <c r="A79" s="681" t="s">
        <v>318</v>
      </c>
      <c r="B79" s="675"/>
      <c r="C79" s="612"/>
      <c r="D79" s="613">
        <v>1.0</v>
      </c>
      <c r="E79" s="614">
        <v>3.0</v>
      </c>
      <c r="F79" s="615"/>
      <c r="G79" s="677"/>
      <c r="H79" s="699"/>
      <c r="I79" s="585"/>
      <c r="J79" s="588"/>
      <c r="K79" s="589"/>
      <c r="L79" s="552"/>
      <c r="M79" s="662"/>
      <c r="N79" s="662"/>
      <c r="O79" s="672"/>
      <c r="P79" s="672"/>
      <c r="Q79" s="672"/>
      <c r="R79" s="672"/>
    </row>
    <row r="80">
      <c r="A80" s="682" t="s">
        <v>319</v>
      </c>
      <c r="B80" s="683"/>
      <c r="C80" s="593"/>
      <c r="D80" s="598">
        <v>10.0</v>
      </c>
      <c r="E80" s="602">
        <v>21.0</v>
      </c>
      <c r="F80" s="603"/>
      <c r="G80" s="645"/>
      <c r="H80" s="606">
        <v>1160.0</v>
      </c>
      <c r="I80" s="592" t="str">
        <f t="shared" ref="I80:I81" si="18">IFS(ISBLANK(C80)," ",VALUE(RIGHT(C80,1))&lt;=1,"one-hit",VALUE(RIGHT(C80,1))&lt;=3,1*60/H80,VALUE(RIGHT(C80,1))=4,"manual",VALUE(RIGHT(C80,1))&lt;=6,2*60/H80,VALUE(RIGHT(C80,1))=7,"manual",VALUE(RIGHT(C80,1))=8,3*6/H80,VALUE(RIGHT(C80,1))=9,"manual",VALUE(RIGHT(C80,1))&lt;=11,4*60/H80)</f>
        <v> </v>
      </c>
      <c r="J80" s="567"/>
      <c r="K80" s="568" t="str">
        <f t="shared" ref="K80:K81" si="19">IFS(ISBLANK(G80)," ",VALUE(RIGHT(G80,1))&lt;=1,"one-hit",VALUE(RIGHT(G80,1))&lt;=3,1*60/H80,VALUE(RIGHT(G80,1))=4,"manual",VALUE(RIGHT(G80,1))&lt;=6,2*60/H80,VALUE(RIGHT(G80,1))=7,"manual",VALUE(RIGHT(G80,1))=8,3*6/H80,VALUE(RIGHT(G80,1))=9,"manual",VALUE(RIGHT(G80,1))&lt;=11,4*60/H80)</f>
        <v> </v>
      </c>
      <c r="L80" s="655"/>
      <c r="M80" s="539"/>
      <c r="N80" s="655"/>
      <c r="O80" s="674"/>
      <c r="P80" s="674"/>
      <c r="Q80" s="674"/>
      <c r="R80" s="674"/>
    </row>
    <row r="81">
      <c r="A81" s="684" t="s">
        <v>320</v>
      </c>
      <c r="B81" s="685"/>
      <c r="C81" s="634"/>
      <c r="D81" s="635">
        <v>7.0</v>
      </c>
      <c r="E81" s="636">
        <v>15.0</v>
      </c>
      <c r="F81" s="637"/>
      <c r="G81" s="700"/>
      <c r="H81" s="639">
        <v>885.0</v>
      </c>
      <c r="I81" s="585" t="str">
        <f t="shared" si="18"/>
        <v> </v>
      </c>
      <c r="J81" s="588"/>
      <c r="K81" s="589" t="str">
        <f t="shared" si="19"/>
        <v> </v>
      </c>
      <c r="L81" s="662"/>
      <c r="M81" s="552"/>
      <c r="N81" s="662"/>
      <c r="O81" s="672"/>
      <c r="P81" s="672"/>
      <c r="Q81" s="672"/>
      <c r="R81" s="672"/>
    </row>
    <row r="82">
      <c r="A82" s="408"/>
      <c r="B82" s="730"/>
      <c r="C82" s="772"/>
      <c r="D82" s="773"/>
      <c r="E82" s="772"/>
      <c r="F82" s="773"/>
      <c r="G82" s="732"/>
      <c r="H82" s="733"/>
      <c r="I82" s="730"/>
      <c r="J82" s="731"/>
      <c r="K82" s="731"/>
      <c r="L82" s="774"/>
      <c r="M82" s="731"/>
      <c r="N82" s="731"/>
    </row>
    <row r="83">
      <c r="A83" s="408"/>
      <c r="B83" s="730"/>
      <c r="C83" s="772"/>
      <c r="D83" s="773"/>
      <c r="E83" s="772"/>
      <c r="F83" s="773"/>
      <c r="G83" s="732"/>
      <c r="H83" s="733"/>
      <c r="I83" s="730"/>
      <c r="J83" s="731"/>
      <c r="K83" s="731"/>
      <c r="L83" s="731"/>
      <c r="M83" s="731"/>
      <c r="N83" s="731"/>
    </row>
    <row r="84">
      <c r="A84" s="408"/>
      <c r="B84" s="730"/>
      <c r="C84" s="772"/>
      <c r="D84" s="773"/>
      <c r="E84" s="772"/>
      <c r="F84" s="773"/>
      <c r="G84" s="732"/>
      <c r="H84" s="733"/>
      <c r="I84" s="730"/>
      <c r="J84" s="731"/>
      <c r="K84" s="731"/>
      <c r="L84" s="731"/>
      <c r="M84" s="731"/>
      <c r="N84" s="731"/>
    </row>
    <row r="85">
      <c r="A85" s="408"/>
      <c r="B85" s="730"/>
      <c r="C85" s="772"/>
      <c r="D85" s="773"/>
      <c r="E85" s="772"/>
      <c r="F85" s="773"/>
      <c r="G85" s="732"/>
      <c r="H85" s="733"/>
      <c r="I85" s="730"/>
      <c r="J85" s="731"/>
      <c r="K85" s="731"/>
      <c r="L85" s="731"/>
      <c r="M85" s="731"/>
      <c r="N85" s="731"/>
    </row>
    <row r="86">
      <c r="A86" s="408"/>
      <c r="B86" s="730"/>
      <c r="C86" s="772"/>
      <c r="D86" s="773"/>
      <c r="E86" s="772"/>
      <c r="F86" s="773"/>
      <c r="G86" s="732"/>
      <c r="H86" s="733"/>
      <c r="I86" s="730"/>
      <c r="J86" s="731"/>
      <c r="K86" s="731"/>
      <c r="L86" s="731"/>
      <c r="M86" s="731"/>
      <c r="N86" s="731"/>
    </row>
    <row r="87">
      <c r="A87" s="408"/>
      <c r="B87" s="730"/>
      <c r="C87" s="772"/>
      <c r="D87" s="773"/>
      <c r="E87" s="772"/>
      <c r="F87" s="773"/>
      <c r="G87" s="732"/>
      <c r="H87" s="733"/>
      <c r="I87" s="730"/>
      <c r="J87" s="731"/>
      <c r="K87" s="731"/>
      <c r="L87" s="731"/>
      <c r="M87" s="731"/>
      <c r="N87" s="731"/>
    </row>
    <row r="88">
      <c r="A88" s="408"/>
      <c r="B88" s="730"/>
      <c r="C88" s="772"/>
      <c r="D88" s="773"/>
      <c r="E88" s="772"/>
      <c r="F88" s="773"/>
      <c r="G88" s="732"/>
      <c r="H88" s="733"/>
      <c r="I88" s="730"/>
      <c r="J88" s="731"/>
      <c r="K88" s="731"/>
      <c r="L88" s="731"/>
      <c r="M88" s="731"/>
      <c r="N88" s="731"/>
    </row>
    <row r="89">
      <c r="A89" s="408"/>
      <c r="B89" s="730"/>
      <c r="C89" s="772"/>
      <c r="D89" s="773"/>
      <c r="E89" s="772"/>
      <c r="F89" s="773"/>
      <c r="G89" s="732"/>
      <c r="H89" s="733"/>
      <c r="I89" s="730"/>
      <c r="J89" s="731"/>
      <c r="K89" s="731"/>
      <c r="L89" s="731"/>
      <c r="M89" s="731"/>
      <c r="N89" s="731"/>
    </row>
    <row r="90">
      <c r="A90" s="408"/>
      <c r="B90" s="730"/>
      <c r="C90" s="772"/>
      <c r="D90" s="773"/>
      <c r="E90" s="772"/>
      <c r="F90" s="773"/>
      <c r="G90" s="732"/>
      <c r="H90" s="733"/>
      <c r="I90" s="730"/>
      <c r="J90" s="731"/>
      <c r="K90" s="731"/>
      <c r="L90" s="731"/>
      <c r="M90" s="731"/>
      <c r="N90" s="731"/>
    </row>
    <row r="91">
      <c r="A91" s="408"/>
      <c r="B91" s="730"/>
      <c r="C91" s="772"/>
      <c r="D91" s="773"/>
      <c r="E91" s="772"/>
      <c r="F91" s="773"/>
      <c r="G91" s="732"/>
      <c r="H91" s="733"/>
      <c r="I91" s="730"/>
      <c r="J91" s="731"/>
      <c r="K91" s="731"/>
      <c r="L91" s="731"/>
      <c r="M91" s="731"/>
      <c r="N91" s="731"/>
    </row>
    <row r="92">
      <c r="A92" s="408"/>
      <c r="B92" s="730"/>
      <c r="C92" s="772"/>
      <c r="D92" s="773"/>
      <c r="E92" s="772"/>
      <c r="F92" s="773"/>
      <c r="G92" s="732"/>
      <c r="H92" s="733"/>
      <c r="I92" s="730"/>
      <c r="J92" s="731"/>
      <c r="K92" s="731"/>
      <c r="L92" s="731"/>
      <c r="M92" s="731"/>
      <c r="N92" s="731"/>
    </row>
    <row r="93">
      <c r="A93" s="408"/>
      <c r="B93" s="730"/>
      <c r="C93" s="772"/>
      <c r="D93" s="773"/>
      <c r="E93" s="772"/>
      <c r="F93" s="773"/>
      <c r="G93" s="732"/>
      <c r="H93" s="733"/>
      <c r="I93" s="730"/>
      <c r="J93" s="731"/>
      <c r="K93" s="731"/>
      <c r="L93" s="731"/>
      <c r="M93" s="731"/>
      <c r="N93" s="731"/>
    </row>
    <row r="94">
      <c r="A94" s="408"/>
      <c r="B94" s="730"/>
      <c r="C94" s="772"/>
      <c r="D94" s="773"/>
      <c r="E94" s="772"/>
      <c r="F94" s="773"/>
      <c r="G94" s="732"/>
      <c r="H94" s="733"/>
      <c r="I94" s="730"/>
      <c r="J94" s="731"/>
      <c r="K94" s="731"/>
      <c r="L94" s="731"/>
      <c r="M94" s="731"/>
      <c r="N94" s="731"/>
    </row>
    <row r="95">
      <c r="A95" s="408"/>
      <c r="B95" s="730"/>
      <c r="C95" s="772"/>
      <c r="D95" s="773"/>
      <c r="E95" s="772"/>
      <c r="F95" s="773"/>
      <c r="G95" s="732"/>
      <c r="H95" s="733"/>
      <c r="I95" s="730"/>
      <c r="J95" s="731"/>
      <c r="K95" s="731"/>
      <c r="L95" s="731"/>
      <c r="M95" s="731"/>
      <c r="N95" s="731"/>
    </row>
    <row r="96">
      <c r="A96" s="408"/>
      <c r="B96" s="730"/>
      <c r="C96" s="772"/>
      <c r="D96" s="773"/>
      <c r="E96" s="772"/>
      <c r="F96" s="773"/>
      <c r="G96" s="732"/>
      <c r="H96" s="733"/>
      <c r="I96" s="730"/>
      <c r="J96" s="731"/>
      <c r="K96" s="731"/>
      <c r="L96" s="731"/>
      <c r="M96" s="731"/>
      <c r="N96" s="731"/>
    </row>
    <row r="97">
      <c r="A97" s="408"/>
      <c r="B97" s="730"/>
      <c r="C97" s="772"/>
      <c r="D97" s="773"/>
      <c r="E97" s="772"/>
      <c r="F97" s="773"/>
      <c r="G97" s="732"/>
      <c r="H97" s="733"/>
      <c r="I97" s="730"/>
      <c r="J97" s="731"/>
      <c r="K97" s="731"/>
      <c r="L97" s="731"/>
      <c r="M97" s="731"/>
      <c r="N97" s="731"/>
    </row>
    <row r="98">
      <c r="A98" s="408"/>
      <c r="B98" s="730"/>
      <c r="C98" s="772"/>
      <c r="D98" s="773"/>
      <c r="E98" s="772"/>
      <c r="F98" s="773"/>
      <c r="G98" s="732"/>
      <c r="H98" s="733"/>
      <c r="I98" s="730"/>
      <c r="J98" s="731"/>
      <c r="K98" s="731"/>
      <c r="L98" s="731"/>
      <c r="M98" s="731"/>
      <c r="N98" s="731"/>
    </row>
    <row r="99">
      <c r="A99" s="408"/>
      <c r="B99" s="730"/>
      <c r="C99" s="772"/>
      <c r="D99" s="773"/>
      <c r="E99" s="772"/>
      <c r="F99" s="773"/>
      <c r="G99" s="732"/>
      <c r="H99" s="733"/>
      <c r="I99" s="730"/>
      <c r="J99" s="731"/>
      <c r="K99" s="731"/>
      <c r="L99" s="731"/>
      <c r="M99" s="731"/>
      <c r="N99" s="731"/>
    </row>
    <row r="100">
      <c r="A100" s="408"/>
      <c r="B100" s="730"/>
      <c r="C100" s="772"/>
      <c r="D100" s="773"/>
      <c r="E100" s="772"/>
      <c r="F100" s="773"/>
      <c r="G100" s="732"/>
      <c r="H100" s="733"/>
      <c r="I100" s="730"/>
      <c r="J100" s="731"/>
      <c r="K100" s="731"/>
      <c r="L100" s="731"/>
      <c r="M100" s="731"/>
      <c r="N100" s="731"/>
    </row>
    <row r="101">
      <c r="A101" s="408"/>
      <c r="B101" s="730"/>
      <c r="C101" s="772"/>
      <c r="D101" s="773"/>
      <c r="E101" s="772"/>
      <c r="F101" s="773"/>
      <c r="G101" s="732"/>
      <c r="H101" s="733"/>
      <c r="I101" s="730"/>
      <c r="J101" s="731"/>
      <c r="K101" s="731"/>
      <c r="L101" s="731"/>
      <c r="M101" s="731"/>
      <c r="N101" s="731"/>
    </row>
    <row r="102">
      <c r="A102" s="408"/>
      <c r="B102" s="730"/>
      <c r="C102" s="772"/>
      <c r="D102" s="773"/>
      <c r="E102" s="772"/>
      <c r="F102" s="773"/>
      <c r="G102" s="732"/>
      <c r="H102" s="733"/>
      <c r="I102" s="730"/>
      <c r="J102" s="731"/>
      <c r="K102" s="731"/>
      <c r="L102" s="731"/>
      <c r="M102" s="731"/>
      <c r="N102" s="731"/>
    </row>
    <row r="103">
      <c r="A103" s="408"/>
      <c r="B103" s="730"/>
      <c r="C103" s="772"/>
      <c r="D103" s="773"/>
      <c r="E103" s="772"/>
      <c r="F103" s="773"/>
      <c r="G103" s="732"/>
      <c r="H103" s="733"/>
      <c r="I103" s="730"/>
      <c r="J103" s="731"/>
      <c r="K103" s="731"/>
      <c r="L103" s="731"/>
      <c r="M103" s="731"/>
      <c r="N103" s="731"/>
    </row>
    <row r="104">
      <c r="A104" s="408"/>
      <c r="B104" s="730"/>
      <c r="C104" s="772"/>
      <c r="D104" s="773"/>
      <c r="E104" s="772"/>
      <c r="F104" s="773"/>
      <c r="G104" s="732"/>
      <c r="H104" s="733"/>
      <c r="I104" s="730"/>
      <c r="J104" s="731"/>
      <c r="K104" s="731"/>
      <c r="L104" s="731"/>
      <c r="M104" s="731"/>
      <c r="N104" s="731"/>
    </row>
    <row r="105">
      <c r="A105" s="408"/>
      <c r="B105" s="730"/>
      <c r="C105" s="772"/>
      <c r="D105" s="773"/>
      <c r="E105" s="772"/>
      <c r="F105" s="773"/>
      <c r="G105" s="732"/>
      <c r="H105" s="733"/>
      <c r="I105" s="730"/>
      <c r="J105" s="731"/>
      <c r="K105" s="731"/>
      <c r="L105" s="731"/>
      <c r="M105" s="731"/>
      <c r="N105" s="731"/>
    </row>
    <row r="106">
      <c r="A106" s="408"/>
      <c r="B106" s="730"/>
      <c r="C106" s="772"/>
      <c r="D106" s="773"/>
      <c r="E106" s="772"/>
      <c r="F106" s="773"/>
      <c r="G106" s="732"/>
      <c r="H106" s="733"/>
      <c r="I106" s="730"/>
      <c r="J106" s="731"/>
      <c r="K106" s="731"/>
      <c r="L106" s="731"/>
      <c r="M106" s="731"/>
      <c r="N106" s="731"/>
    </row>
    <row r="107">
      <c r="A107" s="408"/>
      <c r="B107" s="730"/>
      <c r="C107" s="772"/>
      <c r="D107" s="773"/>
      <c r="E107" s="772"/>
      <c r="F107" s="773"/>
      <c r="G107" s="732"/>
      <c r="H107" s="733"/>
      <c r="I107" s="730"/>
      <c r="J107" s="731"/>
      <c r="K107" s="731"/>
      <c r="L107" s="731"/>
      <c r="M107" s="731"/>
      <c r="N107" s="731"/>
    </row>
    <row r="108">
      <c r="A108" s="408"/>
      <c r="B108" s="730"/>
      <c r="C108" s="772"/>
      <c r="D108" s="773"/>
      <c r="E108" s="772"/>
      <c r="F108" s="773"/>
      <c r="G108" s="732"/>
      <c r="H108" s="733"/>
      <c r="I108" s="730"/>
      <c r="J108" s="731"/>
      <c r="K108" s="731"/>
      <c r="L108" s="731"/>
      <c r="M108" s="731"/>
      <c r="N108" s="731"/>
    </row>
    <row r="109">
      <c r="A109" s="408"/>
      <c r="B109" s="730"/>
      <c r="C109" s="772"/>
      <c r="D109" s="773"/>
      <c r="E109" s="772"/>
      <c r="F109" s="773"/>
      <c r="G109" s="732"/>
      <c r="H109" s="733"/>
      <c r="I109" s="730"/>
      <c r="J109" s="731"/>
      <c r="K109" s="731"/>
      <c r="L109" s="731"/>
      <c r="M109" s="731"/>
      <c r="N109" s="731"/>
    </row>
    <row r="110">
      <c r="A110" s="408"/>
      <c r="B110" s="730"/>
      <c r="C110" s="772"/>
      <c r="D110" s="773"/>
      <c r="E110" s="772"/>
      <c r="F110" s="773"/>
      <c r="G110" s="732"/>
      <c r="H110" s="733"/>
      <c r="I110" s="730"/>
      <c r="J110" s="731"/>
      <c r="K110" s="731"/>
      <c r="L110" s="731"/>
      <c r="M110" s="731"/>
      <c r="N110" s="731"/>
    </row>
    <row r="111">
      <c r="A111" s="408"/>
      <c r="B111" s="730"/>
      <c r="C111" s="772"/>
      <c r="D111" s="773"/>
      <c r="E111" s="772"/>
      <c r="F111" s="773"/>
      <c r="G111" s="732"/>
      <c r="H111" s="733"/>
      <c r="I111" s="730"/>
      <c r="J111" s="731"/>
      <c r="K111" s="731"/>
      <c r="L111" s="731"/>
      <c r="M111" s="731"/>
      <c r="N111" s="731"/>
    </row>
    <row r="112">
      <c r="A112" s="408"/>
      <c r="B112" s="730"/>
      <c r="C112" s="772"/>
      <c r="D112" s="773"/>
      <c r="E112" s="772"/>
      <c r="F112" s="773"/>
      <c r="G112" s="732"/>
      <c r="H112" s="733"/>
      <c r="I112" s="730"/>
      <c r="J112" s="731"/>
      <c r="K112" s="731"/>
      <c r="L112" s="731"/>
      <c r="M112" s="731"/>
      <c r="N112" s="731"/>
    </row>
    <row r="113">
      <c r="A113" s="408"/>
      <c r="B113" s="730"/>
      <c r="C113" s="772"/>
      <c r="D113" s="773"/>
      <c r="E113" s="772"/>
      <c r="F113" s="773"/>
      <c r="G113" s="732"/>
      <c r="H113" s="733"/>
      <c r="I113" s="730"/>
      <c r="J113" s="731"/>
      <c r="K113" s="731"/>
      <c r="L113" s="731"/>
      <c r="M113" s="731"/>
      <c r="N113" s="731"/>
    </row>
    <row r="114">
      <c r="A114" s="408"/>
      <c r="B114" s="730"/>
      <c r="C114" s="772"/>
      <c r="D114" s="773"/>
      <c r="E114" s="772"/>
      <c r="F114" s="773"/>
      <c r="G114" s="732"/>
      <c r="H114" s="733"/>
      <c r="I114" s="730"/>
      <c r="J114" s="731"/>
      <c r="K114" s="731"/>
      <c r="L114" s="731"/>
      <c r="M114" s="731"/>
      <c r="N114" s="731"/>
    </row>
    <row r="115">
      <c r="A115" s="408"/>
      <c r="B115" s="730"/>
      <c r="C115" s="772"/>
      <c r="D115" s="773"/>
      <c r="E115" s="772"/>
      <c r="F115" s="773"/>
      <c r="G115" s="732"/>
      <c r="H115" s="733"/>
      <c r="I115" s="730"/>
      <c r="J115" s="731"/>
      <c r="K115" s="731"/>
      <c r="L115" s="731"/>
      <c r="M115" s="731"/>
      <c r="N115" s="731"/>
    </row>
    <row r="116">
      <c r="A116" s="408"/>
      <c r="B116" s="730"/>
      <c r="C116" s="772"/>
      <c r="D116" s="773"/>
      <c r="E116" s="772"/>
      <c r="F116" s="773"/>
      <c r="G116" s="732"/>
      <c r="H116" s="733"/>
      <c r="I116" s="730"/>
      <c r="J116" s="731"/>
      <c r="K116" s="731"/>
      <c r="L116" s="731"/>
      <c r="M116" s="731"/>
      <c r="N116" s="731"/>
    </row>
    <row r="117">
      <c r="A117" s="408"/>
      <c r="B117" s="730"/>
      <c r="C117" s="772"/>
      <c r="D117" s="773"/>
      <c r="E117" s="772"/>
      <c r="F117" s="773"/>
      <c r="G117" s="732"/>
      <c r="H117" s="733"/>
      <c r="I117" s="730"/>
      <c r="J117" s="731"/>
      <c r="K117" s="731"/>
      <c r="L117" s="731"/>
      <c r="M117" s="731"/>
      <c r="N117" s="731"/>
    </row>
    <row r="118">
      <c r="A118" s="408"/>
      <c r="B118" s="730"/>
      <c r="C118" s="772"/>
      <c r="D118" s="773"/>
      <c r="E118" s="772"/>
      <c r="F118" s="773"/>
      <c r="G118" s="732"/>
      <c r="H118" s="733"/>
      <c r="I118" s="730"/>
      <c r="J118" s="731"/>
      <c r="K118" s="731"/>
      <c r="L118" s="731"/>
      <c r="M118" s="731"/>
      <c r="N118" s="731"/>
    </row>
    <row r="119">
      <c r="A119" s="408"/>
      <c r="B119" s="730"/>
      <c r="C119" s="772"/>
      <c r="D119" s="773"/>
      <c r="E119" s="772"/>
      <c r="F119" s="773"/>
      <c r="G119" s="732"/>
      <c r="H119" s="733"/>
      <c r="I119" s="730"/>
      <c r="J119" s="731"/>
      <c r="K119" s="731"/>
      <c r="L119" s="731"/>
      <c r="M119" s="731"/>
      <c r="N119" s="731"/>
    </row>
    <row r="120">
      <c r="A120" s="408"/>
      <c r="B120" s="730"/>
      <c r="C120" s="772"/>
      <c r="D120" s="773"/>
      <c r="E120" s="772"/>
      <c r="F120" s="773"/>
      <c r="G120" s="732"/>
      <c r="H120" s="733"/>
      <c r="I120" s="730"/>
      <c r="J120" s="731"/>
      <c r="K120" s="731"/>
      <c r="L120" s="731"/>
      <c r="M120" s="731"/>
      <c r="N120" s="731"/>
    </row>
    <row r="121">
      <c r="A121" s="408"/>
      <c r="B121" s="730"/>
      <c r="C121" s="772"/>
      <c r="D121" s="773"/>
      <c r="E121" s="772"/>
      <c r="F121" s="773"/>
      <c r="G121" s="732"/>
      <c r="H121" s="733"/>
      <c r="I121" s="730"/>
      <c r="J121" s="731"/>
      <c r="K121" s="731"/>
      <c r="L121" s="731"/>
      <c r="M121" s="731"/>
      <c r="N121" s="731"/>
    </row>
    <row r="122">
      <c r="A122" s="408"/>
      <c r="B122" s="730"/>
      <c r="C122" s="772"/>
      <c r="D122" s="773"/>
      <c r="E122" s="772"/>
      <c r="F122" s="773"/>
      <c r="G122" s="732"/>
      <c r="H122" s="733"/>
      <c r="I122" s="730"/>
      <c r="J122" s="731"/>
      <c r="K122" s="731"/>
      <c r="L122" s="731"/>
      <c r="M122" s="731"/>
      <c r="N122" s="731"/>
    </row>
    <row r="123">
      <c r="A123" s="408"/>
      <c r="B123" s="730"/>
      <c r="C123" s="772"/>
      <c r="D123" s="773"/>
      <c r="E123" s="772"/>
      <c r="F123" s="773"/>
      <c r="G123" s="732"/>
      <c r="H123" s="733"/>
      <c r="I123" s="730"/>
      <c r="J123" s="731"/>
      <c r="K123" s="731"/>
      <c r="L123" s="731"/>
      <c r="M123" s="731"/>
      <c r="N123" s="731"/>
    </row>
    <row r="124">
      <c r="A124" s="408"/>
      <c r="B124" s="730"/>
      <c r="C124" s="772"/>
      <c r="D124" s="773"/>
      <c r="E124" s="772"/>
      <c r="F124" s="773"/>
      <c r="G124" s="732"/>
      <c r="H124" s="733"/>
      <c r="I124" s="730"/>
      <c r="J124" s="731"/>
      <c r="K124" s="731"/>
      <c r="L124" s="731"/>
      <c r="M124" s="731"/>
      <c r="N124" s="731"/>
    </row>
    <row r="125">
      <c r="A125" s="408"/>
      <c r="B125" s="730"/>
      <c r="C125" s="772"/>
      <c r="D125" s="773"/>
      <c r="E125" s="772"/>
      <c r="F125" s="773"/>
      <c r="G125" s="732"/>
      <c r="H125" s="733"/>
      <c r="I125" s="730"/>
      <c r="J125" s="731"/>
      <c r="K125" s="731"/>
      <c r="L125" s="731"/>
      <c r="M125" s="731"/>
      <c r="N125" s="731"/>
    </row>
    <row r="126">
      <c r="A126" s="408"/>
      <c r="B126" s="730"/>
      <c r="C126" s="772"/>
      <c r="D126" s="773"/>
      <c r="E126" s="772"/>
      <c r="F126" s="773"/>
      <c r="G126" s="732"/>
      <c r="H126" s="733"/>
      <c r="I126" s="730"/>
      <c r="J126" s="731"/>
      <c r="K126" s="731"/>
      <c r="L126" s="731"/>
      <c r="M126" s="731"/>
      <c r="N126" s="731"/>
    </row>
    <row r="127">
      <c r="A127" s="408"/>
      <c r="B127" s="730"/>
      <c r="C127" s="772"/>
      <c r="D127" s="773"/>
      <c r="E127" s="772"/>
      <c r="F127" s="773"/>
      <c r="G127" s="732"/>
      <c r="H127" s="733"/>
      <c r="I127" s="730"/>
      <c r="J127" s="731"/>
      <c r="K127" s="731"/>
      <c r="L127" s="731"/>
      <c r="M127" s="731"/>
      <c r="N127" s="731"/>
    </row>
    <row r="128">
      <c r="A128" s="408"/>
      <c r="B128" s="730"/>
      <c r="C128" s="772"/>
      <c r="D128" s="773"/>
      <c r="E128" s="772"/>
      <c r="F128" s="773"/>
      <c r="G128" s="732"/>
      <c r="H128" s="733"/>
      <c r="I128" s="730"/>
      <c r="J128" s="731"/>
      <c r="K128" s="731"/>
      <c r="L128" s="731"/>
      <c r="M128" s="731"/>
      <c r="N128" s="731"/>
    </row>
    <row r="129">
      <c r="A129" s="408"/>
      <c r="B129" s="730"/>
      <c r="C129" s="772"/>
      <c r="D129" s="773"/>
      <c r="E129" s="772"/>
      <c r="F129" s="773"/>
      <c r="G129" s="732"/>
      <c r="H129" s="733"/>
      <c r="I129" s="730"/>
      <c r="J129" s="731"/>
      <c r="K129" s="731"/>
      <c r="L129" s="731"/>
      <c r="M129" s="731"/>
      <c r="N129" s="731"/>
    </row>
    <row r="130">
      <c r="A130" s="408"/>
      <c r="B130" s="730"/>
      <c r="C130" s="772"/>
      <c r="D130" s="773"/>
      <c r="E130" s="772"/>
      <c r="F130" s="773"/>
      <c r="G130" s="732"/>
      <c r="H130" s="733"/>
      <c r="I130" s="730"/>
      <c r="J130" s="731"/>
      <c r="K130" s="731"/>
      <c r="L130" s="731"/>
      <c r="M130" s="731"/>
      <c r="N130" s="731"/>
    </row>
    <row r="131">
      <c r="A131" s="408"/>
      <c r="B131" s="730"/>
      <c r="C131" s="772"/>
      <c r="D131" s="773"/>
      <c r="E131" s="772"/>
      <c r="F131" s="773"/>
      <c r="G131" s="732"/>
      <c r="H131" s="733"/>
      <c r="I131" s="730"/>
      <c r="J131" s="731"/>
      <c r="K131" s="731"/>
      <c r="L131" s="731"/>
      <c r="M131" s="731"/>
      <c r="N131" s="731"/>
    </row>
    <row r="132">
      <c r="A132" s="408"/>
      <c r="B132" s="730"/>
      <c r="C132" s="772"/>
      <c r="D132" s="773"/>
      <c r="E132" s="772"/>
      <c r="F132" s="773"/>
      <c r="G132" s="732"/>
      <c r="H132" s="733"/>
      <c r="I132" s="730"/>
      <c r="J132" s="731"/>
      <c r="K132" s="731"/>
      <c r="L132" s="731"/>
      <c r="M132" s="731"/>
      <c r="N132" s="731"/>
    </row>
    <row r="133">
      <c r="A133" s="408"/>
      <c r="B133" s="730"/>
      <c r="C133" s="772"/>
      <c r="D133" s="773"/>
      <c r="E133" s="772"/>
      <c r="F133" s="773"/>
      <c r="G133" s="732"/>
      <c r="H133" s="733"/>
      <c r="I133" s="730"/>
      <c r="J133" s="731"/>
      <c r="K133" s="731"/>
      <c r="L133" s="731"/>
      <c r="M133" s="731"/>
      <c r="N133" s="731"/>
    </row>
    <row r="134">
      <c r="A134" s="408"/>
      <c r="B134" s="730"/>
      <c r="C134" s="772"/>
      <c r="D134" s="773"/>
      <c r="E134" s="772"/>
      <c r="F134" s="773"/>
      <c r="G134" s="732"/>
      <c r="H134" s="733"/>
      <c r="I134" s="730"/>
      <c r="J134" s="731"/>
      <c r="K134" s="731"/>
      <c r="L134" s="731"/>
      <c r="M134" s="731"/>
      <c r="N134" s="731"/>
    </row>
    <row r="135">
      <c r="A135" s="408"/>
      <c r="B135" s="730"/>
      <c r="C135" s="772"/>
      <c r="D135" s="773"/>
      <c r="E135" s="772"/>
      <c r="F135" s="773"/>
      <c r="G135" s="732"/>
      <c r="H135" s="733"/>
      <c r="I135" s="730"/>
      <c r="J135" s="731"/>
      <c r="K135" s="731"/>
      <c r="L135" s="731"/>
      <c r="M135" s="731"/>
      <c r="N135" s="731"/>
    </row>
    <row r="136">
      <c r="A136" s="408"/>
      <c r="B136" s="730"/>
      <c r="C136" s="772"/>
      <c r="D136" s="773"/>
      <c r="E136" s="772"/>
      <c r="F136" s="773"/>
      <c r="G136" s="732"/>
      <c r="H136" s="733"/>
      <c r="I136" s="730"/>
      <c r="J136" s="731"/>
      <c r="K136" s="731"/>
      <c r="L136" s="731"/>
      <c r="M136" s="731"/>
      <c r="N136" s="731"/>
    </row>
    <row r="137">
      <c r="A137" s="408"/>
      <c r="B137" s="730"/>
      <c r="C137" s="772"/>
      <c r="D137" s="773"/>
      <c r="E137" s="772"/>
      <c r="F137" s="773"/>
      <c r="G137" s="732"/>
      <c r="H137" s="733"/>
      <c r="I137" s="730"/>
      <c r="J137" s="731"/>
      <c r="K137" s="731"/>
      <c r="L137" s="731"/>
      <c r="M137" s="731"/>
      <c r="N137" s="731"/>
    </row>
    <row r="138">
      <c r="A138" s="408"/>
      <c r="B138" s="730"/>
      <c r="C138" s="772"/>
      <c r="D138" s="773"/>
      <c r="E138" s="772"/>
      <c r="F138" s="773"/>
      <c r="G138" s="732"/>
      <c r="H138" s="733"/>
      <c r="I138" s="730"/>
      <c r="J138" s="731"/>
      <c r="K138" s="731"/>
      <c r="L138" s="731"/>
      <c r="M138" s="731"/>
      <c r="N138" s="731"/>
    </row>
    <row r="139">
      <c r="A139" s="408"/>
      <c r="B139" s="730"/>
      <c r="C139" s="772"/>
      <c r="D139" s="773"/>
      <c r="E139" s="772"/>
      <c r="F139" s="773"/>
      <c r="G139" s="732"/>
      <c r="H139" s="733"/>
      <c r="I139" s="730"/>
      <c r="J139" s="731"/>
      <c r="K139" s="731"/>
      <c r="L139" s="731"/>
      <c r="M139" s="731"/>
      <c r="N139" s="731"/>
    </row>
    <row r="140">
      <c r="A140" s="408"/>
      <c r="B140" s="730"/>
      <c r="C140" s="772"/>
      <c r="D140" s="773"/>
      <c r="E140" s="772"/>
      <c r="F140" s="773"/>
      <c r="G140" s="732"/>
      <c r="H140" s="733"/>
      <c r="I140" s="730"/>
      <c r="J140" s="731"/>
      <c r="K140" s="731"/>
      <c r="L140" s="731"/>
      <c r="M140" s="731"/>
      <c r="N140" s="731"/>
    </row>
    <row r="141">
      <c r="A141" s="408"/>
      <c r="B141" s="730"/>
      <c r="C141" s="772"/>
      <c r="D141" s="773"/>
      <c r="E141" s="772"/>
      <c r="F141" s="773"/>
      <c r="G141" s="732"/>
      <c r="H141" s="733"/>
      <c r="I141" s="730"/>
      <c r="J141" s="731"/>
      <c r="K141" s="731"/>
      <c r="L141" s="731"/>
      <c r="M141" s="731"/>
      <c r="N141" s="731"/>
    </row>
    <row r="142">
      <c r="A142" s="408"/>
      <c r="B142" s="730"/>
      <c r="C142" s="772"/>
      <c r="D142" s="773"/>
      <c r="E142" s="772"/>
      <c r="F142" s="773"/>
      <c r="G142" s="732"/>
      <c r="H142" s="733"/>
      <c r="I142" s="730"/>
      <c r="J142" s="731"/>
      <c r="K142" s="731"/>
      <c r="L142" s="731"/>
      <c r="M142" s="731"/>
      <c r="N142" s="731"/>
    </row>
    <row r="143">
      <c r="A143" s="408"/>
      <c r="B143" s="730"/>
      <c r="C143" s="772"/>
      <c r="D143" s="773"/>
      <c r="E143" s="772"/>
      <c r="F143" s="773"/>
      <c r="G143" s="732"/>
      <c r="H143" s="733"/>
      <c r="I143" s="730"/>
      <c r="J143" s="731"/>
      <c r="K143" s="731"/>
      <c r="L143" s="731"/>
      <c r="M143" s="731"/>
      <c r="N143" s="731"/>
    </row>
    <row r="144">
      <c r="A144" s="408"/>
      <c r="B144" s="730"/>
      <c r="C144" s="772"/>
      <c r="D144" s="773"/>
      <c r="E144" s="772"/>
      <c r="F144" s="773"/>
      <c r="G144" s="732"/>
      <c r="H144" s="733"/>
      <c r="I144" s="730"/>
      <c r="J144" s="731"/>
      <c r="K144" s="731"/>
      <c r="L144" s="731"/>
      <c r="M144" s="731"/>
      <c r="N144" s="731"/>
    </row>
    <row r="145">
      <c r="A145" s="408"/>
      <c r="B145" s="730"/>
      <c r="C145" s="772"/>
      <c r="D145" s="773"/>
      <c r="E145" s="772"/>
      <c r="F145" s="773"/>
      <c r="G145" s="732"/>
      <c r="H145" s="733"/>
      <c r="I145" s="730"/>
      <c r="J145" s="731"/>
      <c r="K145" s="731"/>
      <c r="L145" s="731"/>
      <c r="M145" s="731"/>
      <c r="N145" s="731"/>
    </row>
    <row r="146">
      <c r="A146" s="408"/>
      <c r="B146" s="730"/>
      <c r="C146" s="772"/>
      <c r="D146" s="773"/>
      <c r="E146" s="772"/>
      <c r="F146" s="773"/>
      <c r="G146" s="732"/>
      <c r="H146" s="733"/>
      <c r="I146" s="730"/>
      <c r="J146" s="731"/>
      <c r="K146" s="731"/>
      <c r="L146" s="731"/>
      <c r="M146" s="731"/>
      <c r="N146" s="731"/>
    </row>
    <row r="147">
      <c r="A147" s="408"/>
      <c r="B147" s="730"/>
      <c r="C147" s="772"/>
      <c r="D147" s="773"/>
      <c r="E147" s="772"/>
      <c r="F147" s="773"/>
      <c r="G147" s="732"/>
      <c r="H147" s="733"/>
      <c r="I147" s="730"/>
      <c r="J147" s="731"/>
      <c r="K147" s="731"/>
      <c r="L147" s="731"/>
      <c r="M147" s="731"/>
      <c r="N147" s="731"/>
    </row>
    <row r="148">
      <c r="A148" s="408"/>
      <c r="B148" s="730"/>
      <c r="C148" s="772"/>
      <c r="D148" s="773"/>
      <c r="E148" s="772"/>
      <c r="F148" s="773"/>
      <c r="G148" s="732"/>
      <c r="H148" s="733"/>
      <c r="I148" s="730"/>
      <c r="J148" s="731"/>
      <c r="K148" s="731"/>
      <c r="L148" s="731"/>
      <c r="M148" s="731"/>
      <c r="N148" s="731"/>
    </row>
    <row r="149">
      <c r="A149" s="408"/>
      <c r="B149" s="730"/>
      <c r="C149" s="772"/>
      <c r="D149" s="773"/>
      <c r="E149" s="772"/>
      <c r="F149" s="773"/>
      <c r="G149" s="732"/>
      <c r="H149" s="733"/>
      <c r="I149" s="730"/>
      <c r="J149" s="731"/>
      <c r="K149" s="731"/>
      <c r="L149" s="731"/>
      <c r="M149" s="731"/>
      <c r="N149" s="731"/>
    </row>
    <row r="150">
      <c r="A150" s="408"/>
      <c r="B150" s="730"/>
      <c r="C150" s="772"/>
      <c r="D150" s="773"/>
      <c r="E150" s="772"/>
      <c r="F150" s="773"/>
      <c r="G150" s="732"/>
      <c r="H150" s="733"/>
      <c r="I150" s="730"/>
      <c r="J150" s="731"/>
      <c r="K150" s="731"/>
      <c r="L150" s="731"/>
      <c r="M150" s="731"/>
      <c r="N150" s="731"/>
    </row>
    <row r="151">
      <c r="A151" s="408"/>
      <c r="B151" s="730"/>
      <c r="C151" s="772"/>
      <c r="D151" s="773"/>
      <c r="E151" s="772"/>
      <c r="F151" s="773"/>
      <c r="G151" s="732"/>
      <c r="H151" s="733"/>
      <c r="I151" s="730"/>
      <c r="J151" s="731"/>
      <c r="K151" s="731"/>
      <c r="L151" s="731"/>
      <c r="M151" s="731"/>
      <c r="N151" s="731"/>
    </row>
    <row r="152">
      <c r="A152" s="408"/>
      <c r="B152" s="730"/>
      <c r="C152" s="772"/>
      <c r="D152" s="773"/>
      <c r="E152" s="772"/>
      <c r="F152" s="773"/>
      <c r="G152" s="732"/>
      <c r="H152" s="733"/>
      <c r="I152" s="730"/>
      <c r="J152" s="731"/>
      <c r="K152" s="731"/>
      <c r="L152" s="731"/>
      <c r="M152" s="731"/>
      <c r="N152" s="731"/>
    </row>
    <row r="153">
      <c r="A153" s="408"/>
      <c r="B153" s="730"/>
      <c r="C153" s="772"/>
      <c r="D153" s="773"/>
      <c r="E153" s="772"/>
      <c r="F153" s="773"/>
      <c r="G153" s="732"/>
      <c r="H153" s="733"/>
      <c r="I153" s="730"/>
      <c r="J153" s="731"/>
      <c r="K153" s="731"/>
      <c r="L153" s="731"/>
      <c r="M153" s="731"/>
      <c r="N153" s="731"/>
    </row>
    <row r="154">
      <c r="A154" s="408"/>
      <c r="B154" s="730"/>
      <c r="C154" s="772"/>
      <c r="D154" s="773"/>
      <c r="E154" s="772"/>
      <c r="F154" s="773"/>
      <c r="G154" s="732"/>
      <c r="H154" s="733"/>
      <c r="I154" s="730"/>
      <c r="J154" s="731"/>
      <c r="K154" s="731"/>
      <c r="L154" s="731"/>
      <c r="M154" s="731"/>
      <c r="N154" s="731"/>
    </row>
    <row r="155">
      <c r="A155" s="408"/>
      <c r="B155" s="730"/>
      <c r="C155" s="772"/>
      <c r="D155" s="773"/>
      <c r="E155" s="772"/>
      <c r="F155" s="773"/>
      <c r="G155" s="732"/>
      <c r="H155" s="733"/>
      <c r="I155" s="730"/>
      <c r="J155" s="731"/>
      <c r="K155" s="731"/>
      <c r="L155" s="731"/>
      <c r="M155" s="731"/>
      <c r="N155" s="731"/>
    </row>
    <row r="156">
      <c r="A156" s="408"/>
      <c r="B156" s="730"/>
      <c r="C156" s="772"/>
      <c r="D156" s="773"/>
      <c r="E156" s="772"/>
      <c r="F156" s="773"/>
      <c r="G156" s="732"/>
      <c r="H156" s="733"/>
      <c r="I156" s="730"/>
      <c r="J156" s="731"/>
      <c r="K156" s="731"/>
      <c r="L156" s="731"/>
      <c r="M156" s="731"/>
      <c r="N156" s="731"/>
    </row>
    <row r="157">
      <c r="A157" s="408"/>
      <c r="B157" s="730"/>
      <c r="C157" s="772"/>
      <c r="D157" s="773"/>
      <c r="E157" s="772"/>
      <c r="F157" s="773"/>
      <c r="G157" s="732"/>
      <c r="H157" s="733"/>
      <c r="I157" s="730"/>
      <c r="J157" s="731"/>
      <c r="K157" s="731"/>
      <c r="L157" s="731"/>
      <c r="M157" s="731"/>
      <c r="N157" s="731"/>
    </row>
    <row r="158">
      <c r="A158" s="408"/>
      <c r="B158" s="730"/>
      <c r="C158" s="772"/>
      <c r="D158" s="773"/>
      <c r="E158" s="772"/>
      <c r="F158" s="773"/>
      <c r="G158" s="732"/>
      <c r="H158" s="733"/>
      <c r="I158" s="730"/>
      <c r="J158" s="731"/>
      <c r="K158" s="731"/>
      <c r="L158" s="731"/>
      <c r="M158" s="731"/>
      <c r="N158" s="731"/>
    </row>
    <row r="159">
      <c r="A159" s="408"/>
      <c r="B159" s="730"/>
      <c r="C159" s="772"/>
      <c r="D159" s="773"/>
      <c r="E159" s="772"/>
      <c r="F159" s="773"/>
      <c r="G159" s="732"/>
      <c r="H159" s="733"/>
      <c r="I159" s="730"/>
      <c r="J159" s="731"/>
      <c r="K159" s="731"/>
      <c r="L159" s="731"/>
      <c r="M159" s="731"/>
      <c r="N159" s="731"/>
    </row>
    <row r="160">
      <c r="A160" s="408"/>
      <c r="B160" s="730"/>
      <c r="C160" s="772"/>
      <c r="D160" s="773"/>
      <c r="E160" s="772"/>
      <c r="F160" s="773"/>
      <c r="G160" s="732"/>
      <c r="H160" s="733"/>
      <c r="I160" s="730"/>
      <c r="J160" s="731"/>
      <c r="K160" s="731"/>
      <c r="L160" s="731"/>
      <c r="M160" s="731"/>
      <c r="N160" s="731"/>
    </row>
    <row r="161">
      <c r="A161" s="408"/>
      <c r="B161" s="730"/>
      <c r="C161" s="772"/>
      <c r="D161" s="773"/>
      <c r="E161" s="772"/>
      <c r="F161" s="773"/>
      <c r="G161" s="732"/>
      <c r="H161" s="733"/>
      <c r="I161" s="730"/>
      <c r="J161" s="731"/>
      <c r="K161" s="731"/>
      <c r="L161" s="731"/>
      <c r="M161" s="731"/>
      <c r="N161" s="731"/>
    </row>
    <row r="162">
      <c r="A162" s="408"/>
      <c r="B162" s="730"/>
      <c r="C162" s="772"/>
      <c r="D162" s="773"/>
      <c r="E162" s="772"/>
      <c r="F162" s="773"/>
      <c r="G162" s="732"/>
      <c r="H162" s="733"/>
      <c r="I162" s="730"/>
      <c r="J162" s="731"/>
      <c r="K162" s="731"/>
      <c r="L162" s="731"/>
      <c r="M162" s="731"/>
      <c r="N162" s="731"/>
    </row>
    <row r="163">
      <c r="A163" s="408"/>
      <c r="B163" s="730"/>
      <c r="C163" s="772"/>
      <c r="D163" s="773"/>
      <c r="E163" s="772"/>
      <c r="F163" s="773"/>
      <c r="G163" s="732"/>
      <c r="H163" s="733"/>
      <c r="I163" s="730"/>
      <c r="J163" s="731"/>
      <c r="K163" s="731"/>
      <c r="L163" s="731"/>
      <c r="M163" s="731"/>
      <c r="N163" s="731"/>
    </row>
    <row r="164">
      <c r="A164" s="408"/>
      <c r="B164" s="730"/>
      <c r="C164" s="772"/>
      <c r="D164" s="773"/>
      <c r="E164" s="772"/>
      <c r="F164" s="773"/>
      <c r="G164" s="732"/>
      <c r="H164" s="733"/>
      <c r="I164" s="730"/>
      <c r="J164" s="731"/>
      <c r="K164" s="731"/>
      <c r="L164" s="731"/>
      <c r="M164" s="731"/>
      <c r="N164" s="731"/>
    </row>
    <row r="165">
      <c r="A165" s="408"/>
      <c r="B165" s="730"/>
      <c r="C165" s="772"/>
      <c r="D165" s="773"/>
      <c r="E165" s="772"/>
      <c r="F165" s="773"/>
      <c r="G165" s="732"/>
      <c r="H165" s="733"/>
      <c r="I165" s="730"/>
      <c r="J165" s="731"/>
      <c r="K165" s="731"/>
      <c r="L165" s="731"/>
      <c r="M165" s="731"/>
      <c r="N165" s="731"/>
    </row>
    <row r="166">
      <c r="A166" s="408"/>
      <c r="B166" s="730"/>
      <c r="C166" s="772"/>
      <c r="D166" s="773"/>
      <c r="E166" s="772"/>
      <c r="F166" s="773"/>
      <c r="G166" s="732"/>
      <c r="H166" s="733"/>
      <c r="I166" s="730"/>
      <c r="J166" s="731"/>
      <c r="K166" s="731"/>
      <c r="L166" s="731"/>
      <c r="M166" s="731"/>
      <c r="N166" s="731"/>
    </row>
    <row r="167">
      <c r="A167" s="408"/>
      <c r="B167" s="730"/>
      <c r="C167" s="772"/>
      <c r="D167" s="773"/>
      <c r="E167" s="772"/>
      <c r="F167" s="773"/>
      <c r="G167" s="732"/>
      <c r="H167" s="733"/>
      <c r="I167" s="730"/>
      <c r="J167" s="731"/>
      <c r="K167" s="731"/>
      <c r="L167" s="731"/>
      <c r="M167" s="731"/>
      <c r="N167" s="731"/>
    </row>
    <row r="168">
      <c r="A168" s="408"/>
      <c r="B168" s="730"/>
      <c r="C168" s="772"/>
      <c r="D168" s="773"/>
      <c r="E168" s="772"/>
      <c r="F168" s="773"/>
      <c r="G168" s="732"/>
      <c r="H168" s="733"/>
      <c r="I168" s="730"/>
      <c r="J168" s="731"/>
      <c r="K168" s="731"/>
      <c r="L168" s="731"/>
      <c r="M168" s="731"/>
      <c r="N168" s="731"/>
    </row>
    <row r="169">
      <c r="A169" s="408"/>
      <c r="B169" s="730"/>
      <c r="C169" s="772"/>
      <c r="D169" s="773"/>
      <c r="E169" s="772"/>
      <c r="F169" s="773"/>
      <c r="G169" s="732"/>
      <c r="H169" s="733"/>
      <c r="I169" s="730"/>
      <c r="J169" s="731"/>
      <c r="K169" s="731"/>
      <c r="L169" s="731"/>
      <c r="M169" s="731"/>
      <c r="N169" s="731"/>
    </row>
    <row r="170">
      <c r="A170" s="408"/>
      <c r="B170" s="730"/>
      <c r="C170" s="772"/>
      <c r="D170" s="773"/>
      <c r="E170" s="772"/>
      <c r="F170" s="773"/>
      <c r="G170" s="732"/>
      <c r="H170" s="733"/>
      <c r="I170" s="730"/>
      <c r="J170" s="731"/>
      <c r="K170" s="731"/>
      <c r="L170" s="731"/>
      <c r="M170" s="731"/>
      <c r="N170" s="731"/>
    </row>
    <row r="171">
      <c r="A171" s="408"/>
      <c r="B171" s="730"/>
      <c r="C171" s="772"/>
      <c r="D171" s="773"/>
      <c r="E171" s="772"/>
      <c r="F171" s="773"/>
      <c r="G171" s="732"/>
      <c r="H171" s="733"/>
      <c r="I171" s="730"/>
      <c r="J171" s="731"/>
      <c r="K171" s="731"/>
      <c r="L171" s="731"/>
      <c r="M171" s="731"/>
      <c r="N171" s="731"/>
    </row>
    <row r="172">
      <c r="A172" s="408"/>
      <c r="B172" s="730"/>
      <c r="C172" s="772"/>
      <c r="D172" s="773"/>
      <c r="E172" s="772"/>
      <c r="F172" s="773"/>
      <c r="G172" s="732"/>
      <c r="H172" s="733"/>
      <c r="I172" s="730"/>
      <c r="J172" s="731"/>
      <c r="K172" s="731"/>
      <c r="L172" s="731"/>
      <c r="M172" s="731"/>
      <c r="N172" s="731"/>
    </row>
    <row r="173">
      <c r="A173" s="408"/>
      <c r="B173" s="730"/>
      <c r="C173" s="772"/>
      <c r="D173" s="773"/>
      <c r="E173" s="772"/>
      <c r="F173" s="773"/>
      <c r="G173" s="732"/>
      <c r="H173" s="733"/>
      <c r="I173" s="730"/>
      <c r="J173" s="731"/>
      <c r="K173" s="731"/>
      <c r="L173" s="731"/>
      <c r="M173" s="731"/>
      <c r="N173" s="731"/>
    </row>
    <row r="174">
      <c r="A174" s="408"/>
      <c r="B174" s="730"/>
      <c r="C174" s="772"/>
      <c r="D174" s="773"/>
      <c r="E174" s="772"/>
      <c r="F174" s="773"/>
      <c r="G174" s="732"/>
      <c r="H174" s="733"/>
      <c r="I174" s="730"/>
      <c r="J174" s="731"/>
      <c r="K174" s="731"/>
      <c r="L174" s="731"/>
      <c r="M174" s="731"/>
      <c r="N174" s="731"/>
    </row>
    <row r="175">
      <c r="A175" s="408"/>
      <c r="B175" s="730"/>
      <c r="C175" s="772"/>
      <c r="D175" s="773"/>
      <c r="E175" s="772"/>
      <c r="F175" s="773"/>
      <c r="G175" s="732"/>
      <c r="H175" s="733"/>
      <c r="I175" s="730"/>
      <c r="J175" s="731"/>
      <c r="K175" s="731"/>
      <c r="L175" s="731"/>
      <c r="M175" s="731"/>
      <c r="N175" s="731"/>
    </row>
    <row r="176">
      <c r="A176" s="408"/>
      <c r="B176" s="730"/>
      <c r="C176" s="772"/>
      <c r="D176" s="773"/>
      <c r="E176" s="772"/>
      <c r="F176" s="773"/>
      <c r="G176" s="732"/>
      <c r="H176" s="733"/>
      <c r="I176" s="730"/>
      <c r="J176" s="731"/>
      <c r="K176" s="731"/>
      <c r="L176" s="731"/>
      <c r="M176" s="731"/>
      <c r="N176" s="731"/>
    </row>
    <row r="177">
      <c r="A177" s="408"/>
      <c r="B177" s="730"/>
      <c r="C177" s="772"/>
      <c r="D177" s="773"/>
      <c r="E177" s="772"/>
      <c r="F177" s="773"/>
      <c r="G177" s="732"/>
      <c r="H177" s="733"/>
      <c r="I177" s="730"/>
      <c r="J177" s="731"/>
      <c r="K177" s="731"/>
      <c r="L177" s="731"/>
      <c r="M177" s="731"/>
      <c r="N177" s="731"/>
    </row>
    <row r="178">
      <c r="A178" s="408"/>
      <c r="B178" s="730"/>
      <c r="C178" s="772"/>
      <c r="D178" s="773"/>
      <c r="E178" s="772"/>
      <c r="F178" s="773"/>
      <c r="G178" s="732"/>
      <c r="H178" s="733"/>
      <c r="I178" s="730"/>
      <c r="J178" s="731"/>
      <c r="K178" s="731"/>
      <c r="L178" s="731"/>
      <c r="M178" s="731"/>
      <c r="N178" s="731"/>
    </row>
    <row r="179">
      <c r="A179" s="408"/>
      <c r="B179" s="730"/>
      <c r="C179" s="772"/>
      <c r="D179" s="773"/>
      <c r="E179" s="772"/>
      <c r="F179" s="773"/>
      <c r="G179" s="732"/>
      <c r="H179" s="733"/>
      <c r="I179" s="730"/>
      <c r="J179" s="731"/>
      <c r="K179" s="731"/>
      <c r="L179" s="731"/>
      <c r="M179" s="731"/>
      <c r="N179" s="731"/>
    </row>
    <row r="180">
      <c r="A180" s="408"/>
      <c r="B180" s="730"/>
      <c r="C180" s="772"/>
      <c r="D180" s="773"/>
      <c r="E180" s="772"/>
      <c r="F180" s="773"/>
      <c r="G180" s="732"/>
      <c r="H180" s="733"/>
      <c r="I180" s="730"/>
      <c r="J180" s="731"/>
      <c r="K180" s="731"/>
      <c r="L180" s="731"/>
      <c r="M180" s="731"/>
      <c r="N180" s="731"/>
    </row>
    <row r="181">
      <c r="A181" s="408"/>
      <c r="B181" s="730"/>
      <c r="C181" s="772"/>
      <c r="D181" s="773"/>
      <c r="E181" s="772"/>
      <c r="F181" s="773"/>
      <c r="G181" s="732"/>
      <c r="H181" s="733"/>
      <c r="I181" s="730"/>
      <c r="J181" s="731"/>
      <c r="K181" s="731"/>
      <c r="L181" s="731"/>
      <c r="M181" s="731"/>
      <c r="N181" s="731"/>
    </row>
    <row r="182">
      <c r="A182" s="408"/>
      <c r="B182" s="730"/>
      <c r="C182" s="772"/>
      <c r="D182" s="773"/>
      <c r="E182" s="772"/>
      <c r="F182" s="773"/>
      <c r="G182" s="732"/>
      <c r="H182" s="733"/>
      <c r="I182" s="730"/>
      <c r="J182" s="731"/>
      <c r="K182" s="731"/>
      <c r="L182" s="731"/>
      <c r="M182" s="731"/>
      <c r="N182" s="731"/>
    </row>
    <row r="183">
      <c r="A183" s="408"/>
      <c r="B183" s="730"/>
      <c r="C183" s="772"/>
      <c r="D183" s="773"/>
      <c r="E183" s="772"/>
      <c r="F183" s="773"/>
      <c r="G183" s="732"/>
      <c r="H183" s="733"/>
      <c r="I183" s="730"/>
      <c r="J183" s="731"/>
      <c r="K183" s="731"/>
      <c r="L183" s="731"/>
      <c r="M183" s="731"/>
      <c r="N183" s="731"/>
    </row>
    <row r="184">
      <c r="A184" s="408"/>
      <c r="B184" s="730"/>
      <c r="C184" s="772"/>
      <c r="D184" s="773"/>
      <c r="E184" s="772"/>
      <c r="F184" s="773"/>
      <c r="G184" s="732"/>
      <c r="H184" s="733"/>
      <c r="I184" s="730"/>
      <c r="J184" s="731"/>
      <c r="K184" s="731"/>
      <c r="L184" s="731"/>
      <c r="M184" s="731"/>
      <c r="N184" s="731"/>
    </row>
    <row r="185">
      <c r="A185" s="408"/>
      <c r="B185" s="730"/>
      <c r="C185" s="772"/>
      <c r="D185" s="773"/>
      <c r="E185" s="772"/>
      <c r="F185" s="773"/>
      <c r="G185" s="732"/>
      <c r="H185" s="733"/>
      <c r="I185" s="730"/>
      <c r="J185" s="731"/>
      <c r="K185" s="731"/>
      <c r="L185" s="731"/>
      <c r="M185" s="731"/>
      <c r="N185" s="731"/>
    </row>
    <row r="186">
      <c r="A186" s="408"/>
      <c r="B186" s="730"/>
      <c r="C186" s="772"/>
      <c r="D186" s="773"/>
      <c r="E186" s="772"/>
      <c r="F186" s="773"/>
      <c r="G186" s="732"/>
      <c r="H186" s="733"/>
      <c r="I186" s="730"/>
      <c r="J186" s="731"/>
      <c r="K186" s="731"/>
      <c r="L186" s="731"/>
      <c r="M186" s="731"/>
      <c r="N186" s="731"/>
    </row>
    <row r="187">
      <c r="A187" s="408"/>
      <c r="B187" s="730"/>
      <c r="C187" s="772"/>
      <c r="D187" s="773"/>
      <c r="E187" s="772"/>
      <c r="F187" s="773"/>
      <c r="G187" s="732"/>
      <c r="H187" s="733"/>
      <c r="I187" s="730"/>
      <c r="J187" s="731"/>
      <c r="K187" s="731"/>
      <c r="L187" s="731"/>
      <c r="M187" s="731"/>
      <c r="N187" s="731"/>
    </row>
    <row r="188">
      <c r="A188" s="408"/>
      <c r="B188" s="730"/>
      <c r="C188" s="772"/>
      <c r="D188" s="773"/>
      <c r="E188" s="772"/>
      <c r="F188" s="773"/>
      <c r="G188" s="732"/>
      <c r="H188" s="733"/>
      <c r="I188" s="730"/>
      <c r="J188" s="731"/>
      <c r="K188" s="731"/>
      <c r="L188" s="731"/>
      <c r="M188" s="731"/>
      <c r="N188" s="731"/>
    </row>
    <row r="189">
      <c r="A189" s="408"/>
      <c r="B189" s="730"/>
      <c r="C189" s="772"/>
      <c r="D189" s="773"/>
      <c r="E189" s="772"/>
      <c r="F189" s="773"/>
      <c r="G189" s="732"/>
      <c r="H189" s="733"/>
      <c r="I189" s="730"/>
      <c r="J189" s="731"/>
      <c r="K189" s="731"/>
      <c r="L189" s="731"/>
      <c r="M189" s="731"/>
      <c r="N189" s="731"/>
    </row>
    <row r="190">
      <c r="A190" s="408"/>
      <c r="B190" s="730"/>
      <c r="C190" s="772"/>
      <c r="D190" s="773"/>
      <c r="E190" s="772"/>
      <c r="F190" s="773"/>
      <c r="G190" s="732"/>
      <c r="H190" s="733"/>
      <c r="I190" s="730"/>
      <c r="J190" s="731"/>
      <c r="K190" s="731"/>
      <c r="L190" s="731"/>
      <c r="M190" s="731"/>
      <c r="N190" s="731"/>
    </row>
    <row r="191">
      <c r="A191" s="408"/>
      <c r="B191" s="730"/>
      <c r="C191" s="772"/>
      <c r="D191" s="773"/>
      <c r="E191" s="772"/>
      <c r="F191" s="773"/>
      <c r="G191" s="732"/>
      <c r="H191" s="733"/>
      <c r="I191" s="730"/>
      <c r="J191" s="731"/>
      <c r="K191" s="731"/>
      <c r="L191" s="731"/>
      <c r="M191" s="731"/>
      <c r="N191" s="731"/>
    </row>
    <row r="192">
      <c r="A192" s="408"/>
      <c r="B192" s="730"/>
      <c r="C192" s="772"/>
      <c r="D192" s="773"/>
      <c r="E192" s="772"/>
      <c r="F192" s="773"/>
      <c r="G192" s="732"/>
      <c r="H192" s="733"/>
      <c r="I192" s="730"/>
      <c r="J192" s="731"/>
      <c r="K192" s="731"/>
      <c r="L192" s="731"/>
      <c r="M192" s="731"/>
      <c r="N192" s="731"/>
    </row>
    <row r="193">
      <c r="A193" s="408"/>
      <c r="B193" s="730"/>
      <c r="C193" s="772"/>
      <c r="D193" s="773"/>
      <c r="E193" s="772"/>
      <c r="F193" s="773"/>
      <c r="G193" s="732"/>
      <c r="H193" s="733"/>
      <c r="I193" s="730"/>
      <c r="J193" s="731"/>
      <c r="K193" s="731"/>
      <c r="L193" s="731"/>
      <c r="M193" s="731"/>
      <c r="N193" s="731"/>
    </row>
    <row r="194">
      <c r="A194" s="408"/>
      <c r="B194" s="730"/>
      <c r="C194" s="772"/>
      <c r="D194" s="773"/>
      <c r="E194" s="772"/>
      <c r="F194" s="773"/>
      <c r="G194" s="732"/>
      <c r="H194" s="733"/>
      <c r="I194" s="730"/>
      <c r="J194" s="731"/>
      <c r="K194" s="731"/>
      <c r="L194" s="731"/>
      <c r="M194" s="731"/>
      <c r="N194" s="731"/>
    </row>
    <row r="195">
      <c r="A195" s="408"/>
      <c r="B195" s="730"/>
      <c r="C195" s="772"/>
      <c r="D195" s="773"/>
      <c r="E195" s="772"/>
      <c r="F195" s="773"/>
      <c r="G195" s="732"/>
      <c r="H195" s="733"/>
      <c r="I195" s="730"/>
      <c r="J195" s="731"/>
      <c r="K195" s="731"/>
      <c r="L195" s="731"/>
      <c r="M195" s="731"/>
      <c r="N195" s="731"/>
    </row>
    <row r="196">
      <c r="A196" s="408"/>
      <c r="B196" s="730"/>
      <c r="C196" s="772"/>
      <c r="D196" s="773"/>
      <c r="E196" s="772"/>
      <c r="F196" s="773"/>
      <c r="G196" s="732"/>
      <c r="H196" s="733"/>
      <c r="I196" s="730"/>
      <c r="J196" s="731"/>
      <c r="K196" s="731"/>
      <c r="L196" s="731"/>
      <c r="M196" s="731"/>
      <c r="N196" s="731"/>
    </row>
    <row r="197">
      <c r="A197" s="408"/>
      <c r="B197" s="730"/>
      <c r="C197" s="772"/>
      <c r="D197" s="773"/>
      <c r="E197" s="772"/>
      <c r="F197" s="773"/>
      <c r="G197" s="732"/>
      <c r="H197" s="733"/>
      <c r="I197" s="730"/>
      <c r="J197" s="731"/>
      <c r="K197" s="731"/>
      <c r="L197" s="731"/>
      <c r="M197" s="731"/>
      <c r="N197" s="731"/>
    </row>
    <row r="198">
      <c r="A198" s="408"/>
      <c r="B198" s="730"/>
      <c r="C198" s="772"/>
      <c r="D198" s="773"/>
      <c r="E198" s="772"/>
      <c r="F198" s="773"/>
      <c r="G198" s="732"/>
      <c r="H198" s="733"/>
      <c r="I198" s="730"/>
      <c r="J198" s="731"/>
      <c r="K198" s="731"/>
      <c r="L198" s="731"/>
      <c r="M198" s="731"/>
      <c r="N198" s="731"/>
    </row>
    <row r="199">
      <c r="A199" s="408"/>
      <c r="B199" s="730"/>
      <c r="C199" s="772"/>
      <c r="D199" s="773"/>
      <c r="E199" s="772"/>
      <c r="F199" s="773"/>
      <c r="G199" s="732"/>
      <c r="H199" s="733"/>
      <c r="I199" s="730"/>
      <c r="J199" s="731"/>
      <c r="K199" s="731"/>
      <c r="L199" s="731"/>
      <c r="M199" s="731"/>
      <c r="N199" s="731"/>
    </row>
    <row r="200">
      <c r="A200" s="408"/>
      <c r="B200" s="730"/>
      <c r="C200" s="772"/>
      <c r="D200" s="773"/>
      <c r="E200" s="772"/>
      <c r="F200" s="773"/>
      <c r="G200" s="732"/>
      <c r="H200" s="733"/>
      <c r="I200" s="730"/>
      <c r="J200" s="731"/>
      <c r="K200" s="731"/>
      <c r="L200" s="731"/>
      <c r="M200" s="731"/>
      <c r="N200" s="731"/>
    </row>
    <row r="201">
      <c r="A201" s="408"/>
      <c r="B201" s="730"/>
      <c r="C201" s="772"/>
      <c r="D201" s="773"/>
      <c r="E201" s="772"/>
      <c r="F201" s="773"/>
      <c r="G201" s="732"/>
      <c r="H201" s="733"/>
      <c r="I201" s="730"/>
      <c r="J201" s="731"/>
      <c r="K201" s="731"/>
      <c r="L201" s="731"/>
      <c r="M201" s="731"/>
      <c r="N201" s="731"/>
    </row>
    <row r="202">
      <c r="A202" s="408"/>
      <c r="B202" s="730"/>
      <c r="C202" s="772"/>
      <c r="D202" s="773"/>
      <c r="E202" s="772"/>
      <c r="F202" s="773"/>
      <c r="G202" s="732"/>
      <c r="H202" s="733"/>
      <c r="I202" s="730"/>
      <c r="J202" s="731"/>
      <c r="K202" s="731"/>
      <c r="L202" s="731"/>
      <c r="M202" s="731"/>
      <c r="N202" s="731"/>
    </row>
    <row r="203">
      <c r="A203" s="408"/>
      <c r="B203" s="730"/>
      <c r="C203" s="772"/>
      <c r="D203" s="773"/>
      <c r="E203" s="772"/>
      <c r="F203" s="773"/>
      <c r="G203" s="732"/>
      <c r="H203" s="733"/>
      <c r="I203" s="730"/>
      <c r="J203" s="731"/>
      <c r="K203" s="731"/>
      <c r="L203" s="731"/>
      <c r="M203" s="731"/>
      <c r="N203" s="731"/>
    </row>
    <row r="204">
      <c r="A204" s="408"/>
      <c r="B204" s="730"/>
      <c r="C204" s="772"/>
      <c r="D204" s="773"/>
      <c r="E204" s="772"/>
      <c r="F204" s="773"/>
      <c r="G204" s="732"/>
      <c r="H204" s="733"/>
      <c r="I204" s="730"/>
      <c r="J204" s="731"/>
      <c r="K204" s="731"/>
      <c r="L204" s="731"/>
      <c r="M204" s="731"/>
      <c r="N204" s="731"/>
    </row>
    <row r="205">
      <c r="A205" s="408"/>
      <c r="B205" s="730"/>
      <c r="C205" s="772"/>
      <c r="D205" s="773"/>
      <c r="E205" s="772"/>
      <c r="F205" s="773"/>
      <c r="G205" s="732"/>
      <c r="H205" s="733"/>
      <c r="I205" s="730"/>
      <c r="J205" s="731"/>
      <c r="K205" s="731"/>
      <c r="L205" s="731"/>
      <c r="M205" s="731"/>
      <c r="N205" s="731"/>
    </row>
    <row r="206">
      <c r="A206" s="408"/>
      <c r="B206" s="730"/>
      <c r="C206" s="772"/>
      <c r="D206" s="773"/>
      <c r="E206" s="772"/>
      <c r="F206" s="773"/>
      <c r="G206" s="732"/>
      <c r="H206" s="733"/>
      <c r="I206" s="730"/>
      <c r="J206" s="731"/>
      <c r="K206" s="731"/>
      <c r="L206" s="731"/>
      <c r="M206" s="731"/>
      <c r="N206" s="731"/>
    </row>
    <row r="207">
      <c r="A207" s="408"/>
      <c r="B207" s="730"/>
      <c r="C207" s="772"/>
      <c r="D207" s="773"/>
      <c r="E207" s="772"/>
      <c r="F207" s="773"/>
      <c r="G207" s="732"/>
      <c r="H207" s="733"/>
      <c r="I207" s="730"/>
      <c r="J207" s="731"/>
      <c r="K207" s="731"/>
      <c r="L207" s="731"/>
      <c r="M207" s="731"/>
      <c r="N207" s="731"/>
    </row>
    <row r="208">
      <c r="A208" s="408"/>
      <c r="B208" s="730"/>
      <c r="C208" s="772"/>
      <c r="D208" s="773"/>
      <c r="E208" s="772"/>
      <c r="F208" s="773"/>
      <c r="G208" s="732"/>
      <c r="H208" s="733"/>
      <c r="I208" s="730"/>
      <c r="J208" s="731"/>
      <c r="K208" s="731"/>
      <c r="L208" s="731"/>
      <c r="M208" s="731"/>
      <c r="N208" s="731"/>
    </row>
    <row r="209">
      <c r="A209" s="408"/>
      <c r="B209" s="730"/>
      <c r="C209" s="772"/>
      <c r="D209" s="773"/>
      <c r="E209" s="772"/>
      <c r="F209" s="773"/>
      <c r="G209" s="732"/>
      <c r="H209" s="733"/>
      <c r="I209" s="730"/>
      <c r="J209" s="731"/>
      <c r="K209" s="731"/>
      <c r="L209" s="731"/>
      <c r="M209" s="731"/>
      <c r="N209" s="731"/>
    </row>
    <row r="210">
      <c r="A210" s="408"/>
      <c r="B210" s="730"/>
      <c r="C210" s="772"/>
      <c r="D210" s="773"/>
      <c r="E210" s="772"/>
      <c r="F210" s="773"/>
      <c r="G210" s="732"/>
      <c r="H210" s="733"/>
      <c r="I210" s="730"/>
      <c r="J210" s="731"/>
      <c r="K210" s="731"/>
      <c r="L210" s="731"/>
      <c r="M210" s="731"/>
      <c r="N210" s="731"/>
    </row>
    <row r="211">
      <c r="A211" s="408"/>
      <c r="B211" s="730"/>
      <c r="C211" s="772"/>
      <c r="D211" s="773"/>
      <c r="E211" s="772"/>
      <c r="F211" s="773"/>
      <c r="G211" s="732"/>
      <c r="H211" s="733"/>
      <c r="I211" s="730"/>
      <c r="J211" s="731"/>
      <c r="K211" s="731"/>
      <c r="L211" s="731"/>
      <c r="M211" s="731"/>
      <c r="N211" s="731"/>
    </row>
    <row r="212">
      <c r="A212" s="408"/>
      <c r="B212" s="730"/>
      <c r="C212" s="772"/>
      <c r="D212" s="773"/>
      <c r="E212" s="772"/>
      <c r="F212" s="773"/>
      <c r="G212" s="732"/>
      <c r="H212" s="733"/>
      <c r="I212" s="730"/>
      <c r="J212" s="731"/>
      <c r="K212" s="731"/>
      <c r="L212" s="731"/>
      <c r="M212" s="731"/>
      <c r="N212" s="731"/>
    </row>
    <row r="213">
      <c r="A213" s="408"/>
      <c r="B213" s="730"/>
      <c r="C213" s="772"/>
      <c r="D213" s="773"/>
      <c r="E213" s="772"/>
      <c r="F213" s="773"/>
      <c r="G213" s="732"/>
      <c r="H213" s="733"/>
      <c r="I213" s="730"/>
      <c r="J213" s="731"/>
      <c r="K213" s="731"/>
      <c r="L213" s="731"/>
      <c r="M213" s="731"/>
      <c r="N213" s="731"/>
    </row>
    <row r="214">
      <c r="A214" s="408"/>
      <c r="B214" s="730"/>
      <c r="C214" s="772"/>
      <c r="D214" s="773"/>
      <c r="E214" s="772"/>
      <c r="F214" s="773"/>
      <c r="G214" s="732"/>
      <c r="H214" s="733"/>
      <c r="I214" s="730"/>
      <c r="J214" s="731"/>
      <c r="K214" s="731"/>
      <c r="L214" s="731"/>
      <c r="M214" s="731"/>
      <c r="N214" s="731"/>
    </row>
    <row r="215">
      <c r="A215" s="408"/>
      <c r="B215" s="730"/>
      <c r="C215" s="772"/>
      <c r="D215" s="773"/>
      <c r="E215" s="772"/>
      <c r="F215" s="773"/>
      <c r="G215" s="732"/>
      <c r="H215" s="733"/>
      <c r="I215" s="730"/>
      <c r="J215" s="731"/>
      <c r="K215" s="731"/>
      <c r="L215" s="731"/>
      <c r="M215" s="731"/>
      <c r="N215" s="731"/>
    </row>
    <row r="216">
      <c r="A216" s="408"/>
      <c r="B216" s="730"/>
      <c r="C216" s="772"/>
      <c r="D216" s="773"/>
      <c r="E216" s="772"/>
      <c r="F216" s="773"/>
      <c r="G216" s="732"/>
      <c r="H216" s="733"/>
      <c r="I216" s="730"/>
      <c r="J216" s="731"/>
      <c r="K216" s="731"/>
      <c r="L216" s="731"/>
      <c r="M216" s="731"/>
      <c r="N216" s="731"/>
    </row>
    <row r="217">
      <c r="A217" s="408"/>
      <c r="B217" s="730"/>
      <c r="C217" s="772"/>
      <c r="D217" s="773"/>
      <c r="E217" s="772"/>
      <c r="F217" s="773"/>
      <c r="G217" s="732"/>
      <c r="H217" s="733"/>
      <c r="I217" s="730"/>
      <c r="J217" s="731"/>
      <c r="K217" s="731"/>
      <c r="L217" s="731"/>
      <c r="M217" s="731"/>
      <c r="N217" s="731"/>
    </row>
    <row r="218">
      <c r="A218" s="408"/>
      <c r="B218" s="730"/>
      <c r="C218" s="772"/>
      <c r="D218" s="773"/>
      <c r="E218" s="772"/>
      <c r="F218" s="773"/>
      <c r="G218" s="732"/>
      <c r="H218" s="733"/>
      <c r="I218" s="730"/>
      <c r="J218" s="731"/>
      <c r="K218" s="731"/>
      <c r="L218" s="731"/>
      <c r="M218" s="731"/>
      <c r="N218" s="731"/>
    </row>
    <row r="219">
      <c r="A219" s="408"/>
      <c r="B219" s="730"/>
      <c r="C219" s="772"/>
      <c r="D219" s="773"/>
      <c r="E219" s="772"/>
      <c r="F219" s="773"/>
      <c r="G219" s="732"/>
      <c r="H219" s="733"/>
      <c r="I219" s="730"/>
      <c r="J219" s="731"/>
      <c r="K219" s="731"/>
      <c r="L219" s="731"/>
      <c r="M219" s="731"/>
      <c r="N219" s="731"/>
    </row>
    <row r="220">
      <c r="A220" s="408"/>
      <c r="B220" s="730"/>
      <c r="C220" s="772"/>
      <c r="D220" s="773"/>
      <c r="E220" s="772"/>
      <c r="F220" s="773"/>
      <c r="G220" s="732"/>
      <c r="H220" s="733"/>
      <c r="I220" s="730"/>
      <c r="J220" s="731"/>
      <c r="K220" s="731"/>
      <c r="L220" s="731"/>
      <c r="M220" s="731"/>
      <c r="N220" s="731"/>
    </row>
    <row r="221">
      <c r="A221" s="408"/>
      <c r="B221" s="730"/>
      <c r="C221" s="772"/>
      <c r="D221" s="773"/>
      <c r="E221" s="772"/>
      <c r="F221" s="773"/>
      <c r="G221" s="732"/>
      <c r="H221" s="733"/>
      <c r="I221" s="730"/>
      <c r="J221" s="731"/>
      <c r="K221" s="731"/>
      <c r="L221" s="731"/>
      <c r="M221" s="731"/>
      <c r="N221" s="731"/>
    </row>
    <row r="222">
      <c r="A222" s="408"/>
      <c r="B222" s="730"/>
      <c r="C222" s="772"/>
      <c r="D222" s="773"/>
      <c r="E222" s="772"/>
      <c r="F222" s="773"/>
      <c r="G222" s="732"/>
      <c r="H222" s="733"/>
      <c r="I222" s="730"/>
      <c r="J222" s="731"/>
      <c r="K222" s="731"/>
      <c r="L222" s="731"/>
      <c r="M222" s="731"/>
      <c r="N222" s="731"/>
    </row>
    <row r="223">
      <c r="A223" s="408"/>
      <c r="B223" s="730"/>
      <c r="C223" s="772"/>
      <c r="D223" s="773"/>
      <c r="E223" s="772"/>
      <c r="F223" s="773"/>
      <c r="G223" s="732"/>
      <c r="H223" s="733"/>
      <c r="I223" s="730"/>
      <c r="J223" s="731"/>
      <c r="K223" s="731"/>
      <c r="L223" s="731"/>
      <c r="M223" s="731"/>
      <c r="N223" s="731"/>
    </row>
    <row r="224">
      <c r="A224" s="408"/>
      <c r="B224" s="730"/>
      <c r="C224" s="772"/>
      <c r="D224" s="773"/>
      <c r="E224" s="772"/>
      <c r="F224" s="773"/>
      <c r="G224" s="732"/>
      <c r="H224" s="733"/>
      <c r="I224" s="730"/>
      <c r="J224" s="731"/>
      <c r="K224" s="731"/>
      <c r="L224" s="731"/>
      <c r="M224" s="731"/>
      <c r="N224" s="731"/>
    </row>
    <row r="225">
      <c r="A225" s="408"/>
      <c r="B225" s="730"/>
      <c r="C225" s="772"/>
      <c r="D225" s="773"/>
      <c r="E225" s="772"/>
      <c r="F225" s="773"/>
      <c r="G225" s="732"/>
      <c r="H225" s="733"/>
      <c r="I225" s="730"/>
      <c r="J225" s="731"/>
      <c r="K225" s="731"/>
      <c r="L225" s="731"/>
      <c r="M225" s="731"/>
      <c r="N225" s="731"/>
    </row>
    <row r="226">
      <c r="A226" s="408"/>
      <c r="B226" s="730"/>
      <c r="C226" s="772"/>
      <c r="D226" s="773"/>
      <c r="E226" s="772"/>
      <c r="F226" s="773"/>
      <c r="G226" s="732"/>
      <c r="H226" s="733"/>
      <c r="I226" s="730"/>
      <c r="J226" s="731"/>
      <c r="K226" s="731"/>
      <c r="L226" s="731"/>
      <c r="M226" s="731"/>
      <c r="N226" s="731"/>
    </row>
    <row r="227">
      <c r="A227" s="408"/>
      <c r="B227" s="730"/>
      <c r="C227" s="772"/>
      <c r="D227" s="773"/>
      <c r="E227" s="772"/>
      <c r="F227" s="773"/>
      <c r="G227" s="732"/>
      <c r="H227" s="733"/>
      <c r="I227" s="730"/>
      <c r="J227" s="731"/>
      <c r="K227" s="731"/>
      <c r="L227" s="731"/>
      <c r="M227" s="731"/>
      <c r="N227" s="731"/>
    </row>
    <row r="228">
      <c r="A228" s="408"/>
      <c r="B228" s="730"/>
      <c r="C228" s="772"/>
      <c r="D228" s="773"/>
      <c r="E228" s="772"/>
      <c r="F228" s="773"/>
      <c r="G228" s="732"/>
      <c r="H228" s="733"/>
      <c r="I228" s="730"/>
      <c r="J228" s="731"/>
      <c r="K228" s="731"/>
      <c r="L228" s="731"/>
      <c r="M228" s="731"/>
      <c r="N228" s="731"/>
    </row>
    <row r="229">
      <c r="A229" s="408"/>
      <c r="B229" s="730"/>
      <c r="C229" s="772"/>
      <c r="D229" s="773"/>
      <c r="E229" s="772"/>
      <c r="F229" s="773"/>
      <c r="G229" s="732"/>
      <c r="H229" s="733"/>
      <c r="I229" s="730"/>
      <c r="J229" s="731"/>
      <c r="K229" s="731"/>
      <c r="L229" s="731"/>
      <c r="M229" s="731"/>
      <c r="N229" s="731"/>
    </row>
    <row r="230">
      <c r="A230" s="408"/>
      <c r="B230" s="730"/>
      <c r="C230" s="772"/>
      <c r="D230" s="773"/>
      <c r="E230" s="772"/>
      <c r="F230" s="773"/>
      <c r="G230" s="732"/>
      <c r="H230" s="733"/>
      <c r="I230" s="730"/>
      <c r="J230" s="731"/>
      <c r="K230" s="731"/>
      <c r="L230" s="731"/>
      <c r="M230" s="731"/>
      <c r="N230" s="731"/>
    </row>
    <row r="231">
      <c r="A231" s="408"/>
      <c r="B231" s="730"/>
      <c r="C231" s="772"/>
      <c r="D231" s="773"/>
      <c r="E231" s="772"/>
      <c r="F231" s="773"/>
      <c r="G231" s="732"/>
      <c r="H231" s="733"/>
      <c r="I231" s="730"/>
      <c r="J231" s="731"/>
      <c r="K231" s="731"/>
      <c r="L231" s="731"/>
      <c r="M231" s="731"/>
      <c r="N231" s="731"/>
    </row>
    <row r="232">
      <c r="A232" s="408"/>
      <c r="B232" s="730"/>
      <c r="C232" s="772"/>
      <c r="D232" s="773"/>
      <c r="E232" s="772"/>
      <c r="F232" s="773"/>
      <c r="G232" s="732"/>
      <c r="H232" s="733"/>
      <c r="I232" s="730"/>
      <c r="J232" s="731"/>
      <c r="K232" s="731"/>
      <c r="L232" s="731"/>
      <c r="M232" s="731"/>
      <c r="N232" s="731"/>
    </row>
    <row r="233">
      <c r="A233" s="408"/>
      <c r="B233" s="730"/>
      <c r="C233" s="772"/>
      <c r="D233" s="773"/>
      <c r="E233" s="772"/>
      <c r="F233" s="773"/>
      <c r="G233" s="732"/>
      <c r="H233" s="733"/>
      <c r="I233" s="730"/>
      <c r="J233" s="731"/>
      <c r="K233" s="731"/>
      <c r="L233" s="731"/>
      <c r="M233" s="731"/>
      <c r="N233" s="731"/>
    </row>
    <row r="234">
      <c r="A234" s="408"/>
      <c r="B234" s="730"/>
      <c r="C234" s="772"/>
      <c r="D234" s="773"/>
      <c r="E234" s="772"/>
      <c r="F234" s="773"/>
      <c r="G234" s="732"/>
      <c r="H234" s="733"/>
      <c r="I234" s="730"/>
      <c r="J234" s="731"/>
      <c r="K234" s="731"/>
      <c r="L234" s="731"/>
      <c r="M234" s="731"/>
      <c r="N234" s="731"/>
    </row>
    <row r="235">
      <c r="A235" s="408"/>
      <c r="B235" s="730"/>
      <c r="C235" s="772"/>
      <c r="D235" s="773"/>
      <c r="E235" s="772"/>
      <c r="F235" s="773"/>
      <c r="G235" s="732"/>
      <c r="H235" s="733"/>
      <c r="I235" s="730"/>
      <c r="J235" s="731"/>
      <c r="K235" s="731"/>
      <c r="L235" s="731"/>
      <c r="M235" s="731"/>
      <c r="N235" s="731"/>
    </row>
    <row r="236">
      <c r="A236" s="408"/>
      <c r="B236" s="730"/>
      <c r="C236" s="772"/>
      <c r="D236" s="773"/>
      <c r="E236" s="772"/>
      <c r="F236" s="773"/>
      <c r="G236" s="732"/>
      <c r="H236" s="733"/>
      <c r="I236" s="730"/>
      <c r="J236" s="731"/>
      <c r="K236" s="731"/>
      <c r="L236" s="731"/>
      <c r="M236" s="731"/>
      <c r="N236" s="731"/>
    </row>
    <row r="237">
      <c r="A237" s="408"/>
      <c r="B237" s="730"/>
      <c r="C237" s="772"/>
      <c r="D237" s="773"/>
      <c r="E237" s="772"/>
      <c r="F237" s="773"/>
      <c r="G237" s="732"/>
      <c r="H237" s="733"/>
      <c r="I237" s="730"/>
      <c r="J237" s="731"/>
      <c r="K237" s="731"/>
      <c r="L237" s="731"/>
      <c r="M237" s="731"/>
      <c r="N237" s="731"/>
    </row>
    <row r="238">
      <c r="A238" s="408"/>
      <c r="B238" s="730"/>
      <c r="C238" s="772"/>
      <c r="D238" s="773"/>
      <c r="E238" s="772"/>
      <c r="F238" s="773"/>
      <c r="G238" s="732"/>
      <c r="H238" s="733"/>
      <c r="I238" s="730"/>
      <c r="J238" s="731"/>
      <c r="K238" s="731"/>
      <c r="L238" s="731"/>
      <c r="M238" s="731"/>
      <c r="N238" s="731"/>
    </row>
    <row r="239">
      <c r="A239" s="408"/>
      <c r="B239" s="730"/>
      <c r="C239" s="772"/>
      <c r="D239" s="773"/>
      <c r="E239" s="772"/>
      <c r="F239" s="773"/>
      <c r="G239" s="732"/>
      <c r="H239" s="733"/>
      <c r="I239" s="730"/>
      <c r="J239" s="731"/>
      <c r="K239" s="731"/>
      <c r="L239" s="731"/>
      <c r="M239" s="731"/>
      <c r="N239" s="731"/>
    </row>
    <row r="240">
      <c r="A240" s="408"/>
      <c r="B240" s="730"/>
      <c r="C240" s="772"/>
      <c r="D240" s="773"/>
      <c r="E240" s="772"/>
      <c r="F240" s="773"/>
      <c r="G240" s="732"/>
      <c r="H240" s="733"/>
      <c r="I240" s="730"/>
      <c r="J240" s="731"/>
      <c r="K240" s="731"/>
      <c r="L240" s="731"/>
      <c r="M240" s="731"/>
      <c r="N240" s="731"/>
    </row>
    <row r="241">
      <c r="A241" s="408"/>
      <c r="B241" s="730"/>
      <c r="C241" s="772"/>
      <c r="D241" s="773"/>
      <c r="E241" s="772"/>
      <c r="F241" s="773"/>
      <c r="G241" s="732"/>
      <c r="H241" s="733"/>
      <c r="I241" s="730"/>
      <c r="J241" s="731"/>
      <c r="K241" s="731"/>
      <c r="L241" s="731"/>
      <c r="M241" s="731"/>
      <c r="N241" s="731"/>
    </row>
    <row r="242">
      <c r="A242" s="408"/>
      <c r="B242" s="730"/>
      <c r="C242" s="772"/>
      <c r="D242" s="773"/>
      <c r="E242" s="772"/>
      <c r="F242" s="773"/>
      <c r="G242" s="732"/>
      <c r="H242" s="733"/>
      <c r="I242" s="730"/>
      <c r="J242" s="731"/>
      <c r="K242" s="731"/>
      <c r="L242" s="731"/>
      <c r="M242" s="731"/>
      <c r="N242" s="731"/>
    </row>
    <row r="243">
      <c r="A243" s="408"/>
      <c r="B243" s="730"/>
      <c r="C243" s="772"/>
      <c r="D243" s="773"/>
      <c r="E243" s="772"/>
      <c r="F243" s="773"/>
      <c r="G243" s="732"/>
      <c r="H243" s="733"/>
      <c r="I243" s="730"/>
      <c r="J243" s="731"/>
      <c r="K243" s="731"/>
      <c r="L243" s="731"/>
      <c r="M243" s="731"/>
      <c r="N243" s="731"/>
    </row>
    <row r="244">
      <c r="A244" s="408"/>
      <c r="B244" s="730"/>
      <c r="C244" s="772"/>
      <c r="D244" s="773"/>
      <c r="E244" s="772"/>
      <c r="F244" s="773"/>
      <c r="G244" s="732"/>
      <c r="H244" s="733"/>
      <c r="I244" s="730"/>
      <c r="J244" s="731"/>
      <c r="K244" s="731"/>
      <c r="L244" s="731"/>
      <c r="M244" s="731"/>
      <c r="N244" s="731"/>
    </row>
    <row r="245">
      <c r="A245" s="408"/>
      <c r="B245" s="730"/>
      <c r="C245" s="772"/>
      <c r="D245" s="773"/>
      <c r="E245" s="772"/>
      <c r="F245" s="773"/>
      <c r="G245" s="732"/>
      <c r="H245" s="733"/>
      <c r="I245" s="730"/>
      <c r="J245" s="731"/>
      <c r="K245" s="731"/>
      <c r="L245" s="731"/>
      <c r="M245" s="731"/>
      <c r="N245" s="731"/>
    </row>
    <row r="246">
      <c r="A246" s="408"/>
      <c r="B246" s="730"/>
      <c r="C246" s="772"/>
      <c r="D246" s="773"/>
      <c r="E246" s="772"/>
      <c r="F246" s="773"/>
      <c r="G246" s="732"/>
      <c r="H246" s="733"/>
      <c r="I246" s="730"/>
      <c r="J246" s="731"/>
      <c r="K246" s="731"/>
      <c r="L246" s="731"/>
      <c r="M246" s="731"/>
      <c r="N246" s="731"/>
    </row>
    <row r="247">
      <c r="A247" s="408"/>
      <c r="B247" s="730"/>
      <c r="C247" s="772"/>
      <c r="D247" s="773"/>
      <c r="E247" s="772"/>
      <c r="F247" s="773"/>
      <c r="G247" s="732"/>
      <c r="H247" s="733"/>
      <c r="I247" s="730"/>
      <c r="J247" s="731"/>
      <c r="K247" s="731"/>
      <c r="L247" s="731"/>
      <c r="M247" s="731"/>
      <c r="N247" s="731"/>
    </row>
    <row r="248">
      <c r="A248" s="408"/>
      <c r="B248" s="730"/>
      <c r="C248" s="772"/>
      <c r="D248" s="773"/>
      <c r="E248" s="772"/>
      <c r="F248" s="773"/>
      <c r="G248" s="732"/>
      <c r="H248" s="733"/>
      <c r="I248" s="730"/>
      <c r="J248" s="731"/>
      <c r="K248" s="731"/>
      <c r="L248" s="731"/>
      <c r="M248" s="731"/>
      <c r="N248" s="731"/>
    </row>
    <row r="249">
      <c r="A249" s="408"/>
      <c r="B249" s="730"/>
      <c r="C249" s="772"/>
      <c r="D249" s="773"/>
      <c r="E249" s="772"/>
      <c r="F249" s="773"/>
      <c r="G249" s="732"/>
      <c r="H249" s="733"/>
      <c r="I249" s="730"/>
      <c r="J249" s="731"/>
      <c r="K249" s="731"/>
      <c r="L249" s="731"/>
      <c r="M249" s="731"/>
      <c r="N249" s="731"/>
    </row>
    <row r="250">
      <c r="A250" s="408"/>
      <c r="B250" s="730"/>
      <c r="C250" s="772"/>
      <c r="D250" s="773"/>
      <c r="E250" s="772"/>
      <c r="F250" s="773"/>
      <c r="G250" s="732"/>
      <c r="H250" s="733"/>
      <c r="I250" s="730"/>
      <c r="J250" s="731"/>
      <c r="K250" s="731"/>
      <c r="L250" s="731"/>
      <c r="M250" s="731"/>
      <c r="N250" s="731"/>
    </row>
    <row r="251">
      <c r="A251" s="408"/>
      <c r="B251" s="730"/>
      <c r="C251" s="772"/>
      <c r="D251" s="773"/>
      <c r="E251" s="772"/>
      <c r="F251" s="773"/>
      <c r="G251" s="732"/>
      <c r="H251" s="733"/>
      <c r="I251" s="730"/>
      <c r="J251" s="731"/>
      <c r="K251" s="731"/>
      <c r="L251" s="731"/>
      <c r="M251" s="731"/>
      <c r="N251" s="731"/>
    </row>
    <row r="252">
      <c r="A252" s="408"/>
      <c r="B252" s="730"/>
      <c r="C252" s="772"/>
      <c r="D252" s="773"/>
      <c r="E252" s="772"/>
      <c r="F252" s="773"/>
      <c r="G252" s="732"/>
      <c r="H252" s="733"/>
      <c r="I252" s="730"/>
      <c r="J252" s="731"/>
      <c r="K252" s="731"/>
      <c r="L252" s="731"/>
      <c r="M252" s="731"/>
      <c r="N252" s="731"/>
    </row>
    <row r="253">
      <c r="A253" s="408"/>
      <c r="B253" s="730"/>
      <c r="C253" s="772"/>
      <c r="D253" s="773"/>
      <c r="E253" s="772"/>
      <c r="F253" s="773"/>
      <c r="G253" s="732"/>
      <c r="H253" s="733"/>
      <c r="I253" s="730"/>
      <c r="J253" s="731"/>
      <c r="K253" s="731"/>
      <c r="L253" s="731"/>
      <c r="M253" s="731"/>
      <c r="N253" s="731"/>
    </row>
    <row r="254">
      <c r="A254" s="408"/>
      <c r="B254" s="730"/>
      <c r="C254" s="772"/>
      <c r="D254" s="773"/>
      <c r="E254" s="772"/>
      <c r="F254" s="773"/>
      <c r="G254" s="732"/>
      <c r="H254" s="733"/>
      <c r="I254" s="730"/>
      <c r="J254" s="731"/>
      <c r="K254" s="731"/>
      <c r="L254" s="731"/>
      <c r="M254" s="731"/>
      <c r="N254" s="731"/>
    </row>
    <row r="255">
      <c r="A255" s="408"/>
      <c r="B255" s="730"/>
      <c r="C255" s="772"/>
      <c r="D255" s="773"/>
      <c r="E255" s="772"/>
      <c r="F255" s="773"/>
      <c r="G255" s="732"/>
      <c r="H255" s="733"/>
      <c r="I255" s="730"/>
      <c r="J255" s="731"/>
      <c r="K255" s="731"/>
      <c r="L255" s="731"/>
      <c r="M255" s="731"/>
      <c r="N255" s="731"/>
    </row>
    <row r="256">
      <c r="A256" s="408"/>
      <c r="B256" s="730"/>
      <c r="C256" s="772"/>
      <c r="D256" s="773"/>
      <c r="E256" s="772"/>
      <c r="F256" s="773"/>
      <c r="G256" s="732"/>
      <c r="H256" s="733"/>
      <c r="I256" s="730"/>
      <c r="J256" s="731"/>
      <c r="K256" s="731"/>
      <c r="L256" s="731"/>
      <c r="M256" s="731"/>
      <c r="N256" s="731"/>
    </row>
    <row r="257">
      <c r="A257" s="408"/>
      <c r="B257" s="730"/>
      <c r="C257" s="772"/>
      <c r="D257" s="773"/>
      <c r="E257" s="772"/>
      <c r="F257" s="773"/>
      <c r="G257" s="732"/>
      <c r="H257" s="733"/>
      <c r="I257" s="730"/>
      <c r="J257" s="731"/>
      <c r="K257" s="731"/>
      <c r="L257" s="731"/>
      <c r="M257" s="731"/>
      <c r="N257" s="731"/>
    </row>
    <row r="258">
      <c r="A258" s="408"/>
      <c r="B258" s="730"/>
      <c r="C258" s="772"/>
      <c r="D258" s="773"/>
      <c r="E258" s="772"/>
      <c r="F258" s="773"/>
      <c r="G258" s="732"/>
      <c r="H258" s="733"/>
      <c r="I258" s="730"/>
      <c r="J258" s="731"/>
      <c r="K258" s="731"/>
      <c r="L258" s="731"/>
      <c r="M258" s="731"/>
      <c r="N258" s="731"/>
    </row>
    <row r="259">
      <c r="A259" s="408"/>
      <c r="B259" s="730"/>
      <c r="C259" s="772"/>
      <c r="D259" s="773"/>
      <c r="E259" s="772"/>
      <c r="F259" s="773"/>
      <c r="G259" s="732"/>
      <c r="H259" s="733"/>
      <c r="I259" s="730"/>
      <c r="J259" s="731"/>
      <c r="K259" s="731"/>
      <c r="L259" s="731"/>
      <c r="M259" s="731"/>
      <c r="N259" s="731"/>
    </row>
    <row r="260">
      <c r="A260" s="408"/>
      <c r="B260" s="730"/>
      <c r="C260" s="772"/>
      <c r="D260" s="773"/>
      <c r="E260" s="772"/>
      <c r="F260" s="773"/>
      <c r="G260" s="732"/>
      <c r="H260" s="733"/>
      <c r="I260" s="730"/>
      <c r="J260" s="731"/>
      <c r="K260" s="731"/>
      <c r="L260" s="731"/>
      <c r="M260" s="731"/>
      <c r="N260" s="731"/>
    </row>
    <row r="261">
      <c r="A261" s="408"/>
      <c r="B261" s="730"/>
      <c r="C261" s="772"/>
      <c r="D261" s="773"/>
      <c r="E261" s="772"/>
      <c r="F261" s="773"/>
      <c r="G261" s="732"/>
      <c r="H261" s="733"/>
      <c r="I261" s="730"/>
      <c r="J261" s="731"/>
      <c r="K261" s="731"/>
      <c r="L261" s="731"/>
      <c r="M261" s="731"/>
      <c r="N261" s="731"/>
    </row>
    <row r="262">
      <c r="A262" s="408"/>
      <c r="B262" s="730"/>
      <c r="C262" s="772"/>
      <c r="D262" s="773"/>
      <c r="E262" s="772"/>
      <c r="F262" s="773"/>
      <c r="G262" s="732"/>
      <c r="H262" s="733"/>
      <c r="I262" s="730"/>
      <c r="J262" s="731"/>
      <c r="K262" s="731"/>
      <c r="L262" s="731"/>
      <c r="M262" s="731"/>
      <c r="N262" s="731"/>
    </row>
    <row r="263">
      <c r="A263" s="408"/>
      <c r="B263" s="730"/>
      <c r="C263" s="772"/>
      <c r="D263" s="773"/>
      <c r="E263" s="772"/>
      <c r="F263" s="773"/>
      <c r="G263" s="732"/>
      <c r="H263" s="733"/>
      <c r="I263" s="730"/>
      <c r="J263" s="731"/>
      <c r="K263" s="731"/>
      <c r="L263" s="731"/>
      <c r="M263" s="731"/>
      <c r="N263" s="731"/>
    </row>
    <row r="264">
      <c r="A264" s="408"/>
      <c r="B264" s="730"/>
      <c r="C264" s="772"/>
      <c r="D264" s="773"/>
      <c r="E264" s="772"/>
      <c r="F264" s="773"/>
      <c r="G264" s="732"/>
      <c r="H264" s="733"/>
      <c r="I264" s="730"/>
      <c r="J264" s="731"/>
      <c r="K264" s="731"/>
      <c r="L264" s="731"/>
      <c r="M264" s="731"/>
      <c r="N264" s="731"/>
    </row>
    <row r="265">
      <c r="A265" s="408"/>
      <c r="B265" s="730"/>
      <c r="C265" s="772"/>
      <c r="D265" s="773"/>
      <c r="E265" s="772"/>
      <c r="F265" s="773"/>
      <c r="G265" s="732"/>
      <c r="H265" s="733"/>
      <c r="I265" s="730"/>
      <c r="J265" s="731"/>
      <c r="K265" s="731"/>
      <c r="L265" s="731"/>
      <c r="M265" s="731"/>
      <c r="N265" s="731"/>
    </row>
    <row r="266">
      <c r="A266" s="408"/>
      <c r="B266" s="730"/>
      <c r="C266" s="772"/>
      <c r="D266" s="773"/>
      <c r="E266" s="772"/>
      <c r="F266" s="773"/>
      <c r="G266" s="732"/>
      <c r="H266" s="733"/>
      <c r="I266" s="730"/>
      <c r="J266" s="731"/>
      <c r="K266" s="731"/>
      <c r="L266" s="731"/>
      <c r="M266" s="731"/>
      <c r="N266" s="731"/>
    </row>
    <row r="267">
      <c r="A267" s="408"/>
      <c r="B267" s="730"/>
      <c r="C267" s="772"/>
      <c r="D267" s="773"/>
      <c r="E267" s="772"/>
      <c r="F267" s="773"/>
      <c r="G267" s="732"/>
      <c r="H267" s="733"/>
      <c r="I267" s="730"/>
      <c r="J267" s="731"/>
      <c r="K267" s="731"/>
      <c r="L267" s="731"/>
      <c r="M267" s="731"/>
      <c r="N267" s="731"/>
    </row>
    <row r="268">
      <c r="A268" s="408"/>
      <c r="B268" s="730"/>
      <c r="C268" s="772"/>
      <c r="D268" s="773"/>
      <c r="E268" s="772"/>
      <c r="F268" s="773"/>
      <c r="G268" s="732"/>
      <c r="H268" s="733"/>
      <c r="I268" s="730"/>
      <c r="J268" s="731"/>
      <c r="K268" s="731"/>
      <c r="L268" s="731"/>
      <c r="M268" s="731"/>
      <c r="N268" s="731"/>
    </row>
    <row r="269">
      <c r="A269" s="408"/>
      <c r="B269" s="730"/>
      <c r="C269" s="772"/>
      <c r="D269" s="773"/>
      <c r="E269" s="772"/>
      <c r="F269" s="773"/>
      <c r="G269" s="732"/>
      <c r="H269" s="733"/>
      <c r="I269" s="730"/>
      <c r="J269" s="731"/>
      <c r="K269" s="731"/>
      <c r="L269" s="731"/>
      <c r="M269" s="731"/>
      <c r="N269" s="731"/>
    </row>
    <row r="270">
      <c r="A270" s="408"/>
      <c r="B270" s="730"/>
      <c r="C270" s="772"/>
      <c r="D270" s="773"/>
      <c r="E270" s="772"/>
      <c r="F270" s="773"/>
      <c r="G270" s="732"/>
      <c r="H270" s="733"/>
      <c r="I270" s="730"/>
      <c r="J270" s="731"/>
      <c r="K270" s="731"/>
      <c r="L270" s="731"/>
      <c r="M270" s="731"/>
      <c r="N270" s="731"/>
    </row>
    <row r="271">
      <c r="A271" s="408"/>
      <c r="B271" s="730"/>
      <c r="C271" s="772"/>
      <c r="D271" s="773"/>
      <c r="E271" s="772"/>
      <c r="F271" s="773"/>
      <c r="G271" s="732"/>
      <c r="H271" s="733"/>
      <c r="I271" s="730"/>
      <c r="J271" s="731"/>
      <c r="K271" s="731"/>
      <c r="L271" s="731"/>
      <c r="M271" s="731"/>
      <c r="N271" s="731"/>
    </row>
    <row r="272">
      <c r="A272" s="408"/>
      <c r="B272" s="730"/>
      <c r="C272" s="772"/>
      <c r="D272" s="773"/>
      <c r="E272" s="772"/>
      <c r="F272" s="773"/>
      <c r="G272" s="732"/>
      <c r="H272" s="733"/>
      <c r="I272" s="730"/>
      <c r="J272" s="731"/>
      <c r="K272" s="731"/>
      <c r="L272" s="731"/>
      <c r="M272" s="731"/>
      <c r="N272" s="731"/>
    </row>
    <row r="273">
      <c r="A273" s="408"/>
      <c r="B273" s="730"/>
      <c r="C273" s="772"/>
      <c r="D273" s="773"/>
      <c r="E273" s="772"/>
      <c r="F273" s="773"/>
      <c r="G273" s="732"/>
      <c r="H273" s="733"/>
      <c r="I273" s="730"/>
      <c r="J273" s="731"/>
      <c r="K273" s="731"/>
      <c r="L273" s="731"/>
      <c r="M273" s="731"/>
      <c r="N273" s="731"/>
    </row>
    <row r="274">
      <c r="A274" s="408"/>
      <c r="B274" s="730"/>
      <c r="C274" s="772"/>
      <c r="D274" s="773"/>
      <c r="E274" s="772"/>
      <c r="F274" s="773"/>
      <c r="G274" s="732"/>
      <c r="H274" s="733"/>
      <c r="I274" s="730"/>
      <c r="J274" s="731"/>
      <c r="K274" s="731"/>
      <c r="L274" s="731"/>
      <c r="M274" s="731"/>
      <c r="N274" s="731"/>
    </row>
    <row r="275">
      <c r="A275" s="408"/>
      <c r="B275" s="730"/>
      <c r="C275" s="772"/>
      <c r="D275" s="773"/>
      <c r="E275" s="772"/>
      <c r="F275" s="773"/>
      <c r="G275" s="732"/>
      <c r="H275" s="733"/>
      <c r="I275" s="730"/>
      <c r="J275" s="731"/>
      <c r="K275" s="731"/>
      <c r="L275" s="731"/>
      <c r="M275" s="731"/>
      <c r="N275" s="731"/>
    </row>
    <row r="276">
      <c r="A276" s="408"/>
      <c r="B276" s="730"/>
      <c r="C276" s="772"/>
      <c r="D276" s="773"/>
      <c r="E276" s="772"/>
      <c r="F276" s="773"/>
      <c r="G276" s="732"/>
      <c r="H276" s="733"/>
      <c r="I276" s="730"/>
      <c r="J276" s="731"/>
      <c r="K276" s="731"/>
      <c r="L276" s="731"/>
      <c r="M276" s="731"/>
      <c r="N276" s="731"/>
    </row>
    <row r="277">
      <c r="A277" s="408"/>
      <c r="B277" s="730"/>
      <c r="C277" s="772"/>
      <c r="D277" s="773"/>
      <c r="E277" s="772"/>
      <c r="F277" s="773"/>
      <c r="G277" s="732"/>
      <c r="H277" s="733"/>
      <c r="I277" s="730"/>
      <c r="J277" s="731"/>
      <c r="K277" s="731"/>
      <c r="L277" s="731"/>
      <c r="M277" s="731"/>
      <c r="N277" s="731"/>
    </row>
    <row r="278">
      <c r="A278" s="408"/>
      <c r="B278" s="730"/>
      <c r="C278" s="772"/>
      <c r="D278" s="773"/>
      <c r="E278" s="772"/>
      <c r="F278" s="773"/>
      <c r="G278" s="732"/>
      <c r="H278" s="733"/>
      <c r="I278" s="730"/>
      <c r="J278" s="731"/>
      <c r="K278" s="731"/>
      <c r="L278" s="731"/>
      <c r="M278" s="731"/>
      <c r="N278" s="731"/>
    </row>
    <row r="279">
      <c r="A279" s="408"/>
      <c r="B279" s="730"/>
      <c r="C279" s="772"/>
      <c r="D279" s="773"/>
      <c r="E279" s="772"/>
      <c r="F279" s="773"/>
      <c r="G279" s="732"/>
      <c r="H279" s="733"/>
      <c r="I279" s="730"/>
      <c r="J279" s="731"/>
      <c r="K279" s="731"/>
      <c r="L279" s="731"/>
      <c r="M279" s="731"/>
      <c r="N279" s="731"/>
    </row>
    <row r="280">
      <c r="A280" s="408"/>
      <c r="B280" s="730"/>
      <c r="C280" s="772"/>
      <c r="D280" s="773"/>
      <c r="E280" s="772"/>
      <c r="F280" s="773"/>
      <c r="G280" s="732"/>
      <c r="H280" s="733"/>
      <c r="I280" s="730"/>
      <c r="J280" s="731"/>
      <c r="K280" s="731"/>
      <c r="L280" s="731"/>
      <c r="M280" s="731"/>
      <c r="N280" s="731"/>
    </row>
    <row r="281">
      <c r="A281" s="408"/>
      <c r="B281" s="730"/>
      <c r="C281" s="772"/>
      <c r="D281" s="773"/>
      <c r="E281" s="772"/>
      <c r="F281" s="773"/>
      <c r="G281" s="732"/>
      <c r="H281" s="733"/>
      <c r="I281" s="730"/>
      <c r="J281" s="731"/>
      <c r="K281" s="731"/>
      <c r="L281" s="731"/>
      <c r="M281" s="731"/>
      <c r="N281" s="731"/>
    </row>
    <row r="282">
      <c r="A282" s="408"/>
      <c r="B282" s="730"/>
      <c r="C282" s="772"/>
      <c r="D282" s="773"/>
      <c r="E282" s="772"/>
      <c r="F282" s="773"/>
      <c r="G282" s="732"/>
      <c r="H282" s="733"/>
      <c r="I282" s="730"/>
      <c r="J282" s="731"/>
      <c r="K282" s="731"/>
      <c r="L282" s="731"/>
      <c r="M282" s="731"/>
      <c r="N282" s="731"/>
    </row>
    <row r="283">
      <c r="A283" s="408"/>
      <c r="B283" s="730"/>
      <c r="C283" s="772"/>
      <c r="D283" s="773"/>
      <c r="E283" s="772"/>
      <c r="F283" s="773"/>
      <c r="G283" s="732"/>
      <c r="H283" s="733"/>
      <c r="I283" s="730"/>
      <c r="J283" s="731"/>
      <c r="K283" s="731"/>
      <c r="L283" s="731"/>
      <c r="M283" s="731"/>
      <c r="N283" s="731"/>
    </row>
    <row r="284">
      <c r="A284" s="408"/>
      <c r="B284" s="730"/>
      <c r="C284" s="772"/>
      <c r="D284" s="773"/>
      <c r="E284" s="772"/>
      <c r="F284" s="773"/>
      <c r="G284" s="732"/>
      <c r="H284" s="733"/>
      <c r="I284" s="730"/>
      <c r="J284" s="731"/>
      <c r="K284" s="731"/>
      <c r="L284" s="731"/>
      <c r="M284" s="731"/>
      <c r="N284" s="731"/>
    </row>
    <row r="285">
      <c r="A285" s="408"/>
      <c r="B285" s="730"/>
      <c r="C285" s="772"/>
      <c r="D285" s="773"/>
      <c r="E285" s="772"/>
      <c r="F285" s="773"/>
      <c r="G285" s="732"/>
      <c r="H285" s="733"/>
      <c r="I285" s="730"/>
      <c r="J285" s="731"/>
      <c r="K285" s="731"/>
      <c r="L285" s="731"/>
      <c r="M285" s="731"/>
      <c r="N285" s="731"/>
    </row>
    <row r="286">
      <c r="A286" s="408"/>
      <c r="B286" s="730"/>
      <c r="C286" s="772"/>
      <c r="D286" s="773"/>
      <c r="E286" s="772"/>
      <c r="F286" s="773"/>
      <c r="G286" s="732"/>
      <c r="H286" s="733"/>
      <c r="I286" s="730"/>
      <c r="J286" s="731"/>
      <c r="K286" s="731"/>
      <c r="L286" s="731"/>
      <c r="M286" s="731"/>
      <c r="N286" s="731"/>
    </row>
    <row r="287">
      <c r="A287" s="408"/>
      <c r="B287" s="730"/>
      <c r="C287" s="772"/>
      <c r="D287" s="773"/>
      <c r="E287" s="772"/>
      <c r="F287" s="773"/>
      <c r="G287" s="732"/>
      <c r="H287" s="733"/>
      <c r="I287" s="730"/>
      <c r="J287" s="731"/>
      <c r="K287" s="731"/>
      <c r="L287" s="731"/>
      <c r="M287" s="731"/>
      <c r="N287" s="731"/>
    </row>
    <row r="288">
      <c r="A288" s="408"/>
      <c r="B288" s="730"/>
      <c r="C288" s="772"/>
      <c r="D288" s="773"/>
      <c r="E288" s="772"/>
      <c r="F288" s="773"/>
      <c r="G288" s="732"/>
      <c r="H288" s="733"/>
      <c r="I288" s="730"/>
      <c r="J288" s="731"/>
      <c r="K288" s="731"/>
      <c r="L288" s="731"/>
      <c r="M288" s="731"/>
      <c r="N288" s="731"/>
    </row>
    <row r="289">
      <c r="A289" s="408"/>
      <c r="B289" s="730"/>
      <c r="C289" s="772"/>
      <c r="D289" s="773"/>
      <c r="E289" s="772"/>
      <c r="F289" s="773"/>
      <c r="G289" s="732"/>
      <c r="H289" s="733"/>
      <c r="I289" s="730"/>
      <c r="J289" s="731"/>
      <c r="K289" s="731"/>
      <c r="L289" s="731"/>
      <c r="M289" s="731"/>
      <c r="N289" s="731"/>
    </row>
    <row r="290">
      <c r="A290" s="408"/>
      <c r="B290" s="730"/>
      <c r="C290" s="772"/>
      <c r="D290" s="773"/>
      <c r="E290" s="772"/>
      <c r="F290" s="773"/>
      <c r="G290" s="732"/>
      <c r="H290" s="733"/>
      <c r="I290" s="730"/>
      <c r="J290" s="731"/>
      <c r="K290" s="731"/>
      <c r="L290" s="731"/>
      <c r="M290" s="731"/>
      <c r="N290" s="731"/>
    </row>
    <row r="291">
      <c r="A291" s="408"/>
      <c r="B291" s="730"/>
      <c r="C291" s="772"/>
      <c r="D291" s="773"/>
      <c r="E291" s="772"/>
      <c r="F291" s="773"/>
      <c r="G291" s="732"/>
      <c r="H291" s="733"/>
      <c r="I291" s="730"/>
      <c r="J291" s="731"/>
      <c r="K291" s="731"/>
      <c r="L291" s="731"/>
      <c r="M291" s="731"/>
      <c r="N291" s="731"/>
    </row>
    <row r="292">
      <c r="A292" s="408"/>
      <c r="B292" s="730"/>
      <c r="C292" s="772"/>
      <c r="D292" s="773"/>
      <c r="E292" s="772"/>
      <c r="F292" s="773"/>
      <c r="G292" s="732"/>
      <c r="H292" s="733"/>
      <c r="I292" s="730"/>
      <c r="J292" s="731"/>
      <c r="K292" s="731"/>
      <c r="L292" s="731"/>
      <c r="M292" s="731"/>
      <c r="N292" s="731"/>
    </row>
    <row r="293">
      <c r="A293" s="408"/>
      <c r="B293" s="730"/>
      <c r="C293" s="772"/>
      <c r="D293" s="773"/>
      <c r="E293" s="772"/>
      <c r="F293" s="773"/>
      <c r="G293" s="732"/>
      <c r="H293" s="733"/>
      <c r="I293" s="730"/>
      <c r="J293" s="731"/>
      <c r="K293" s="731"/>
      <c r="L293" s="731"/>
      <c r="M293" s="731"/>
      <c r="N293" s="731"/>
    </row>
    <row r="294">
      <c r="A294" s="408"/>
      <c r="B294" s="730"/>
      <c r="C294" s="772"/>
      <c r="D294" s="773"/>
      <c r="E294" s="772"/>
      <c r="F294" s="773"/>
      <c r="G294" s="732"/>
      <c r="H294" s="733"/>
      <c r="I294" s="730"/>
      <c r="J294" s="731"/>
      <c r="K294" s="731"/>
      <c r="L294" s="731"/>
      <c r="M294" s="731"/>
      <c r="N294" s="731"/>
    </row>
    <row r="295">
      <c r="A295" s="408"/>
      <c r="B295" s="730"/>
      <c r="C295" s="772"/>
      <c r="D295" s="773"/>
      <c r="E295" s="772"/>
      <c r="F295" s="773"/>
      <c r="G295" s="732"/>
      <c r="H295" s="733"/>
      <c r="I295" s="730"/>
      <c r="J295" s="731"/>
      <c r="K295" s="731"/>
      <c r="L295" s="731"/>
      <c r="M295" s="731"/>
      <c r="N295" s="731"/>
    </row>
    <row r="296">
      <c r="A296" s="408"/>
      <c r="B296" s="730"/>
      <c r="C296" s="772"/>
      <c r="D296" s="773"/>
      <c r="E296" s="772"/>
      <c r="F296" s="773"/>
      <c r="G296" s="732"/>
      <c r="H296" s="733"/>
      <c r="I296" s="730"/>
      <c r="J296" s="731"/>
      <c r="K296" s="731"/>
      <c r="L296" s="731"/>
      <c r="M296" s="731"/>
      <c r="N296" s="731"/>
    </row>
    <row r="297">
      <c r="A297" s="408"/>
      <c r="B297" s="730"/>
      <c r="C297" s="772"/>
      <c r="D297" s="773"/>
      <c r="E297" s="772"/>
      <c r="F297" s="773"/>
      <c r="G297" s="732"/>
      <c r="H297" s="733"/>
      <c r="I297" s="730"/>
      <c r="J297" s="731"/>
      <c r="K297" s="731"/>
      <c r="L297" s="731"/>
      <c r="M297" s="731"/>
      <c r="N297" s="731"/>
    </row>
    <row r="298">
      <c r="A298" s="408"/>
      <c r="B298" s="730"/>
      <c r="C298" s="772"/>
      <c r="D298" s="773"/>
      <c r="E298" s="772"/>
      <c r="F298" s="773"/>
      <c r="G298" s="732"/>
      <c r="H298" s="733"/>
      <c r="I298" s="730"/>
      <c r="J298" s="731"/>
      <c r="K298" s="731"/>
      <c r="L298" s="731"/>
      <c r="M298" s="731"/>
      <c r="N298" s="731"/>
    </row>
    <row r="299">
      <c r="A299" s="408"/>
      <c r="B299" s="730"/>
      <c r="C299" s="772"/>
      <c r="D299" s="773"/>
      <c r="E299" s="772"/>
      <c r="F299" s="773"/>
      <c r="G299" s="732"/>
      <c r="H299" s="733"/>
      <c r="I299" s="730"/>
      <c r="J299" s="731"/>
      <c r="K299" s="731"/>
      <c r="L299" s="731"/>
      <c r="M299" s="731"/>
      <c r="N299" s="731"/>
    </row>
    <row r="300">
      <c r="A300" s="408"/>
      <c r="B300" s="730"/>
      <c r="C300" s="772"/>
      <c r="D300" s="773"/>
      <c r="E300" s="772"/>
      <c r="F300" s="773"/>
      <c r="G300" s="732"/>
      <c r="H300" s="733"/>
      <c r="I300" s="730"/>
      <c r="J300" s="731"/>
      <c r="K300" s="731"/>
      <c r="L300" s="731"/>
      <c r="M300" s="731"/>
      <c r="N300" s="731"/>
    </row>
    <row r="301">
      <c r="A301" s="408"/>
      <c r="B301" s="730"/>
      <c r="C301" s="772"/>
      <c r="D301" s="773"/>
      <c r="E301" s="772"/>
      <c r="F301" s="773"/>
      <c r="G301" s="732"/>
      <c r="H301" s="733"/>
      <c r="I301" s="730"/>
      <c r="J301" s="731"/>
      <c r="K301" s="731"/>
      <c r="L301" s="731"/>
      <c r="M301" s="731"/>
      <c r="N301" s="731"/>
    </row>
    <row r="302">
      <c r="A302" s="408"/>
      <c r="B302" s="730"/>
      <c r="C302" s="772"/>
      <c r="D302" s="773"/>
      <c r="E302" s="772"/>
      <c r="F302" s="773"/>
      <c r="G302" s="732"/>
      <c r="H302" s="733"/>
      <c r="I302" s="730"/>
      <c r="J302" s="731"/>
      <c r="K302" s="731"/>
      <c r="L302" s="731"/>
      <c r="M302" s="731"/>
      <c r="N302" s="731"/>
    </row>
    <row r="303">
      <c r="A303" s="408"/>
      <c r="B303" s="730"/>
      <c r="C303" s="772"/>
      <c r="D303" s="773"/>
      <c r="E303" s="772"/>
      <c r="F303" s="773"/>
      <c r="G303" s="732"/>
      <c r="H303" s="733"/>
      <c r="I303" s="730"/>
      <c r="J303" s="731"/>
      <c r="K303" s="731"/>
      <c r="L303" s="731"/>
      <c r="M303" s="731"/>
      <c r="N303" s="731"/>
    </row>
    <row r="304">
      <c r="A304" s="408"/>
      <c r="B304" s="730"/>
      <c r="C304" s="772"/>
      <c r="D304" s="773"/>
      <c r="E304" s="772"/>
      <c r="F304" s="773"/>
      <c r="G304" s="732"/>
      <c r="H304" s="733"/>
      <c r="I304" s="730"/>
      <c r="J304" s="731"/>
      <c r="K304" s="731"/>
      <c r="L304" s="731"/>
      <c r="M304" s="731"/>
      <c r="N304" s="731"/>
    </row>
    <row r="305">
      <c r="A305" s="408"/>
      <c r="B305" s="730"/>
      <c r="C305" s="772"/>
      <c r="D305" s="773"/>
      <c r="E305" s="772"/>
      <c r="F305" s="773"/>
      <c r="G305" s="732"/>
      <c r="H305" s="733"/>
      <c r="I305" s="730"/>
      <c r="J305" s="731"/>
      <c r="K305" s="731"/>
      <c r="L305" s="731"/>
      <c r="M305" s="731"/>
      <c r="N305" s="731"/>
    </row>
    <row r="306">
      <c r="A306" s="408"/>
      <c r="B306" s="730"/>
      <c r="C306" s="772"/>
      <c r="D306" s="773"/>
      <c r="E306" s="772"/>
      <c r="F306" s="773"/>
      <c r="G306" s="732"/>
      <c r="H306" s="733"/>
      <c r="I306" s="730"/>
      <c r="J306" s="731"/>
      <c r="K306" s="731"/>
      <c r="L306" s="731"/>
      <c r="M306" s="731"/>
      <c r="N306" s="731"/>
    </row>
    <row r="307">
      <c r="A307" s="408"/>
      <c r="B307" s="730"/>
      <c r="C307" s="772"/>
      <c r="D307" s="773"/>
      <c r="E307" s="772"/>
      <c r="F307" s="773"/>
      <c r="G307" s="732"/>
      <c r="H307" s="733"/>
      <c r="I307" s="730"/>
      <c r="J307" s="731"/>
      <c r="K307" s="731"/>
      <c r="L307" s="731"/>
      <c r="M307" s="731"/>
      <c r="N307" s="731"/>
    </row>
    <row r="308">
      <c r="A308" s="408"/>
      <c r="B308" s="730"/>
      <c r="C308" s="772"/>
      <c r="D308" s="773"/>
      <c r="E308" s="772"/>
      <c r="F308" s="773"/>
      <c r="G308" s="732"/>
      <c r="H308" s="733"/>
      <c r="I308" s="730"/>
      <c r="J308" s="731"/>
      <c r="K308" s="731"/>
      <c r="L308" s="731"/>
      <c r="M308" s="731"/>
      <c r="N308" s="731"/>
    </row>
    <row r="309">
      <c r="A309" s="408"/>
      <c r="B309" s="730"/>
      <c r="C309" s="772"/>
      <c r="D309" s="773"/>
      <c r="E309" s="772"/>
      <c r="F309" s="773"/>
      <c r="G309" s="732"/>
      <c r="H309" s="733"/>
      <c r="I309" s="730"/>
      <c r="J309" s="731"/>
      <c r="K309" s="731"/>
      <c r="L309" s="731"/>
      <c r="M309" s="731"/>
      <c r="N309" s="731"/>
    </row>
    <row r="310">
      <c r="A310" s="408"/>
      <c r="B310" s="730"/>
      <c r="C310" s="772"/>
      <c r="D310" s="773"/>
      <c r="E310" s="772"/>
      <c r="F310" s="773"/>
      <c r="G310" s="732"/>
      <c r="H310" s="733"/>
      <c r="I310" s="730"/>
      <c r="J310" s="731"/>
      <c r="K310" s="731"/>
      <c r="L310" s="731"/>
      <c r="M310" s="731"/>
      <c r="N310" s="731"/>
    </row>
    <row r="311">
      <c r="A311" s="408"/>
      <c r="B311" s="730"/>
      <c r="C311" s="772"/>
      <c r="D311" s="773"/>
      <c r="E311" s="772"/>
      <c r="F311" s="773"/>
      <c r="G311" s="732"/>
      <c r="H311" s="733"/>
      <c r="I311" s="730"/>
      <c r="J311" s="731"/>
      <c r="K311" s="731"/>
      <c r="L311" s="731"/>
      <c r="M311" s="731"/>
      <c r="N311" s="731"/>
    </row>
    <row r="312">
      <c r="A312" s="408"/>
      <c r="B312" s="730"/>
      <c r="C312" s="772"/>
      <c r="D312" s="773"/>
      <c r="E312" s="772"/>
      <c r="F312" s="773"/>
      <c r="G312" s="732"/>
      <c r="H312" s="733"/>
      <c r="I312" s="730"/>
      <c r="J312" s="731"/>
      <c r="K312" s="731"/>
      <c r="L312" s="731"/>
      <c r="M312" s="731"/>
      <c r="N312" s="731"/>
    </row>
    <row r="313">
      <c r="A313" s="408"/>
      <c r="B313" s="730"/>
      <c r="C313" s="772"/>
      <c r="D313" s="773"/>
      <c r="E313" s="772"/>
      <c r="F313" s="773"/>
      <c r="G313" s="732"/>
      <c r="H313" s="733"/>
      <c r="I313" s="730"/>
      <c r="J313" s="731"/>
      <c r="K313" s="731"/>
      <c r="L313" s="731"/>
      <c r="M313" s="731"/>
      <c r="N313" s="731"/>
    </row>
    <row r="314">
      <c r="A314" s="408"/>
      <c r="B314" s="730"/>
      <c r="C314" s="772"/>
      <c r="D314" s="773"/>
      <c r="E314" s="772"/>
      <c r="F314" s="773"/>
      <c r="G314" s="732"/>
      <c r="H314" s="733"/>
      <c r="I314" s="730"/>
      <c r="J314" s="731"/>
      <c r="K314" s="731"/>
      <c r="L314" s="731"/>
      <c r="M314" s="731"/>
      <c r="N314" s="731"/>
    </row>
    <row r="315">
      <c r="A315" s="408"/>
      <c r="B315" s="730"/>
      <c r="C315" s="772"/>
      <c r="D315" s="773"/>
      <c r="E315" s="772"/>
      <c r="F315" s="773"/>
      <c r="G315" s="732"/>
      <c r="H315" s="733"/>
      <c r="I315" s="730"/>
      <c r="J315" s="731"/>
      <c r="K315" s="731"/>
      <c r="L315" s="731"/>
      <c r="M315" s="731"/>
      <c r="N315" s="731"/>
    </row>
    <row r="316">
      <c r="A316" s="408"/>
      <c r="B316" s="730"/>
      <c r="C316" s="772"/>
      <c r="D316" s="773"/>
      <c r="E316" s="772"/>
      <c r="F316" s="773"/>
      <c r="G316" s="732"/>
      <c r="H316" s="733"/>
      <c r="I316" s="730"/>
      <c r="J316" s="731"/>
      <c r="K316" s="731"/>
      <c r="L316" s="731"/>
      <c r="M316" s="731"/>
      <c r="N316" s="731"/>
    </row>
    <row r="317">
      <c r="A317" s="408"/>
      <c r="B317" s="730"/>
      <c r="C317" s="772"/>
      <c r="D317" s="773"/>
      <c r="E317" s="772"/>
      <c r="F317" s="773"/>
      <c r="G317" s="732"/>
      <c r="H317" s="733"/>
      <c r="I317" s="730"/>
      <c r="J317" s="731"/>
      <c r="K317" s="731"/>
      <c r="L317" s="731"/>
      <c r="M317" s="731"/>
      <c r="N317" s="731"/>
    </row>
    <row r="318">
      <c r="A318" s="408"/>
      <c r="B318" s="730"/>
      <c r="C318" s="772"/>
      <c r="D318" s="773"/>
      <c r="E318" s="772"/>
      <c r="F318" s="773"/>
      <c r="G318" s="732"/>
      <c r="H318" s="733"/>
      <c r="I318" s="730"/>
      <c r="J318" s="731"/>
      <c r="K318" s="731"/>
      <c r="L318" s="731"/>
      <c r="M318" s="731"/>
      <c r="N318" s="731"/>
    </row>
    <row r="319">
      <c r="A319" s="408"/>
      <c r="B319" s="730"/>
      <c r="C319" s="772"/>
      <c r="D319" s="773"/>
      <c r="E319" s="772"/>
      <c r="F319" s="773"/>
      <c r="G319" s="732"/>
      <c r="H319" s="733"/>
      <c r="I319" s="730"/>
      <c r="J319" s="731"/>
      <c r="K319" s="731"/>
      <c r="L319" s="731"/>
      <c r="M319" s="731"/>
      <c r="N319" s="731"/>
    </row>
    <row r="320">
      <c r="A320" s="408"/>
      <c r="B320" s="730"/>
      <c r="C320" s="772"/>
      <c r="D320" s="773"/>
      <c r="E320" s="772"/>
      <c r="F320" s="773"/>
      <c r="G320" s="732"/>
      <c r="H320" s="733"/>
      <c r="I320" s="730"/>
      <c r="J320" s="731"/>
      <c r="K320" s="731"/>
      <c r="L320" s="731"/>
      <c r="M320" s="731"/>
      <c r="N320" s="731"/>
    </row>
    <row r="321">
      <c r="A321" s="408"/>
      <c r="B321" s="730"/>
      <c r="C321" s="772"/>
      <c r="D321" s="773"/>
      <c r="E321" s="772"/>
      <c r="F321" s="773"/>
      <c r="G321" s="732"/>
      <c r="H321" s="733"/>
      <c r="I321" s="730"/>
      <c r="J321" s="731"/>
      <c r="K321" s="731"/>
      <c r="L321" s="731"/>
      <c r="M321" s="731"/>
      <c r="N321" s="731"/>
    </row>
    <row r="322">
      <c r="A322" s="408"/>
      <c r="B322" s="730"/>
      <c r="C322" s="772"/>
      <c r="D322" s="773"/>
      <c r="E322" s="772"/>
      <c r="F322" s="773"/>
      <c r="G322" s="732"/>
      <c r="H322" s="733"/>
      <c r="I322" s="730"/>
      <c r="J322" s="731"/>
      <c r="K322" s="731"/>
      <c r="L322" s="731"/>
      <c r="M322" s="731"/>
      <c r="N322" s="731"/>
    </row>
    <row r="323">
      <c r="A323" s="408"/>
      <c r="B323" s="730"/>
      <c r="C323" s="772"/>
      <c r="D323" s="773"/>
      <c r="E323" s="772"/>
      <c r="F323" s="773"/>
      <c r="G323" s="732"/>
      <c r="H323" s="733"/>
      <c r="I323" s="730"/>
      <c r="J323" s="731"/>
      <c r="K323" s="731"/>
      <c r="L323" s="731"/>
      <c r="M323" s="731"/>
      <c r="N323" s="731"/>
    </row>
    <row r="324">
      <c r="A324" s="408"/>
      <c r="B324" s="730"/>
      <c r="C324" s="772"/>
      <c r="D324" s="773"/>
      <c r="E324" s="772"/>
      <c r="F324" s="773"/>
      <c r="G324" s="732"/>
      <c r="H324" s="733"/>
      <c r="I324" s="730"/>
      <c r="J324" s="731"/>
      <c r="K324" s="731"/>
      <c r="L324" s="731"/>
      <c r="M324" s="731"/>
      <c r="N324" s="731"/>
    </row>
    <row r="325">
      <c r="A325" s="408"/>
      <c r="B325" s="730"/>
      <c r="C325" s="772"/>
      <c r="D325" s="773"/>
      <c r="E325" s="772"/>
      <c r="F325" s="773"/>
      <c r="G325" s="732"/>
      <c r="H325" s="733"/>
      <c r="I325" s="730"/>
      <c r="J325" s="731"/>
      <c r="K325" s="731"/>
      <c r="L325" s="731"/>
      <c r="M325" s="731"/>
      <c r="N325" s="731"/>
    </row>
    <row r="326">
      <c r="A326" s="408"/>
      <c r="B326" s="730"/>
      <c r="C326" s="772"/>
      <c r="D326" s="773"/>
      <c r="E326" s="772"/>
      <c r="F326" s="773"/>
      <c r="G326" s="732"/>
      <c r="H326" s="733"/>
      <c r="I326" s="730"/>
      <c r="J326" s="731"/>
      <c r="K326" s="731"/>
      <c r="L326" s="731"/>
      <c r="M326" s="731"/>
      <c r="N326" s="731"/>
    </row>
    <row r="327">
      <c r="A327" s="408"/>
      <c r="B327" s="730"/>
      <c r="C327" s="772"/>
      <c r="D327" s="773"/>
      <c r="E327" s="772"/>
      <c r="F327" s="773"/>
      <c r="G327" s="732"/>
      <c r="H327" s="733"/>
      <c r="I327" s="730"/>
      <c r="J327" s="731"/>
      <c r="K327" s="731"/>
      <c r="L327" s="731"/>
      <c r="M327" s="731"/>
      <c r="N327" s="731"/>
    </row>
    <row r="328">
      <c r="A328" s="408"/>
      <c r="B328" s="730"/>
      <c r="C328" s="772"/>
      <c r="D328" s="773"/>
      <c r="E328" s="772"/>
      <c r="F328" s="773"/>
      <c r="G328" s="732"/>
      <c r="H328" s="733"/>
      <c r="I328" s="730"/>
      <c r="J328" s="731"/>
      <c r="K328" s="731"/>
      <c r="L328" s="731"/>
      <c r="M328" s="731"/>
      <c r="N328" s="731"/>
    </row>
    <row r="329">
      <c r="A329" s="408"/>
      <c r="B329" s="730"/>
      <c r="C329" s="772"/>
      <c r="D329" s="773"/>
      <c r="E329" s="772"/>
      <c r="F329" s="773"/>
      <c r="G329" s="732"/>
      <c r="H329" s="733"/>
      <c r="I329" s="730"/>
      <c r="J329" s="731"/>
      <c r="K329" s="731"/>
      <c r="L329" s="731"/>
      <c r="M329" s="731"/>
      <c r="N329" s="731"/>
    </row>
    <row r="330">
      <c r="A330" s="408"/>
      <c r="B330" s="730"/>
      <c r="C330" s="772"/>
      <c r="D330" s="773"/>
      <c r="E330" s="772"/>
      <c r="F330" s="773"/>
      <c r="G330" s="732"/>
      <c r="H330" s="733"/>
      <c r="I330" s="730"/>
      <c r="J330" s="731"/>
      <c r="K330" s="731"/>
      <c r="L330" s="731"/>
      <c r="M330" s="731"/>
      <c r="N330" s="731"/>
    </row>
    <row r="331">
      <c r="A331" s="408"/>
      <c r="B331" s="730"/>
      <c r="C331" s="772"/>
      <c r="D331" s="773"/>
      <c r="E331" s="772"/>
      <c r="F331" s="773"/>
      <c r="G331" s="732"/>
      <c r="H331" s="733"/>
      <c r="I331" s="730"/>
      <c r="J331" s="731"/>
      <c r="K331" s="731"/>
      <c r="L331" s="731"/>
      <c r="M331" s="731"/>
      <c r="N331" s="731"/>
    </row>
    <row r="332">
      <c r="A332" s="408"/>
      <c r="B332" s="730"/>
      <c r="C332" s="772"/>
      <c r="D332" s="773"/>
      <c r="E332" s="772"/>
      <c r="F332" s="773"/>
      <c r="G332" s="732"/>
      <c r="H332" s="733"/>
      <c r="I332" s="730"/>
      <c r="J332" s="731"/>
      <c r="K332" s="731"/>
      <c r="L332" s="731"/>
      <c r="M332" s="731"/>
      <c r="N332" s="731"/>
    </row>
    <row r="333">
      <c r="A333" s="408"/>
      <c r="B333" s="730"/>
      <c r="C333" s="772"/>
      <c r="D333" s="773"/>
      <c r="E333" s="772"/>
      <c r="F333" s="773"/>
      <c r="G333" s="732"/>
      <c r="H333" s="733"/>
      <c r="I333" s="730"/>
      <c r="J333" s="731"/>
      <c r="K333" s="731"/>
      <c r="L333" s="731"/>
      <c r="M333" s="731"/>
      <c r="N333" s="731"/>
    </row>
    <row r="334">
      <c r="A334" s="408"/>
      <c r="B334" s="730"/>
      <c r="C334" s="772"/>
      <c r="D334" s="773"/>
      <c r="E334" s="772"/>
      <c r="F334" s="773"/>
      <c r="G334" s="732"/>
      <c r="H334" s="733"/>
      <c r="I334" s="730"/>
      <c r="J334" s="731"/>
      <c r="K334" s="731"/>
      <c r="L334" s="731"/>
      <c r="M334" s="731"/>
      <c r="N334" s="731"/>
    </row>
    <row r="335">
      <c r="A335" s="408"/>
      <c r="B335" s="730"/>
      <c r="C335" s="772"/>
      <c r="D335" s="773"/>
      <c r="E335" s="772"/>
      <c r="F335" s="773"/>
      <c r="G335" s="732"/>
      <c r="H335" s="733"/>
      <c r="I335" s="730"/>
      <c r="J335" s="731"/>
      <c r="K335" s="731"/>
      <c r="L335" s="731"/>
      <c r="M335" s="731"/>
      <c r="N335" s="731"/>
    </row>
    <row r="336">
      <c r="A336" s="408"/>
      <c r="B336" s="730"/>
      <c r="C336" s="772"/>
      <c r="D336" s="773"/>
      <c r="E336" s="772"/>
      <c r="F336" s="773"/>
      <c r="G336" s="732"/>
      <c r="H336" s="733"/>
      <c r="I336" s="730"/>
      <c r="J336" s="731"/>
      <c r="K336" s="731"/>
      <c r="L336" s="731"/>
      <c r="M336" s="731"/>
      <c r="N336" s="731"/>
    </row>
    <row r="337">
      <c r="A337" s="408"/>
      <c r="B337" s="730"/>
      <c r="C337" s="772"/>
      <c r="D337" s="773"/>
      <c r="E337" s="772"/>
      <c r="F337" s="773"/>
      <c r="G337" s="732"/>
      <c r="H337" s="733"/>
      <c r="I337" s="730"/>
      <c r="J337" s="731"/>
      <c r="K337" s="731"/>
      <c r="L337" s="731"/>
      <c r="M337" s="731"/>
      <c r="N337" s="731"/>
    </row>
    <row r="338">
      <c r="A338" s="408"/>
      <c r="B338" s="730"/>
      <c r="C338" s="772"/>
      <c r="D338" s="773"/>
      <c r="E338" s="772"/>
      <c r="F338" s="773"/>
      <c r="G338" s="732"/>
      <c r="H338" s="733"/>
      <c r="I338" s="730"/>
      <c r="J338" s="731"/>
      <c r="K338" s="731"/>
      <c r="L338" s="731"/>
      <c r="M338" s="731"/>
      <c r="N338" s="731"/>
    </row>
    <row r="339">
      <c r="A339" s="408"/>
      <c r="B339" s="730"/>
      <c r="C339" s="772"/>
      <c r="D339" s="773"/>
      <c r="E339" s="772"/>
      <c r="F339" s="773"/>
      <c r="G339" s="732"/>
      <c r="H339" s="733"/>
      <c r="I339" s="730"/>
      <c r="J339" s="731"/>
      <c r="K339" s="731"/>
      <c r="L339" s="731"/>
      <c r="M339" s="731"/>
      <c r="N339" s="731"/>
    </row>
    <row r="340">
      <c r="A340" s="408"/>
      <c r="B340" s="730"/>
      <c r="C340" s="772"/>
      <c r="D340" s="773"/>
      <c r="E340" s="772"/>
      <c r="F340" s="773"/>
      <c r="G340" s="732"/>
      <c r="H340" s="733"/>
      <c r="I340" s="730"/>
      <c r="J340" s="731"/>
      <c r="K340" s="731"/>
      <c r="L340" s="731"/>
      <c r="M340" s="731"/>
      <c r="N340" s="731"/>
    </row>
    <row r="341">
      <c r="A341" s="408"/>
      <c r="B341" s="730"/>
      <c r="C341" s="772"/>
      <c r="D341" s="773"/>
      <c r="E341" s="772"/>
      <c r="F341" s="773"/>
      <c r="G341" s="732"/>
      <c r="H341" s="733"/>
      <c r="I341" s="730"/>
      <c r="J341" s="731"/>
      <c r="K341" s="731"/>
      <c r="L341" s="731"/>
      <c r="M341" s="731"/>
      <c r="N341" s="731"/>
    </row>
    <row r="342">
      <c r="A342" s="408"/>
      <c r="B342" s="730"/>
      <c r="C342" s="772"/>
      <c r="D342" s="773"/>
      <c r="E342" s="772"/>
      <c r="F342" s="773"/>
      <c r="G342" s="732"/>
      <c r="H342" s="733"/>
      <c r="I342" s="730"/>
      <c r="J342" s="731"/>
      <c r="K342" s="731"/>
      <c r="L342" s="731"/>
      <c r="M342" s="731"/>
      <c r="N342" s="731"/>
    </row>
    <row r="343">
      <c r="A343" s="408"/>
      <c r="B343" s="730"/>
      <c r="C343" s="772"/>
      <c r="D343" s="773"/>
      <c r="E343" s="772"/>
      <c r="F343" s="773"/>
      <c r="G343" s="732"/>
      <c r="H343" s="733"/>
      <c r="I343" s="730"/>
      <c r="J343" s="731"/>
      <c r="K343" s="731"/>
      <c r="L343" s="731"/>
      <c r="M343" s="731"/>
      <c r="N343" s="731"/>
    </row>
    <row r="344">
      <c r="A344" s="408"/>
      <c r="B344" s="730"/>
      <c r="C344" s="772"/>
      <c r="D344" s="773"/>
      <c r="E344" s="772"/>
      <c r="F344" s="773"/>
      <c r="G344" s="732"/>
      <c r="H344" s="733"/>
      <c r="I344" s="730"/>
      <c r="J344" s="731"/>
      <c r="K344" s="731"/>
      <c r="L344" s="731"/>
      <c r="M344" s="731"/>
      <c r="N344" s="731"/>
    </row>
    <row r="345">
      <c r="A345" s="408"/>
      <c r="B345" s="730"/>
      <c r="C345" s="772"/>
      <c r="D345" s="773"/>
      <c r="E345" s="772"/>
      <c r="F345" s="773"/>
      <c r="G345" s="732"/>
      <c r="H345" s="733"/>
      <c r="I345" s="730"/>
      <c r="J345" s="731"/>
      <c r="K345" s="731"/>
      <c r="L345" s="731"/>
      <c r="M345" s="731"/>
      <c r="N345" s="731"/>
    </row>
    <row r="346">
      <c r="A346" s="408"/>
      <c r="B346" s="730"/>
      <c r="C346" s="772"/>
      <c r="D346" s="773"/>
      <c r="E346" s="772"/>
      <c r="F346" s="773"/>
      <c r="G346" s="732"/>
      <c r="H346" s="733"/>
      <c r="I346" s="730"/>
      <c r="J346" s="731"/>
      <c r="K346" s="731"/>
      <c r="L346" s="731"/>
      <c r="M346" s="731"/>
      <c r="N346" s="731"/>
    </row>
    <row r="347">
      <c r="A347" s="408"/>
      <c r="B347" s="730"/>
      <c r="C347" s="772"/>
      <c r="D347" s="773"/>
      <c r="E347" s="772"/>
      <c r="F347" s="773"/>
      <c r="G347" s="732"/>
      <c r="H347" s="733"/>
      <c r="I347" s="730"/>
      <c r="J347" s="731"/>
      <c r="K347" s="731"/>
      <c r="L347" s="731"/>
      <c r="M347" s="731"/>
      <c r="N347" s="731"/>
    </row>
    <row r="348">
      <c r="A348" s="408"/>
      <c r="B348" s="730"/>
      <c r="C348" s="772"/>
      <c r="D348" s="773"/>
      <c r="E348" s="772"/>
      <c r="F348" s="773"/>
      <c r="G348" s="732"/>
      <c r="H348" s="733"/>
      <c r="I348" s="730"/>
      <c r="J348" s="731"/>
      <c r="K348" s="731"/>
      <c r="L348" s="731"/>
      <c r="M348" s="731"/>
      <c r="N348" s="731"/>
    </row>
    <row r="349">
      <c r="A349" s="408"/>
      <c r="B349" s="730"/>
      <c r="C349" s="772"/>
      <c r="D349" s="773"/>
      <c r="E349" s="772"/>
      <c r="F349" s="773"/>
      <c r="G349" s="732"/>
      <c r="H349" s="733"/>
      <c r="I349" s="730"/>
      <c r="J349" s="731"/>
      <c r="K349" s="731"/>
      <c r="L349" s="731"/>
      <c r="M349" s="731"/>
      <c r="N349" s="731"/>
    </row>
    <row r="350">
      <c r="A350" s="408"/>
      <c r="B350" s="730"/>
      <c r="C350" s="772"/>
      <c r="D350" s="773"/>
      <c r="E350" s="772"/>
      <c r="F350" s="773"/>
      <c r="G350" s="732"/>
      <c r="H350" s="733"/>
      <c r="I350" s="730"/>
      <c r="J350" s="731"/>
      <c r="K350" s="731"/>
      <c r="L350" s="731"/>
      <c r="M350" s="731"/>
      <c r="N350" s="731"/>
    </row>
    <row r="351">
      <c r="A351" s="408"/>
      <c r="B351" s="730"/>
      <c r="C351" s="772"/>
      <c r="D351" s="773"/>
      <c r="E351" s="772"/>
      <c r="F351" s="773"/>
      <c r="G351" s="732"/>
      <c r="H351" s="733"/>
      <c r="I351" s="730"/>
      <c r="J351" s="731"/>
      <c r="K351" s="731"/>
      <c r="L351" s="731"/>
      <c r="M351" s="731"/>
      <c r="N351" s="731"/>
    </row>
    <row r="352">
      <c r="A352" s="408"/>
      <c r="B352" s="730"/>
      <c r="C352" s="772"/>
      <c r="D352" s="773"/>
      <c r="E352" s="772"/>
      <c r="F352" s="773"/>
      <c r="G352" s="732"/>
      <c r="H352" s="733"/>
      <c r="I352" s="730"/>
      <c r="J352" s="731"/>
      <c r="K352" s="731"/>
      <c r="L352" s="731"/>
      <c r="M352" s="731"/>
      <c r="N352" s="731"/>
    </row>
    <row r="353">
      <c r="A353" s="408"/>
      <c r="B353" s="730"/>
      <c r="C353" s="772"/>
      <c r="D353" s="773"/>
      <c r="E353" s="772"/>
      <c r="F353" s="773"/>
      <c r="G353" s="732"/>
      <c r="H353" s="733"/>
      <c r="I353" s="730"/>
      <c r="J353" s="731"/>
      <c r="K353" s="731"/>
      <c r="L353" s="731"/>
      <c r="M353" s="731"/>
      <c r="N353" s="731"/>
    </row>
    <row r="354">
      <c r="A354" s="408"/>
      <c r="B354" s="730"/>
      <c r="C354" s="772"/>
      <c r="D354" s="773"/>
      <c r="E354" s="772"/>
      <c r="F354" s="773"/>
      <c r="G354" s="732"/>
      <c r="H354" s="733"/>
      <c r="I354" s="730"/>
      <c r="J354" s="731"/>
      <c r="K354" s="731"/>
      <c r="L354" s="731"/>
      <c r="M354" s="731"/>
      <c r="N354" s="731"/>
    </row>
    <row r="355">
      <c r="A355" s="408"/>
      <c r="B355" s="730"/>
      <c r="C355" s="772"/>
      <c r="D355" s="773"/>
      <c r="E355" s="772"/>
      <c r="F355" s="773"/>
      <c r="G355" s="732"/>
      <c r="H355" s="733"/>
      <c r="I355" s="730"/>
      <c r="J355" s="731"/>
      <c r="K355" s="731"/>
      <c r="L355" s="731"/>
      <c r="M355" s="731"/>
      <c r="N355" s="731"/>
    </row>
    <row r="356">
      <c r="A356" s="408"/>
      <c r="B356" s="730"/>
      <c r="C356" s="772"/>
      <c r="D356" s="773"/>
      <c r="E356" s="772"/>
      <c r="F356" s="773"/>
      <c r="G356" s="732"/>
      <c r="H356" s="733"/>
      <c r="I356" s="730"/>
      <c r="J356" s="731"/>
      <c r="K356" s="731"/>
      <c r="L356" s="731"/>
      <c r="M356" s="731"/>
      <c r="N356" s="731"/>
    </row>
    <row r="357">
      <c r="A357" s="408"/>
      <c r="B357" s="730"/>
      <c r="C357" s="772"/>
      <c r="D357" s="773"/>
      <c r="E357" s="772"/>
      <c r="F357" s="773"/>
      <c r="G357" s="732"/>
      <c r="H357" s="733"/>
      <c r="I357" s="730"/>
      <c r="J357" s="731"/>
      <c r="K357" s="731"/>
      <c r="L357" s="731"/>
      <c r="M357" s="731"/>
      <c r="N357" s="731"/>
    </row>
    <row r="358">
      <c r="A358" s="408"/>
      <c r="B358" s="730"/>
      <c r="C358" s="772"/>
      <c r="D358" s="773"/>
      <c r="E358" s="772"/>
      <c r="F358" s="773"/>
      <c r="G358" s="732"/>
      <c r="H358" s="733"/>
      <c r="I358" s="730"/>
      <c r="J358" s="731"/>
      <c r="K358" s="731"/>
      <c r="L358" s="731"/>
      <c r="M358" s="731"/>
      <c r="N358" s="731"/>
    </row>
    <row r="359">
      <c r="A359" s="408"/>
      <c r="B359" s="730"/>
      <c r="C359" s="772"/>
      <c r="D359" s="773"/>
      <c r="E359" s="772"/>
      <c r="F359" s="773"/>
      <c r="G359" s="732"/>
      <c r="H359" s="733"/>
      <c r="I359" s="730"/>
      <c r="J359" s="731"/>
      <c r="K359" s="731"/>
      <c r="L359" s="731"/>
      <c r="M359" s="731"/>
      <c r="N359" s="731"/>
    </row>
    <row r="360">
      <c r="A360" s="408"/>
      <c r="B360" s="730"/>
      <c r="C360" s="772"/>
      <c r="D360" s="773"/>
      <c r="E360" s="772"/>
      <c r="F360" s="773"/>
      <c r="G360" s="732"/>
      <c r="H360" s="733"/>
      <c r="I360" s="730"/>
      <c r="J360" s="731"/>
      <c r="K360" s="731"/>
      <c r="L360" s="731"/>
      <c r="M360" s="731"/>
      <c r="N360" s="731"/>
    </row>
    <row r="361">
      <c r="A361" s="408"/>
      <c r="B361" s="730"/>
      <c r="C361" s="772"/>
      <c r="D361" s="773"/>
      <c r="E361" s="772"/>
      <c r="F361" s="773"/>
      <c r="G361" s="732"/>
      <c r="H361" s="733"/>
      <c r="I361" s="730"/>
      <c r="J361" s="731"/>
      <c r="K361" s="731"/>
      <c r="L361" s="731"/>
      <c r="M361" s="731"/>
      <c r="N361" s="731"/>
    </row>
    <row r="362">
      <c r="A362" s="408"/>
      <c r="B362" s="730"/>
      <c r="C362" s="772"/>
      <c r="D362" s="773"/>
      <c r="E362" s="772"/>
      <c r="F362" s="773"/>
      <c r="G362" s="732"/>
      <c r="H362" s="733"/>
      <c r="I362" s="730"/>
      <c r="J362" s="731"/>
      <c r="K362" s="731"/>
      <c r="L362" s="731"/>
      <c r="M362" s="731"/>
      <c r="N362" s="731"/>
    </row>
    <row r="363">
      <c r="A363" s="408"/>
      <c r="B363" s="730"/>
      <c r="C363" s="772"/>
      <c r="D363" s="773"/>
      <c r="E363" s="772"/>
      <c r="F363" s="773"/>
      <c r="G363" s="732"/>
      <c r="H363" s="733"/>
      <c r="I363" s="730"/>
      <c r="J363" s="731"/>
      <c r="K363" s="731"/>
      <c r="L363" s="731"/>
      <c r="M363" s="731"/>
      <c r="N363" s="731"/>
    </row>
    <row r="364">
      <c r="A364" s="408"/>
      <c r="B364" s="730"/>
      <c r="C364" s="772"/>
      <c r="D364" s="773"/>
      <c r="E364" s="772"/>
      <c r="F364" s="773"/>
      <c r="G364" s="732"/>
      <c r="H364" s="733"/>
      <c r="I364" s="730"/>
      <c r="J364" s="731"/>
      <c r="K364" s="731"/>
      <c r="L364" s="731"/>
      <c r="M364" s="731"/>
      <c r="N364" s="731"/>
    </row>
    <row r="365">
      <c r="A365" s="408"/>
      <c r="B365" s="730"/>
      <c r="C365" s="772"/>
      <c r="D365" s="773"/>
      <c r="E365" s="772"/>
      <c r="F365" s="773"/>
      <c r="G365" s="732"/>
      <c r="H365" s="733"/>
      <c r="I365" s="730"/>
      <c r="J365" s="731"/>
      <c r="K365" s="731"/>
      <c r="L365" s="731"/>
      <c r="M365" s="731"/>
      <c r="N365" s="731"/>
    </row>
    <row r="366">
      <c r="A366" s="408"/>
      <c r="B366" s="730"/>
      <c r="C366" s="772"/>
      <c r="D366" s="773"/>
      <c r="E366" s="772"/>
      <c r="F366" s="773"/>
      <c r="G366" s="732"/>
      <c r="H366" s="733"/>
      <c r="I366" s="730"/>
      <c r="J366" s="731"/>
      <c r="K366" s="731"/>
      <c r="L366" s="731"/>
      <c r="M366" s="731"/>
      <c r="N366" s="731"/>
    </row>
    <row r="367">
      <c r="A367" s="408"/>
      <c r="B367" s="730"/>
      <c r="C367" s="772"/>
      <c r="D367" s="773"/>
      <c r="E367" s="772"/>
      <c r="F367" s="773"/>
      <c r="G367" s="732"/>
      <c r="H367" s="733"/>
      <c r="I367" s="730"/>
      <c r="J367" s="731"/>
      <c r="K367" s="731"/>
      <c r="L367" s="731"/>
      <c r="M367" s="731"/>
      <c r="N367" s="731"/>
    </row>
    <row r="368">
      <c r="A368" s="408"/>
      <c r="B368" s="730"/>
      <c r="C368" s="772"/>
      <c r="D368" s="773"/>
      <c r="E368" s="772"/>
      <c r="F368" s="773"/>
      <c r="G368" s="732"/>
      <c r="H368" s="733"/>
      <c r="I368" s="730"/>
      <c r="J368" s="731"/>
      <c r="K368" s="731"/>
      <c r="L368" s="731"/>
      <c r="M368" s="731"/>
      <c r="N368" s="731"/>
    </row>
    <row r="369">
      <c r="A369" s="408"/>
      <c r="B369" s="730"/>
      <c r="C369" s="772"/>
      <c r="D369" s="773"/>
      <c r="E369" s="772"/>
      <c r="F369" s="773"/>
      <c r="G369" s="732"/>
      <c r="H369" s="733"/>
      <c r="I369" s="730"/>
      <c r="J369" s="731"/>
      <c r="K369" s="731"/>
      <c r="L369" s="731"/>
      <c r="M369" s="731"/>
      <c r="N369" s="731"/>
    </row>
    <row r="370">
      <c r="A370" s="408"/>
      <c r="B370" s="730"/>
      <c r="C370" s="772"/>
      <c r="D370" s="773"/>
      <c r="E370" s="772"/>
      <c r="F370" s="773"/>
      <c r="G370" s="732"/>
      <c r="H370" s="733"/>
      <c r="I370" s="730"/>
      <c r="J370" s="731"/>
      <c r="K370" s="731"/>
      <c r="L370" s="731"/>
      <c r="M370" s="731"/>
      <c r="N370" s="731"/>
    </row>
    <row r="371">
      <c r="A371" s="408"/>
      <c r="B371" s="730"/>
      <c r="C371" s="772"/>
      <c r="D371" s="773"/>
      <c r="E371" s="772"/>
      <c r="F371" s="773"/>
      <c r="G371" s="732"/>
      <c r="H371" s="733"/>
      <c r="I371" s="730"/>
      <c r="J371" s="731"/>
      <c r="K371" s="731"/>
      <c r="L371" s="731"/>
      <c r="M371" s="731"/>
      <c r="N371" s="731"/>
    </row>
    <row r="372">
      <c r="A372" s="408"/>
      <c r="B372" s="730"/>
      <c r="C372" s="772"/>
      <c r="D372" s="773"/>
      <c r="E372" s="772"/>
      <c r="F372" s="773"/>
      <c r="G372" s="732"/>
      <c r="H372" s="733"/>
      <c r="I372" s="730"/>
      <c r="J372" s="731"/>
      <c r="K372" s="731"/>
      <c r="L372" s="731"/>
      <c r="M372" s="731"/>
      <c r="N372" s="731"/>
    </row>
    <row r="373">
      <c r="A373" s="408"/>
      <c r="B373" s="730"/>
      <c r="C373" s="772"/>
      <c r="D373" s="773"/>
      <c r="E373" s="772"/>
      <c r="F373" s="773"/>
      <c r="G373" s="732"/>
      <c r="H373" s="733"/>
      <c r="I373" s="730"/>
      <c r="J373" s="731"/>
      <c r="K373" s="731"/>
      <c r="L373" s="731"/>
      <c r="M373" s="731"/>
      <c r="N373" s="731"/>
    </row>
    <row r="374">
      <c r="A374" s="408"/>
      <c r="B374" s="730"/>
      <c r="C374" s="772"/>
      <c r="D374" s="773"/>
      <c r="E374" s="772"/>
      <c r="F374" s="773"/>
      <c r="G374" s="732"/>
      <c r="H374" s="733"/>
      <c r="I374" s="730"/>
      <c r="J374" s="731"/>
      <c r="K374" s="731"/>
      <c r="L374" s="731"/>
      <c r="M374" s="731"/>
      <c r="N374" s="731"/>
    </row>
    <row r="375">
      <c r="A375" s="408"/>
      <c r="B375" s="730"/>
      <c r="C375" s="772"/>
      <c r="D375" s="773"/>
      <c r="E375" s="772"/>
      <c r="F375" s="773"/>
      <c r="G375" s="732"/>
      <c r="H375" s="733"/>
      <c r="I375" s="730"/>
      <c r="J375" s="731"/>
      <c r="K375" s="731"/>
      <c r="L375" s="731"/>
      <c r="M375" s="731"/>
      <c r="N375" s="731"/>
    </row>
    <row r="376">
      <c r="A376" s="408"/>
      <c r="B376" s="730"/>
      <c r="C376" s="772"/>
      <c r="D376" s="773"/>
      <c r="E376" s="772"/>
      <c r="F376" s="773"/>
      <c r="G376" s="732"/>
      <c r="H376" s="733"/>
      <c r="I376" s="730"/>
      <c r="J376" s="731"/>
      <c r="K376" s="731"/>
      <c r="L376" s="731"/>
      <c r="M376" s="731"/>
      <c r="N376" s="731"/>
    </row>
    <row r="377">
      <c r="A377" s="408"/>
      <c r="B377" s="730"/>
      <c r="C377" s="772"/>
      <c r="D377" s="773"/>
      <c r="E377" s="772"/>
      <c r="F377" s="773"/>
      <c r="G377" s="732"/>
      <c r="H377" s="733"/>
      <c r="I377" s="730"/>
      <c r="J377" s="731"/>
      <c r="K377" s="731"/>
      <c r="L377" s="731"/>
      <c r="M377" s="731"/>
      <c r="N377" s="731"/>
    </row>
    <row r="378">
      <c r="A378" s="408"/>
      <c r="B378" s="730"/>
      <c r="C378" s="772"/>
      <c r="D378" s="773"/>
      <c r="E378" s="772"/>
      <c r="F378" s="773"/>
      <c r="G378" s="732"/>
      <c r="H378" s="733"/>
      <c r="I378" s="730"/>
      <c r="J378" s="731"/>
      <c r="K378" s="731"/>
      <c r="L378" s="731"/>
      <c r="M378" s="731"/>
      <c r="N378" s="731"/>
    </row>
    <row r="379">
      <c r="A379" s="408"/>
      <c r="B379" s="730"/>
      <c r="C379" s="772"/>
      <c r="D379" s="773"/>
      <c r="E379" s="772"/>
      <c r="F379" s="773"/>
      <c r="G379" s="732"/>
      <c r="H379" s="733"/>
      <c r="I379" s="730"/>
      <c r="J379" s="731"/>
      <c r="K379" s="731"/>
      <c r="L379" s="731"/>
      <c r="M379" s="731"/>
      <c r="N379" s="731"/>
    </row>
    <row r="380">
      <c r="A380" s="408"/>
      <c r="B380" s="730"/>
      <c r="C380" s="772"/>
      <c r="D380" s="773"/>
      <c r="E380" s="772"/>
      <c r="F380" s="773"/>
      <c r="G380" s="732"/>
      <c r="H380" s="733"/>
      <c r="I380" s="730"/>
      <c r="J380" s="731"/>
      <c r="K380" s="731"/>
      <c r="L380" s="731"/>
      <c r="M380" s="731"/>
      <c r="N380" s="731"/>
    </row>
    <row r="381">
      <c r="A381" s="408"/>
      <c r="B381" s="730"/>
      <c r="C381" s="772"/>
      <c r="D381" s="773"/>
      <c r="E381" s="772"/>
      <c r="F381" s="773"/>
      <c r="G381" s="732"/>
      <c r="H381" s="733"/>
      <c r="I381" s="730"/>
      <c r="J381" s="731"/>
      <c r="K381" s="731"/>
      <c r="L381" s="731"/>
      <c r="M381" s="731"/>
      <c r="N381" s="731"/>
    </row>
    <row r="382">
      <c r="A382" s="408"/>
      <c r="B382" s="730"/>
      <c r="C382" s="772"/>
      <c r="D382" s="773"/>
      <c r="E382" s="772"/>
      <c r="F382" s="773"/>
      <c r="G382" s="732"/>
      <c r="H382" s="733"/>
      <c r="I382" s="730"/>
      <c r="J382" s="731"/>
      <c r="K382" s="731"/>
      <c r="L382" s="731"/>
      <c r="M382" s="731"/>
      <c r="N382" s="731"/>
    </row>
    <row r="383">
      <c r="A383" s="408"/>
      <c r="B383" s="730"/>
      <c r="C383" s="772"/>
      <c r="D383" s="773"/>
      <c r="E383" s="772"/>
      <c r="F383" s="773"/>
      <c r="G383" s="732"/>
      <c r="H383" s="733"/>
      <c r="I383" s="730"/>
      <c r="J383" s="731"/>
      <c r="K383" s="731"/>
      <c r="L383" s="731"/>
      <c r="M383" s="731"/>
      <c r="N383" s="731"/>
    </row>
    <row r="384">
      <c r="A384" s="408"/>
      <c r="B384" s="730"/>
      <c r="C384" s="772"/>
      <c r="D384" s="773"/>
      <c r="E384" s="772"/>
      <c r="F384" s="773"/>
      <c r="G384" s="732"/>
      <c r="H384" s="733"/>
      <c r="I384" s="730"/>
      <c r="J384" s="731"/>
      <c r="K384" s="731"/>
      <c r="L384" s="731"/>
      <c r="M384" s="731"/>
      <c r="N384" s="731"/>
    </row>
    <row r="385">
      <c r="A385" s="408"/>
      <c r="B385" s="730"/>
      <c r="C385" s="772"/>
      <c r="D385" s="773"/>
      <c r="E385" s="772"/>
      <c r="F385" s="773"/>
      <c r="G385" s="732"/>
      <c r="H385" s="733"/>
      <c r="I385" s="730"/>
      <c r="J385" s="731"/>
      <c r="K385" s="731"/>
      <c r="L385" s="731"/>
      <c r="M385" s="731"/>
      <c r="N385" s="731"/>
    </row>
    <row r="386">
      <c r="A386" s="408"/>
      <c r="B386" s="730"/>
      <c r="C386" s="772"/>
      <c r="D386" s="773"/>
      <c r="E386" s="772"/>
      <c r="F386" s="773"/>
      <c r="G386" s="732"/>
      <c r="H386" s="733"/>
      <c r="I386" s="730"/>
      <c r="J386" s="731"/>
      <c r="K386" s="731"/>
      <c r="L386" s="731"/>
      <c r="M386" s="731"/>
      <c r="N386" s="731"/>
    </row>
    <row r="387">
      <c r="A387" s="408"/>
      <c r="B387" s="730"/>
      <c r="C387" s="772"/>
      <c r="D387" s="773"/>
      <c r="E387" s="772"/>
      <c r="F387" s="773"/>
      <c r="G387" s="732"/>
      <c r="H387" s="733"/>
      <c r="I387" s="730"/>
      <c r="J387" s="731"/>
      <c r="K387" s="731"/>
      <c r="L387" s="731"/>
      <c r="M387" s="731"/>
      <c r="N387" s="731"/>
    </row>
    <row r="388">
      <c r="A388" s="408"/>
      <c r="B388" s="730"/>
      <c r="C388" s="772"/>
      <c r="D388" s="773"/>
      <c r="E388" s="772"/>
      <c r="F388" s="773"/>
      <c r="G388" s="732"/>
      <c r="H388" s="733"/>
      <c r="I388" s="730"/>
      <c r="J388" s="731"/>
      <c r="K388" s="731"/>
      <c r="L388" s="731"/>
      <c r="M388" s="731"/>
      <c r="N388" s="731"/>
    </row>
    <row r="389">
      <c r="A389" s="408"/>
      <c r="B389" s="730"/>
      <c r="C389" s="772"/>
      <c r="D389" s="773"/>
      <c r="E389" s="772"/>
      <c r="F389" s="773"/>
      <c r="G389" s="732"/>
      <c r="H389" s="733"/>
      <c r="I389" s="730"/>
      <c r="J389" s="731"/>
      <c r="K389" s="731"/>
      <c r="L389" s="731"/>
      <c r="M389" s="731"/>
      <c r="N389" s="731"/>
    </row>
    <row r="390">
      <c r="A390" s="408"/>
      <c r="B390" s="730"/>
      <c r="C390" s="772"/>
      <c r="D390" s="773"/>
      <c r="E390" s="772"/>
      <c r="F390" s="773"/>
      <c r="G390" s="732"/>
      <c r="H390" s="733"/>
      <c r="I390" s="730"/>
      <c r="J390" s="731"/>
      <c r="K390" s="731"/>
      <c r="L390" s="731"/>
      <c r="M390" s="731"/>
      <c r="N390" s="731"/>
    </row>
    <row r="391">
      <c r="A391" s="408"/>
      <c r="B391" s="730"/>
      <c r="C391" s="772"/>
      <c r="D391" s="773"/>
      <c r="E391" s="772"/>
      <c r="F391" s="773"/>
      <c r="G391" s="732"/>
      <c r="H391" s="733"/>
      <c r="I391" s="730"/>
      <c r="J391" s="731"/>
      <c r="K391" s="731"/>
      <c r="L391" s="731"/>
      <c r="M391" s="731"/>
      <c r="N391" s="731"/>
    </row>
    <row r="392">
      <c r="A392" s="408"/>
      <c r="B392" s="730"/>
      <c r="C392" s="772"/>
      <c r="D392" s="773"/>
      <c r="E392" s="772"/>
      <c r="F392" s="773"/>
      <c r="G392" s="732"/>
      <c r="H392" s="733"/>
      <c r="I392" s="730"/>
      <c r="J392" s="731"/>
      <c r="K392" s="731"/>
      <c r="L392" s="731"/>
      <c r="M392" s="731"/>
      <c r="N392" s="731"/>
    </row>
    <row r="393">
      <c r="A393" s="408"/>
      <c r="B393" s="730"/>
      <c r="C393" s="772"/>
      <c r="D393" s="773"/>
      <c r="E393" s="772"/>
      <c r="F393" s="773"/>
      <c r="G393" s="732"/>
      <c r="H393" s="733"/>
      <c r="I393" s="730"/>
      <c r="J393" s="731"/>
      <c r="K393" s="731"/>
      <c r="L393" s="731"/>
      <c r="M393" s="731"/>
      <c r="N393" s="731"/>
    </row>
    <row r="394">
      <c r="A394" s="408"/>
      <c r="B394" s="730"/>
      <c r="C394" s="772"/>
      <c r="D394" s="773"/>
      <c r="E394" s="772"/>
      <c r="F394" s="773"/>
      <c r="G394" s="732"/>
      <c r="H394" s="733"/>
      <c r="I394" s="730"/>
      <c r="J394" s="731"/>
      <c r="K394" s="731"/>
      <c r="L394" s="731"/>
      <c r="M394" s="731"/>
      <c r="N394" s="731"/>
    </row>
    <row r="395">
      <c r="A395" s="408"/>
      <c r="B395" s="730"/>
      <c r="C395" s="772"/>
      <c r="D395" s="773"/>
      <c r="E395" s="772"/>
      <c r="F395" s="773"/>
      <c r="G395" s="732"/>
      <c r="H395" s="733"/>
      <c r="I395" s="730"/>
      <c r="J395" s="731"/>
      <c r="K395" s="731"/>
      <c r="L395" s="731"/>
      <c r="M395" s="731"/>
      <c r="N395" s="731"/>
    </row>
    <row r="396">
      <c r="A396" s="408"/>
      <c r="B396" s="730"/>
      <c r="C396" s="772"/>
      <c r="D396" s="773"/>
      <c r="E396" s="772"/>
      <c r="F396" s="773"/>
      <c r="G396" s="732"/>
      <c r="H396" s="733"/>
      <c r="I396" s="730"/>
      <c r="J396" s="731"/>
      <c r="K396" s="731"/>
      <c r="L396" s="731"/>
      <c r="M396" s="731"/>
      <c r="N396" s="731"/>
    </row>
    <row r="397">
      <c r="A397" s="408"/>
      <c r="B397" s="730"/>
      <c r="C397" s="772"/>
      <c r="D397" s="773"/>
      <c r="E397" s="772"/>
      <c r="F397" s="773"/>
      <c r="G397" s="732"/>
      <c r="H397" s="733"/>
      <c r="I397" s="730"/>
      <c r="J397" s="731"/>
      <c r="K397" s="731"/>
      <c r="L397" s="731"/>
      <c r="M397" s="731"/>
      <c r="N397" s="731"/>
    </row>
    <row r="398">
      <c r="A398" s="408"/>
      <c r="B398" s="730"/>
      <c r="C398" s="772"/>
      <c r="D398" s="773"/>
      <c r="E398" s="772"/>
      <c r="F398" s="773"/>
      <c r="G398" s="732"/>
      <c r="H398" s="733"/>
      <c r="I398" s="730"/>
      <c r="J398" s="731"/>
      <c r="K398" s="731"/>
      <c r="L398" s="731"/>
      <c r="M398" s="731"/>
      <c r="N398" s="731"/>
    </row>
    <row r="399">
      <c r="A399" s="408"/>
      <c r="B399" s="730"/>
      <c r="C399" s="772"/>
      <c r="D399" s="773"/>
      <c r="E399" s="772"/>
      <c r="F399" s="773"/>
      <c r="G399" s="732"/>
      <c r="H399" s="733"/>
      <c r="I399" s="730"/>
      <c r="J399" s="731"/>
      <c r="K399" s="731"/>
      <c r="L399" s="731"/>
      <c r="M399" s="731"/>
      <c r="N399" s="731"/>
    </row>
    <row r="400">
      <c r="A400" s="408"/>
      <c r="B400" s="730"/>
      <c r="C400" s="772"/>
      <c r="D400" s="773"/>
      <c r="E400" s="772"/>
      <c r="F400" s="773"/>
      <c r="G400" s="732"/>
      <c r="H400" s="733"/>
      <c r="I400" s="730"/>
      <c r="J400" s="731"/>
      <c r="K400" s="731"/>
      <c r="L400" s="731"/>
      <c r="M400" s="731"/>
      <c r="N400" s="731"/>
    </row>
    <row r="401">
      <c r="A401" s="408"/>
      <c r="B401" s="730"/>
      <c r="C401" s="772"/>
      <c r="D401" s="773"/>
      <c r="E401" s="772"/>
      <c r="F401" s="773"/>
      <c r="G401" s="732"/>
      <c r="H401" s="733"/>
      <c r="I401" s="730"/>
      <c r="J401" s="731"/>
      <c r="K401" s="731"/>
      <c r="L401" s="731"/>
      <c r="M401" s="731"/>
      <c r="N401" s="731"/>
    </row>
    <row r="402">
      <c r="A402" s="408"/>
      <c r="B402" s="730"/>
      <c r="C402" s="772"/>
      <c r="D402" s="773"/>
      <c r="E402" s="772"/>
      <c r="F402" s="773"/>
      <c r="G402" s="732"/>
      <c r="H402" s="733"/>
      <c r="I402" s="730"/>
      <c r="J402" s="731"/>
      <c r="K402" s="731"/>
      <c r="L402" s="731"/>
      <c r="M402" s="731"/>
      <c r="N402" s="731"/>
    </row>
    <row r="403">
      <c r="A403" s="408"/>
      <c r="B403" s="730"/>
      <c r="C403" s="772"/>
      <c r="D403" s="773"/>
      <c r="E403" s="772"/>
      <c r="F403" s="773"/>
      <c r="G403" s="732"/>
      <c r="H403" s="733"/>
      <c r="I403" s="730"/>
      <c r="J403" s="731"/>
      <c r="K403" s="731"/>
      <c r="L403" s="731"/>
      <c r="M403" s="731"/>
      <c r="N403" s="731"/>
    </row>
    <row r="404">
      <c r="A404" s="408"/>
      <c r="B404" s="730"/>
      <c r="C404" s="772"/>
      <c r="D404" s="773"/>
      <c r="E404" s="772"/>
      <c r="F404" s="773"/>
      <c r="G404" s="732"/>
      <c r="H404" s="733"/>
      <c r="I404" s="730"/>
      <c r="J404" s="731"/>
      <c r="K404" s="731"/>
      <c r="L404" s="731"/>
      <c r="M404" s="731"/>
      <c r="N404" s="731"/>
    </row>
    <row r="405">
      <c r="A405" s="408"/>
      <c r="B405" s="730"/>
      <c r="C405" s="772"/>
      <c r="D405" s="773"/>
      <c r="E405" s="772"/>
      <c r="F405" s="773"/>
      <c r="G405" s="732"/>
      <c r="H405" s="733"/>
      <c r="I405" s="730"/>
      <c r="J405" s="731"/>
      <c r="K405" s="731"/>
      <c r="L405" s="731"/>
      <c r="M405" s="731"/>
      <c r="N405" s="731"/>
    </row>
    <row r="406">
      <c r="A406" s="408"/>
      <c r="B406" s="730"/>
      <c r="C406" s="772"/>
      <c r="D406" s="773"/>
      <c r="E406" s="772"/>
      <c r="F406" s="773"/>
      <c r="G406" s="732"/>
      <c r="H406" s="733"/>
      <c r="I406" s="730"/>
      <c r="J406" s="731"/>
      <c r="K406" s="731"/>
      <c r="L406" s="731"/>
      <c r="M406" s="731"/>
      <c r="N406" s="731"/>
    </row>
    <row r="407">
      <c r="A407" s="408"/>
      <c r="B407" s="730"/>
      <c r="C407" s="772"/>
      <c r="D407" s="773"/>
      <c r="E407" s="772"/>
      <c r="F407" s="773"/>
      <c r="G407" s="732"/>
      <c r="H407" s="733"/>
      <c r="I407" s="730"/>
      <c r="J407" s="731"/>
      <c r="K407" s="731"/>
      <c r="L407" s="731"/>
      <c r="M407" s="731"/>
      <c r="N407" s="731"/>
    </row>
    <row r="408">
      <c r="A408" s="408"/>
      <c r="B408" s="730"/>
      <c r="C408" s="772"/>
      <c r="D408" s="773"/>
      <c r="E408" s="772"/>
      <c r="F408" s="773"/>
      <c r="G408" s="732"/>
      <c r="H408" s="733"/>
      <c r="I408" s="730"/>
      <c r="J408" s="731"/>
      <c r="K408" s="731"/>
      <c r="L408" s="731"/>
      <c r="M408" s="731"/>
      <c r="N408" s="731"/>
    </row>
    <row r="409">
      <c r="A409" s="408"/>
      <c r="B409" s="730"/>
      <c r="C409" s="772"/>
      <c r="D409" s="773"/>
      <c r="E409" s="772"/>
      <c r="F409" s="773"/>
      <c r="G409" s="732"/>
      <c r="H409" s="733"/>
      <c r="I409" s="730"/>
      <c r="J409" s="731"/>
      <c r="K409" s="731"/>
      <c r="L409" s="731"/>
      <c r="M409" s="731"/>
      <c r="N409" s="731"/>
    </row>
    <row r="410">
      <c r="A410" s="408"/>
      <c r="B410" s="730"/>
      <c r="C410" s="772"/>
      <c r="D410" s="773"/>
      <c r="E410" s="772"/>
      <c r="F410" s="773"/>
      <c r="G410" s="732"/>
      <c r="H410" s="733"/>
      <c r="I410" s="730"/>
      <c r="J410" s="731"/>
      <c r="K410" s="731"/>
      <c r="L410" s="731"/>
      <c r="M410" s="731"/>
      <c r="N410" s="731"/>
    </row>
    <row r="411">
      <c r="A411" s="408"/>
      <c r="B411" s="730"/>
      <c r="C411" s="772"/>
      <c r="D411" s="773"/>
      <c r="E411" s="772"/>
      <c r="F411" s="773"/>
      <c r="G411" s="732"/>
      <c r="H411" s="733"/>
      <c r="I411" s="730"/>
      <c r="J411" s="731"/>
      <c r="K411" s="731"/>
      <c r="L411" s="731"/>
      <c r="M411" s="731"/>
      <c r="N411" s="731"/>
    </row>
    <row r="412">
      <c r="A412" s="408"/>
      <c r="B412" s="730"/>
      <c r="C412" s="772"/>
      <c r="D412" s="773"/>
      <c r="E412" s="772"/>
      <c r="F412" s="773"/>
      <c r="G412" s="732"/>
      <c r="H412" s="733"/>
      <c r="I412" s="730"/>
      <c r="J412" s="731"/>
      <c r="K412" s="731"/>
      <c r="L412" s="731"/>
      <c r="M412" s="731"/>
      <c r="N412" s="731"/>
    </row>
    <row r="413">
      <c r="A413" s="408"/>
      <c r="B413" s="730"/>
      <c r="C413" s="772"/>
      <c r="D413" s="773"/>
      <c r="E413" s="772"/>
      <c r="F413" s="773"/>
      <c r="G413" s="732"/>
      <c r="H413" s="733"/>
      <c r="I413" s="730"/>
      <c r="J413" s="731"/>
      <c r="K413" s="731"/>
      <c r="L413" s="731"/>
      <c r="M413" s="731"/>
      <c r="N413" s="731"/>
    </row>
    <row r="414">
      <c r="A414" s="408"/>
      <c r="B414" s="730"/>
      <c r="C414" s="772"/>
      <c r="D414" s="773"/>
      <c r="E414" s="772"/>
      <c r="F414" s="773"/>
      <c r="G414" s="732"/>
      <c r="H414" s="733"/>
      <c r="I414" s="730"/>
      <c r="J414" s="731"/>
      <c r="K414" s="731"/>
      <c r="L414" s="731"/>
      <c r="M414" s="731"/>
      <c r="N414" s="731"/>
    </row>
    <row r="415">
      <c r="A415" s="408"/>
      <c r="B415" s="730"/>
      <c r="C415" s="772"/>
      <c r="D415" s="773"/>
      <c r="E415" s="772"/>
      <c r="F415" s="773"/>
      <c r="G415" s="732"/>
      <c r="H415" s="733"/>
      <c r="I415" s="730"/>
      <c r="J415" s="731"/>
      <c r="K415" s="731"/>
      <c r="L415" s="731"/>
      <c r="M415" s="731"/>
      <c r="N415" s="731"/>
    </row>
    <row r="416">
      <c r="A416" s="408"/>
      <c r="B416" s="730"/>
      <c r="C416" s="772"/>
      <c r="D416" s="773"/>
      <c r="E416" s="772"/>
      <c r="F416" s="773"/>
      <c r="G416" s="732"/>
      <c r="H416" s="733"/>
      <c r="I416" s="730"/>
      <c r="J416" s="731"/>
      <c r="K416" s="731"/>
      <c r="L416" s="731"/>
      <c r="M416" s="731"/>
      <c r="N416" s="731"/>
    </row>
    <row r="417">
      <c r="A417" s="408"/>
      <c r="B417" s="730"/>
      <c r="C417" s="772"/>
      <c r="D417" s="773"/>
      <c r="E417" s="772"/>
      <c r="F417" s="773"/>
      <c r="G417" s="732"/>
      <c r="H417" s="733"/>
      <c r="I417" s="730"/>
      <c r="J417" s="731"/>
      <c r="K417" s="731"/>
      <c r="L417" s="731"/>
      <c r="M417" s="731"/>
      <c r="N417" s="731"/>
    </row>
    <row r="418">
      <c r="A418" s="408"/>
      <c r="B418" s="730"/>
      <c r="C418" s="772"/>
      <c r="D418" s="773"/>
      <c r="E418" s="772"/>
      <c r="F418" s="773"/>
      <c r="G418" s="732"/>
      <c r="H418" s="733"/>
      <c r="I418" s="730"/>
      <c r="J418" s="731"/>
      <c r="K418" s="731"/>
      <c r="L418" s="731"/>
      <c r="M418" s="731"/>
      <c r="N418" s="731"/>
    </row>
    <row r="419">
      <c r="A419" s="408"/>
      <c r="B419" s="730"/>
      <c r="C419" s="772"/>
      <c r="D419" s="773"/>
      <c r="E419" s="772"/>
      <c r="F419" s="773"/>
      <c r="G419" s="732"/>
      <c r="H419" s="733"/>
      <c r="I419" s="730"/>
      <c r="J419" s="731"/>
      <c r="K419" s="731"/>
      <c r="L419" s="731"/>
      <c r="M419" s="731"/>
      <c r="N419" s="731"/>
    </row>
    <row r="420">
      <c r="A420" s="408"/>
      <c r="B420" s="730"/>
      <c r="C420" s="772"/>
      <c r="D420" s="773"/>
      <c r="E420" s="772"/>
      <c r="F420" s="773"/>
      <c r="G420" s="732"/>
      <c r="H420" s="733"/>
      <c r="I420" s="730"/>
      <c r="J420" s="731"/>
      <c r="K420" s="731"/>
      <c r="L420" s="731"/>
      <c r="M420" s="731"/>
      <c r="N420" s="731"/>
    </row>
    <row r="421">
      <c r="A421" s="408"/>
      <c r="B421" s="730"/>
      <c r="C421" s="772"/>
      <c r="D421" s="773"/>
      <c r="E421" s="772"/>
      <c r="F421" s="773"/>
      <c r="G421" s="732"/>
      <c r="H421" s="733"/>
      <c r="I421" s="730"/>
      <c r="J421" s="731"/>
      <c r="K421" s="731"/>
      <c r="L421" s="731"/>
      <c r="M421" s="731"/>
      <c r="N421" s="731"/>
    </row>
    <row r="422">
      <c r="A422" s="408"/>
      <c r="B422" s="730"/>
      <c r="C422" s="772"/>
      <c r="D422" s="773"/>
      <c r="E422" s="772"/>
      <c r="F422" s="773"/>
      <c r="G422" s="732"/>
      <c r="H422" s="733"/>
      <c r="I422" s="730"/>
      <c r="J422" s="731"/>
      <c r="K422" s="731"/>
      <c r="L422" s="731"/>
      <c r="M422" s="731"/>
      <c r="N422" s="731"/>
    </row>
    <row r="423">
      <c r="A423" s="408"/>
      <c r="B423" s="730"/>
      <c r="C423" s="772"/>
      <c r="D423" s="773"/>
      <c r="E423" s="772"/>
      <c r="F423" s="773"/>
      <c r="G423" s="732"/>
      <c r="H423" s="733"/>
      <c r="I423" s="730"/>
      <c r="J423" s="731"/>
      <c r="K423" s="731"/>
      <c r="L423" s="731"/>
      <c r="M423" s="731"/>
      <c r="N423" s="731"/>
    </row>
    <row r="424">
      <c r="A424" s="408"/>
      <c r="B424" s="730"/>
      <c r="C424" s="772"/>
      <c r="D424" s="773"/>
      <c r="E424" s="772"/>
      <c r="F424" s="773"/>
      <c r="G424" s="732"/>
      <c r="H424" s="733"/>
      <c r="I424" s="730"/>
      <c r="J424" s="731"/>
      <c r="K424" s="731"/>
      <c r="L424" s="731"/>
      <c r="M424" s="731"/>
      <c r="N424" s="731"/>
    </row>
    <row r="425">
      <c r="A425" s="408"/>
      <c r="B425" s="730"/>
      <c r="C425" s="772"/>
      <c r="D425" s="773"/>
      <c r="E425" s="772"/>
      <c r="F425" s="773"/>
      <c r="G425" s="732"/>
      <c r="H425" s="733"/>
      <c r="I425" s="730"/>
      <c r="J425" s="731"/>
      <c r="K425" s="731"/>
      <c r="L425" s="731"/>
      <c r="M425" s="731"/>
      <c r="N425" s="731"/>
    </row>
    <row r="426">
      <c r="A426" s="408"/>
      <c r="B426" s="730"/>
      <c r="C426" s="772"/>
      <c r="D426" s="773"/>
      <c r="E426" s="772"/>
      <c r="F426" s="773"/>
      <c r="G426" s="732"/>
      <c r="H426" s="733"/>
      <c r="I426" s="730"/>
      <c r="J426" s="731"/>
      <c r="K426" s="731"/>
      <c r="L426" s="731"/>
      <c r="M426" s="731"/>
      <c r="N426" s="731"/>
    </row>
    <row r="427">
      <c r="A427" s="408"/>
      <c r="B427" s="730"/>
      <c r="C427" s="772"/>
      <c r="D427" s="773"/>
      <c r="E427" s="772"/>
      <c r="F427" s="773"/>
      <c r="G427" s="732"/>
      <c r="H427" s="733"/>
      <c r="I427" s="730"/>
      <c r="J427" s="731"/>
      <c r="K427" s="731"/>
      <c r="L427" s="731"/>
      <c r="M427" s="731"/>
      <c r="N427" s="731"/>
    </row>
    <row r="428">
      <c r="A428" s="408"/>
      <c r="B428" s="730"/>
      <c r="C428" s="772"/>
      <c r="D428" s="773"/>
      <c r="E428" s="772"/>
      <c r="F428" s="773"/>
      <c r="G428" s="732"/>
      <c r="H428" s="733"/>
      <c r="I428" s="730"/>
      <c r="J428" s="731"/>
      <c r="K428" s="731"/>
      <c r="L428" s="731"/>
      <c r="M428" s="731"/>
      <c r="N428" s="731"/>
    </row>
    <row r="429">
      <c r="A429" s="408"/>
      <c r="B429" s="730"/>
      <c r="C429" s="772"/>
      <c r="D429" s="773"/>
      <c r="E429" s="772"/>
      <c r="F429" s="773"/>
      <c r="G429" s="732"/>
      <c r="H429" s="733"/>
      <c r="I429" s="730"/>
      <c r="J429" s="731"/>
      <c r="K429" s="731"/>
      <c r="L429" s="731"/>
      <c r="M429" s="731"/>
      <c r="N429" s="731"/>
    </row>
    <row r="430">
      <c r="A430" s="408"/>
      <c r="B430" s="730"/>
      <c r="C430" s="772"/>
      <c r="D430" s="773"/>
      <c r="E430" s="772"/>
      <c r="F430" s="773"/>
      <c r="G430" s="732"/>
      <c r="H430" s="733"/>
      <c r="I430" s="730"/>
      <c r="J430" s="731"/>
      <c r="K430" s="731"/>
      <c r="L430" s="731"/>
      <c r="M430" s="731"/>
      <c r="N430" s="731"/>
    </row>
    <row r="431">
      <c r="A431" s="408"/>
      <c r="B431" s="730"/>
      <c r="C431" s="772"/>
      <c r="D431" s="773"/>
      <c r="E431" s="772"/>
      <c r="F431" s="773"/>
      <c r="G431" s="732"/>
      <c r="H431" s="733"/>
      <c r="I431" s="730"/>
      <c r="J431" s="731"/>
      <c r="K431" s="731"/>
      <c r="L431" s="731"/>
      <c r="M431" s="731"/>
      <c r="N431" s="731"/>
    </row>
    <row r="432">
      <c r="A432" s="408"/>
      <c r="B432" s="730"/>
      <c r="C432" s="772"/>
      <c r="D432" s="773"/>
      <c r="E432" s="772"/>
      <c r="F432" s="773"/>
      <c r="G432" s="732"/>
      <c r="H432" s="733"/>
      <c r="I432" s="730"/>
      <c r="J432" s="731"/>
      <c r="K432" s="731"/>
      <c r="L432" s="731"/>
      <c r="M432" s="731"/>
      <c r="N432" s="731"/>
    </row>
    <row r="433">
      <c r="A433" s="408"/>
      <c r="B433" s="730"/>
      <c r="C433" s="772"/>
      <c r="D433" s="773"/>
      <c r="E433" s="772"/>
      <c r="F433" s="773"/>
      <c r="G433" s="732"/>
      <c r="H433" s="733"/>
      <c r="I433" s="730"/>
      <c r="J433" s="731"/>
      <c r="K433" s="731"/>
      <c r="L433" s="731"/>
      <c r="M433" s="731"/>
      <c r="N433" s="731"/>
    </row>
    <row r="434">
      <c r="A434" s="408"/>
      <c r="B434" s="730"/>
      <c r="C434" s="772"/>
      <c r="D434" s="773"/>
      <c r="E434" s="772"/>
      <c r="F434" s="773"/>
      <c r="G434" s="732"/>
      <c r="H434" s="733"/>
      <c r="I434" s="730"/>
      <c r="J434" s="731"/>
      <c r="K434" s="731"/>
      <c r="L434" s="731"/>
      <c r="M434" s="731"/>
      <c r="N434" s="731"/>
    </row>
    <row r="435">
      <c r="A435" s="408"/>
      <c r="B435" s="730"/>
      <c r="C435" s="772"/>
      <c r="D435" s="773"/>
      <c r="E435" s="772"/>
      <c r="F435" s="773"/>
      <c r="G435" s="732"/>
      <c r="H435" s="733"/>
      <c r="I435" s="730"/>
      <c r="J435" s="731"/>
      <c r="K435" s="731"/>
      <c r="L435" s="731"/>
      <c r="M435" s="731"/>
      <c r="N435" s="731"/>
    </row>
    <row r="436">
      <c r="A436" s="408"/>
      <c r="B436" s="730"/>
      <c r="C436" s="772"/>
      <c r="D436" s="773"/>
      <c r="E436" s="772"/>
      <c r="F436" s="773"/>
      <c r="G436" s="732"/>
      <c r="H436" s="733"/>
      <c r="I436" s="730"/>
      <c r="J436" s="731"/>
      <c r="K436" s="731"/>
      <c r="L436" s="731"/>
      <c r="M436" s="731"/>
      <c r="N436" s="731"/>
    </row>
    <row r="437">
      <c r="A437" s="408"/>
      <c r="B437" s="730"/>
      <c r="C437" s="772"/>
      <c r="D437" s="773"/>
      <c r="E437" s="772"/>
      <c r="F437" s="773"/>
      <c r="G437" s="732"/>
      <c r="H437" s="733"/>
      <c r="I437" s="730"/>
      <c r="J437" s="731"/>
      <c r="K437" s="731"/>
      <c r="L437" s="731"/>
      <c r="M437" s="731"/>
      <c r="N437" s="731"/>
    </row>
    <row r="438">
      <c r="A438" s="408"/>
      <c r="B438" s="730"/>
      <c r="C438" s="772"/>
      <c r="D438" s="773"/>
      <c r="E438" s="772"/>
      <c r="F438" s="773"/>
      <c r="G438" s="732"/>
      <c r="H438" s="733"/>
      <c r="I438" s="730"/>
      <c r="J438" s="731"/>
      <c r="K438" s="731"/>
      <c r="L438" s="731"/>
      <c r="M438" s="731"/>
      <c r="N438" s="731"/>
    </row>
    <row r="439">
      <c r="A439" s="408"/>
      <c r="B439" s="730"/>
      <c r="C439" s="772"/>
      <c r="D439" s="773"/>
      <c r="E439" s="772"/>
      <c r="F439" s="773"/>
      <c r="G439" s="732"/>
      <c r="H439" s="733"/>
      <c r="I439" s="730"/>
      <c r="J439" s="731"/>
      <c r="K439" s="731"/>
      <c r="L439" s="731"/>
      <c r="M439" s="731"/>
      <c r="N439" s="731"/>
    </row>
    <row r="440">
      <c r="A440" s="408"/>
      <c r="B440" s="730"/>
      <c r="C440" s="772"/>
      <c r="D440" s="773"/>
      <c r="E440" s="772"/>
      <c r="F440" s="773"/>
      <c r="G440" s="732"/>
      <c r="H440" s="733"/>
      <c r="I440" s="730"/>
      <c r="J440" s="731"/>
      <c r="K440" s="731"/>
      <c r="L440" s="731"/>
      <c r="M440" s="731"/>
      <c r="N440" s="731"/>
    </row>
    <row r="441">
      <c r="A441" s="408"/>
      <c r="B441" s="730"/>
      <c r="C441" s="772"/>
      <c r="D441" s="773"/>
      <c r="E441" s="772"/>
      <c r="F441" s="773"/>
      <c r="G441" s="732"/>
      <c r="H441" s="733"/>
      <c r="I441" s="730"/>
      <c r="J441" s="731"/>
      <c r="K441" s="731"/>
      <c r="L441" s="731"/>
      <c r="M441" s="731"/>
      <c r="N441" s="731"/>
    </row>
    <row r="442">
      <c r="A442" s="408"/>
      <c r="B442" s="730"/>
      <c r="C442" s="772"/>
      <c r="D442" s="773"/>
      <c r="E442" s="772"/>
      <c r="F442" s="773"/>
      <c r="G442" s="732"/>
      <c r="H442" s="733"/>
      <c r="I442" s="730"/>
      <c r="J442" s="731"/>
      <c r="K442" s="731"/>
      <c r="L442" s="731"/>
      <c r="M442" s="731"/>
      <c r="N442" s="731"/>
    </row>
    <row r="443">
      <c r="A443" s="408"/>
      <c r="B443" s="730"/>
      <c r="C443" s="772"/>
      <c r="D443" s="773"/>
      <c r="E443" s="772"/>
      <c r="F443" s="773"/>
      <c r="G443" s="732"/>
      <c r="H443" s="733"/>
      <c r="I443" s="730"/>
      <c r="J443" s="731"/>
      <c r="K443" s="731"/>
      <c r="L443" s="731"/>
      <c r="M443" s="731"/>
      <c r="N443" s="731"/>
    </row>
    <row r="444">
      <c r="A444" s="408"/>
      <c r="B444" s="730"/>
      <c r="C444" s="772"/>
      <c r="D444" s="773"/>
      <c r="E444" s="772"/>
      <c r="F444" s="773"/>
      <c r="G444" s="732"/>
      <c r="H444" s="733"/>
      <c r="I444" s="730"/>
      <c r="J444" s="731"/>
      <c r="K444" s="731"/>
      <c r="L444" s="731"/>
      <c r="M444" s="731"/>
      <c r="N444" s="731"/>
    </row>
    <row r="445">
      <c r="A445" s="408"/>
      <c r="B445" s="730"/>
      <c r="C445" s="772"/>
      <c r="D445" s="773"/>
      <c r="E445" s="772"/>
      <c r="F445" s="773"/>
      <c r="G445" s="732"/>
      <c r="H445" s="733"/>
      <c r="I445" s="730"/>
      <c r="J445" s="731"/>
      <c r="K445" s="731"/>
      <c r="L445" s="731"/>
      <c r="M445" s="731"/>
      <c r="N445" s="731"/>
    </row>
    <row r="446">
      <c r="A446" s="408"/>
      <c r="B446" s="730"/>
      <c r="C446" s="772"/>
      <c r="D446" s="773"/>
      <c r="E446" s="772"/>
      <c r="F446" s="773"/>
      <c r="G446" s="732"/>
      <c r="H446" s="733"/>
      <c r="I446" s="730"/>
      <c r="J446" s="731"/>
      <c r="K446" s="731"/>
      <c r="L446" s="731"/>
      <c r="M446" s="731"/>
      <c r="N446" s="731"/>
    </row>
    <row r="447">
      <c r="A447" s="408"/>
      <c r="B447" s="730"/>
      <c r="C447" s="772"/>
      <c r="D447" s="773"/>
      <c r="E447" s="772"/>
      <c r="F447" s="773"/>
      <c r="G447" s="732"/>
      <c r="H447" s="733"/>
      <c r="I447" s="730"/>
      <c r="J447" s="731"/>
      <c r="K447" s="731"/>
      <c r="L447" s="731"/>
      <c r="M447" s="731"/>
      <c r="N447" s="731"/>
    </row>
    <row r="448">
      <c r="A448" s="408"/>
      <c r="B448" s="730"/>
      <c r="C448" s="772"/>
      <c r="D448" s="773"/>
      <c r="E448" s="772"/>
      <c r="F448" s="773"/>
      <c r="G448" s="732"/>
      <c r="H448" s="733"/>
      <c r="I448" s="730"/>
      <c r="J448" s="731"/>
      <c r="K448" s="731"/>
      <c r="L448" s="731"/>
      <c r="M448" s="731"/>
      <c r="N448" s="731"/>
    </row>
    <row r="449">
      <c r="A449" s="408"/>
      <c r="B449" s="730"/>
      <c r="C449" s="772"/>
      <c r="D449" s="773"/>
      <c r="E449" s="772"/>
      <c r="F449" s="773"/>
      <c r="G449" s="732"/>
      <c r="H449" s="733"/>
      <c r="I449" s="730"/>
      <c r="J449" s="731"/>
      <c r="K449" s="731"/>
      <c r="L449" s="731"/>
      <c r="M449" s="731"/>
      <c r="N449" s="731"/>
    </row>
    <row r="450">
      <c r="A450" s="408"/>
      <c r="B450" s="730"/>
      <c r="C450" s="772"/>
      <c r="D450" s="773"/>
      <c r="E450" s="772"/>
      <c r="F450" s="773"/>
      <c r="G450" s="732"/>
      <c r="H450" s="733"/>
      <c r="I450" s="730"/>
      <c r="J450" s="731"/>
      <c r="K450" s="731"/>
      <c r="L450" s="731"/>
      <c r="M450" s="731"/>
      <c r="N450" s="731"/>
    </row>
    <row r="451">
      <c r="A451" s="408"/>
      <c r="B451" s="730"/>
      <c r="C451" s="772"/>
      <c r="D451" s="773"/>
      <c r="E451" s="772"/>
      <c r="F451" s="773"/>
      <c r="G451" s="732"/>
      <c r="H451" s="733"/>
      <c r="I451" s="730"/>
      <c r="J451" s="731"/>
      <c r="K451" s="731"/>
      <c r="L451" s="731"/>
      <c r="M451" s="731"/>
      <c r="N451" s="731"/>
    </row>
    <row r="452">
      <c r="A452" s="408"/>
      <c r="B452" s="730"/>
      <c r="C452" s="772"/>
      <c r="D452" s="773"/>
      <c r="E452" s="772"/>
      <c r="F452" s="773"/>
      <c r="G452" s="732"/>
      <c r="H452" s="733"/>
      <c r="I452" s="730"/>
      <c r="J452" s="731"/>
      <c r="K452" s="731"/>
      <c r="L452" s="731"/>
      <c r="M452" s="731"/>
      <c r="N452" s="731"/>
    </row>
    <row r="453">
      <c r="A453" s="408"/>
      <c r="B453" s="730"/>
      <c r="C453" s="772"/>
      <c r="D453" s="773"/>
      <c r="E453" s="772"/>
      <c r="F453" s="773"/>
      <c r="G453" s="732"/>
      <c r="H453" s="733"/>
      <c r="I453" s="730"/>
      <c r="J453" s="731"/>
      <c r="K453" s="731"/>
      <c r="L453" s="731"/>
      <c r="M453" s="731"/>
      <c r="N453" s="731"/>
    </row>
    <row r="454">
      <c r="A454" s="408"/>
      <c r="B454" s="730"/>
      <c r="C454" s="772"/>
      <c r="D454" s="773"/>
      <c r="E454" s="772"/>
      <c r="F454" s="773"/>
      <c r="G454" s="732"/>
      <c r="H454" s="733"/>
      <c r="I454" s="730"/>
      <c r="J454" s="731"/>
      <c r="K454" s="731"/>
      <c r="L454" s="731"/>
      <c r="M454" s="731"/>
      <c r="N454" s="731"/>
    </row>
    <row r="455">
      <c r="A455" s="408"/>
      <c r="B455" s="730"/>
      <c r="C455" s="772"/>
      <c r="D455" s="773"/>
      <c r="E455" s="772"/>
      <c r="F455" s="773"/>
      <c r="G455" s="732"/>
      <c r="H455" s="733"/>
      <c r="I455" s="730"/>
      <c r="J455" s="731"/>
      <c r="K455" s="731"/>
      <c r="L455" s="731"/>
      <c r="M455" s="731"/>
      <c r="N455" s="731"/>
    </row>
    <row r="456">
      <c r="A456" s="408"/>
      <c r="B456" s="730"/>
      <c r="C456" s="772"/>
      <c r="D456" s="773"/>
      <c r="E456" s="772"/>
      <c r="F456" s="773"/>
      <c r="G456" s="732"/>
      <c r="H456" s="733"/>
      <c r="I456" s="730"/>
      <c r="J456" s="731"/>
      <c r="K456" s="731"/>
      <c r="L456" s="731"/>
      <c r="M456" s="731"/>
      <c r="N456" s="731"/>
    </row>
    <row r="457">
      <c r="A457" s="408"/>
      <c r="B457" s="730"/>
      <c r="C457" s="772"/>
      <c r="D457" s="773"/>
      <c r="E457" s="772"/>
      <c r="F457" s="773"/>
      <c r="G457" s="732"/>
      <c r="H457" s="733"/>
      <c r="I457" s="730"/>
      <c r="J457" s="731"/>
      <c r="K457" s="731"/>
      <c r="L457" s="731"/>
      <c r="M457" s="731"/>
      <c r="N457" s="731"/>
    </row>
    <row r="458">
      <c r="A458" s="408"/>
      <c r="B458" s="730"/>
      <c r="C458" s="772"/>
      <c r="D458" s="773"/>
      <c r="E458" s="772"/>
      <c r="F458" s="773"/>
      <c r="G458" s="732"/>
      <c r="H458" s="733"/>
      <c r="I458" s="730"/>
      <c r="J458" s="731"/>
      <c r="K458" s="731"/>
      <c r="L458" s="731"/>
      <c r="M458" s="731"/>
      <c r="N458" s="731"/>
    </row>
    <row r="459">
      <c r="A459" s="408"/>
      <c r="B459" s="730"/>
      <c r="C459" s="772"/>
      <c r="D459" s="773"/>
      <c r="E459" s="772"/>
      <c r="F459" s="773"/>
      <c r="G459" s="732"/>
      <c r="H459" s="733"/>
      <c r="I459" s="730"/>
      <c r="J459" s="731"/>
      <c r="K459" s="731"/>
      <c r="L459" s="731"/>
      <c r="M459" s="731"/>
      <c r="N459" s="731"/>
    </row>
    <row r="460">
      <c r="A460" s="408"/>
      <c r="B460" s="730"/>
      <c r="C460" s="772"/>
      <c r="D460" s="773"/>
      <c r="E460" s="772"/>
      <c r="F460" s="773"/>
      <c r="G460" s="732"/>
      <c r="H460" s="733"/>
      <c r="I460" s="730"/>
      <c r="J460" s="731"/>
      <c r="K460" s="731"/>
      <c r="L460" s="731"/>
      <c r="M460" s="731"/>
      <c r="N460" s="731"/>
    </row>
    <row r="461">
      <c r="A461" s="408"/>
      <c r="B461" s="730"/>
      <c r="C461" s="772"/>
      <c r="D461" s="773"/>
      <c r="E461" s="772"/>
      <c r="F461" s="773"/>
      <c r="G461" s="732"/>
      <c r="H461" s="733"/>
      <c r="I461" s="730"/>
      <c r="J461" s="731"/>
      <c r="K461" s="731"/>
      <c r="L461" s="731"/>
      <c r="M461" s="731"/>
      <c r="N461" s="731"/>
    </row>
    <row r="462">
      <c r="A462" s="408"/>
      <c r="B462" s="730"/>
      <c r="C462" s="772"/>
      <c r="D462" s="773"/>
      <c r="E462" s="772"/>
      <c r="F462" s="773"/>
      <c r="G462" s="732"/>
      <c r="H462" s="733"/>
      <c r="I462" s="730"/>
      <c r="J462" s="731"/>
      <c r="K462" s="731"/>
      <c r="L462" s="731"/>
      <c r="M462" s="731"/>
      <c r="N462" s="731"/>
    </row>
    <row r="463">
      <c r="A463" s="408"/>
      <c r="B463" s="730"/>
      <c r="C463" s="772"/>
      <c r="D463" s="773"/>
      <c r="E463" s="772"/>
      <c r="F463" s="773"/>
      <c r="G463" s="732"/>
      <c r="H463" s="733"/>
      <c r="I463" s="730"/>
      <c r="J463" s="731"/>
      <c r="K463" s="731"/>
      <c r="L463" s="731"/>
      <c r="M463" s="731"/>
      <c r="N463" s="731"/>
    </row>
    <row r="464">
      <c r="A464" s="408"/>
      <c r="B464" s="730"/>
      <c r="C464" s="772"/>
      <c r="D464" s="773"/>
      <c r="E464" s="772"/>
      <c r="F464" s="773"/>
      <c r="G464" s="732"/>
      <c r="H464" s="733"/>
      <c r="I464" s="730"/>
      <c r="J464" s="731"/>
      <c r="K464" s="731"/>
      <c r="L464" s="731"/>
      <c r="M464" s="731"/>
      <c r="N464" s="731"/>
    </row>
    <row r="465">
      <c r="A465" s="408"/>
      <c r="B465" s="730"/>
      <c r="C465" s="772"/>
      <c r="D465" s="773"/>
      <c r="E465" s="772"/>
      <c r="F465" s="773"/>
      <c r="G465" s="732"/>
      <c r="H465" s="733"/>
      <c r="I465" s="730"/>
      <c r="J465" s="731"/>
      <c r="K465" s="731"/>
      <c r="L465" s="731"/>
      <c r="M465" s="731"/>
      <c r="N465" s="731"/>
    </row>
    <row r="466">
      <c r="A466" s="408"/>
      <c r="B466" s="730"/>
      <c r="C466" s="772"/>
      <c r="D466" s="773"/>
      <c r="E466" s="772"/>
      <c r="F466" s="773"/>
      <c r="G466" s="732"/>
      <c r="H466" s="733"/>
      <c r="I466" s="730"/>
      <c r="J466" s="731"/>
      <c r="K466" s="731"/>
      <c r="L466" s="731"/>
      <c r="M466" s="731"/>
      <c r="N466" s="731"/>
    </row>
    <row r="467">
      <c r="A467" s="408"/>
      <c r="B467" s="730"/>
      <c r="C467" s="772"/>
      <c r="D467" s="773"/>
      <c r="E467" s="772"/>
      <c r="F467" s="773"/>
      <c r="G467" s="732"/>
      <c r="H467" s="733"/>
      <c r="I467" s="730"/>
      <c r="J467" s="731"/>
      <c r="K467" s="731"/>
      <c r="L467" s="731"/>
      <c r="M467" s="731"/>
      <c r="N467" s="731"/>
    </row>
    <row r="468">
      <c r="A468" s="408"/>
      <c r="B468" s="730"/>
      <c r="C468" s="772"/>
      <c r="D468" s="773"/>
      <c r="E468" s="772"/>
      <c r="F468" s="773"/>
      <c r="G468" s="732"/>
      <c r="H468" s="733"/>
      <c r="I468" s="730"/>
      <c r="J468" s="731"/>
      <c r="K468" s="731"/>
      <c r="L468" s="731"/>
      <c r="M468" s="731"/>
      <c r="N468" s="731"/>
    </row>
    <row r="469">
      <c r="A469" s="408"/>
      <c r="B469" s="730"/>
      <c r="C469" s="772"/>
      <c r="D469" s="773"/>
      <c r="E469" s="772"/>
      <c r="F469" s="773"/>
      <c r="G469" s="732"/>
      <c r="H469" s="733"/>
      <c r="I469" s="730"/>
      <c r="J469" s="731"/>
      <c r="K469" s="731"/>
      <c r="L469" s="731"/>
      <c r="M469" s="731"/>
      <c r="N469" s="731"/>
    </row>
    <row r="470">
      <c r="A470" s="408"/>
      <c r="B470" s="730"/>
      <c r="C470" s="772"/>
      <c r="D470" s="773"/>
      <c r="E470" s="772"/>
      <c r="F470" s="773"/>
      <c r="G470" s="732"/>
      <c r="H470" s="733"/>
      <c r="I470" s="730"/>
      <c r="J470" s="731"/>
      <c r="K470" s="731"/>
      <c r="L470" s="731"/>
      <c r="M470" s="731"/>
      <c r="N470" s="731"/>
    </row>
    <row r="471">
      <c r="A471" s="408"/>
      <c r="B471" s="730"/>
      <c r="C471" s="772"/>
      <c r="D471" s="773"/>
      <c r="E471" s="772"/>
      <c r="F471" s="773"/>
      <c r="G471" s="732"/>
      <c r="H471" s="733"/>
      <c r="I471" s="730"/>
      <c r="J471" s="731"/>
      <c r="K471" s="731"/>
      <c r="L471" s="731"/>
      <c r="M471" s="731"/>
      <c r="N471" s="731"/>
    </row>
    <row r="472">
      <c r="A472" s="408"/>
      <c r="B472" s="730"/>
      <c r="C472" s="772"/>
      <c r="D472" s="773"/>
      <c r="E472" s="772"/>
      <c r="F472" s="773"/>
      <c r="G472" s="732"/>
      <c r="H472" s="733"/>
      <c r="I472" s="730"/>
      <c r="J472" s="731"/>
      <c r="K472" s="731"/>
      <c r="L472" s="731"/>
      <c r="M472" s="731"/>
      <c r="N472" s="731"/>
    </row>
    <row r="473">
      <c r="A473" s="408"/>
      <c r="B473" s="730"/>
      <c r="C473" s="772"/>
      <c r="D473" s="773"/>
      <c r="E473" s="772"/>
      <c r="F473" s="773"/>
      <c r="G473" s="732"/>
      <c r="H473" s="733"/>
      <c r="I473" s="730"/>
      <c r="J473" s="731"/>
      <c r="K473" s="731"/>
      <c r="L473" s="731"/>
      <c r="M473" s="731"/>
      <c r="N473" s="731"/>
    </row>
    <row r="474">
      <c r="A474" s="408"/>
      <c r="B474" s="730"/>
      <c r="C474" s="772"/>
      <c r="D474" s="773"/>
      <c r="E474" s="772"/>
      <c r="F474" s="773"/>
      <c r="G474" s="732"/>
      <c r="H474" s="733"/>
      <c r="I474" s="730"/>
      <c r="J474" s="731"/>
      <c r="K474" s="731"/>
      <c r="L474" s="731"/>
      <c r="M474" s="731"/>
      <c r="N474" s="731"/>
    </row>
    <row r="475">
      <c r="A475" s="408"/>
      <c r="B475" s="730"/>
      <c r="C475" s="772"/>
      <c r="D475" s="773"/>
      <c r="E475" s="772"/>
      <c r="F475" s="773"/>
      <c r="G475" s="732"/>
      <c r="H475" s="733"/>
      <c r="I475" s="730"/>
      <c r="J475" s="731"/>
      <c r="K475" s="731"/>
      <c r="L475" s="731"/>
      <c r="M475" s="731"/>
      <c r="N475" s="731"/>
    </row>
    <row r="476">
      <c r="A476" s="408"/>
      <c r="B476" s="730"/>
      <c r="C476" s="772"/>
      <c r="D476" s="773"/>
      <c r="E476" s="772"/>
      <c r="F476" s="773"/>
      <c r="G476" s="732"/>
      <c r="H476" s="733"/>
      <c r="I476" s="730"/>
      <c r="J476" s="731"/>
      <c r="K476" s="731"/>
      <c r="L476" s="731"/>
      <c r="M476" s="731"/>
      <c r="N476" s="731"/>
    </row>
    <row r="477">
      <c r="A477" s="408"/>
      <c r="B477" s="730"/>
      <c r="C477" s="772"/>
      <c r="D477" s="773"/>
      <c r="E477" s="772"/>
      <c r="F477" s="773"/>
      <c r="G477" s="732"/>
      <c r="H477" s="733"/>
      <c r="I477" s="730"/>
      <c r="J477" s="731"/>
      <c r="K477" s="731"/>
      <c r="L477" s="731"/>
      <c r="M477" s="731"/>
      <c r="N477" s="731"/>
    </row>
    <row r="478">
      <c r="A478" s="408"/>
      <c r="B478" s="730"/>
      <c r="C478" s="772"/>
      <c r="D478" s="773"/>
      <c r="E478" s="772"/>
      <c r="F478" s="773"/>
      <c r="G478" s="732"/>
      <c r="H478" s="733"/>
      <c r="I478" s="730"/>
      <c r="J478" s="731"/>
      <c r="K478" s="731"/>
      <c r="L478" s="731"/>
      <c r="M478" s="731"/>
      <c r="N478" s="731"/>
    </row>
    <row r="479">
      <c r="A479" s="408"/>
      <c r="B479" s="730"/>
      <c r="C479" s="772"/>
      <c r="D479" s="773"/>
      <c r="E479" s="772"/>
      <c r="F479" s="773"/>
      <c r="G479" s="732"/>
      <c r="H479" s="733"/>
      <c r="I479" s="730"/>
      <c r="J479" s="731"/>
      <c r="K479" s="731"/>
      <c r="L479" s="731"/>
      <c r="M479" s="731"/>
      <c r="N479" s="731"/>
    </row>
    <row r="480">
      <c r="A480" s="408"/>
      <c r="B480" s="730"/>
      <c r="C480" s="772"/>
      <c r="D480" s="773"/>
      <c r="E480" s="772"/>
      <c r="F480" s="773"/>
      <c r="G480" s="732"/>
      <c r="H480" s="733"/>
      <c r="I480" s="730"/>
      <c r="J480" s="731"/>
      <c r="K480" s="731"/>
      <c r="L480" s="731"/>
      <c r="M480" s="731"/>
      <c r="N480" s="731"/>
    </row>
    <row r="481">
      <c r="A481" s="408"/>
      <c r="B481" s="730"/>
      <c r="C481" s="772"/>
      <c r="D481" s="773"/>
      <c r="E481" s="772"/>
      <c r="F481" s="773"/>
      <c r="G481" s="732"/>
      <c r="H481" s="733"/>
      <c r="I481" s="730"/>
      <c r="J481" s="731"/>
      <c r="K481" s="731"/>
      <c r="L481" s="731"/>
      <c r="M481" s="731"/>
      <c r="N481" s="731"/>
    </row>
    <row r="482">
      <c r="A482" s="408"/>
      <c r="B482" s="730"/>
      <c r="C482" s="772"/>
      <c r="D482" s="773"/>
      <c r="E482" s="772"/>
      <c r="F482" s="773"/>
      <c r="G482" s="732"/>
      <c r="H482" s="733"/>
      <c r="I482" s="730"/>
      <c r="J482" s="731"/>
      <c r="K482" s="731"/>
      <c r="L482" s="731"/>
      <c r="M482" s="731"/>
      <c r="N482" s="731"/>
    </row>
    <row r="483">
      <c r="A483" s="408"/>
      <c r="B483" s="730"/>
      <c r="C483" s="772"/>
      <c r="D483" s="773"/>
      <c r="E483" s="772"/>
      <c r="F483" s="773"/>
      <c r="G483" s="732"/>
      <c r="H483" s="733"/>
      <c r="I483" s="730"/>
      <c r="J483" s="731"/>
      <c r="K483" s="731"/>
      <c r="L483" s="731"/>
      <c r="M483" s="731"/>
      <c r="N483" s="731"/>
    </row>
    <row r="484">
      <c r="A484" s="408"/>
      <c r="B484" s="730"/>
      <c r="C484" s="772"/>
      <c r="D484" s="773"/>
      <c r="E484" s="772"/>
      <c r="F484" s="773"/>
      <c r="G484" s="732"/>
      <c r="H484" s="733"/>
      <c r="I484" s="730"/>
      <c r="J484" s="731"/>
      <c r="K484" s="731"/>
      <c r="L484" s="731"/>
      <c r="M484" s="731"/>
      <c r="N484" s="731"/>
    </row>
    <row r="485">
      <c r="A485" s="408"/>
      <c r="B485" s="730"/>
      <c r="C485" s="772"/>
      <c r="D485" s="773"/>
      <c r="E485" s="772"/>
      <c r="F485" s="773"/>
      <c r="G485" s="732"/>
      <c r="H485" s="733"/>
      <c r="I485" s="730"/>
      <c r="J485" s="731"/>
      <c r="K485" s="731"/>
      <c r="L485" s="731"/>
      <c r="M485" s="731"/>
      <c r="N485" s="731"/>
    </row>
    <row r="486">
      <c r="A486" s="408"/>
      <c r="B486" s="730"/>
      <c r="C486" s="772"/>
      <c r="D486" s="773"/>
      <c r="E486" s="772"/>
      <c r="F486" s="773"/>
      <c r="G486" s="732"/>
      <c r="H486" s="733"/>
      <c r="I486" s="730"/>
      <c r="J486" s="731"/>
      <c r="K486" s="731"/>
      <c r="L486" s="731"/>
      <c r="M486" s="731"/>
      <c r="N486" s="731"/>
    </row>
    <row r="487">
      <c r="A487" s="408"/>
      <c r="B487" s="730"/>
      <c r="C487" s="772"/>
      <c r="D487" s="773"/>
      <c r="E487" s="772"/>
      <c r="F487" s="773"/>
      <c r="G487" s="732"/>
      <c r="H487" s="733"/>
      <c r="I487" s="730"/>
      <c r="J487" s="731"/>
      <c r="K487" s="731"/>
      <c r="L487" s="731"/>
      <c r="M487" s="731"/>
      <c r="N487" s="731"/>
    </row>
    <row r="488">
      <c r="A488" s="408"/>
      <c r="B488" s="730"/>
      <c r="C488" s="772"/>
      <c r="D488" s="773"/>
      <c r="E488" s="772"/>
      <c r="F488" s="773"/>
      <c r="G488" s="732"/>
      <c r="H488" s="733"/>
      <c r="I488" s="730"/>
      <c r="J488" s="731"/>
      <c r="K488" s="731"/>
      <c r="L488" s="731"/>
      <c r="M488" s="731"/>
      <c r="N488" s="731"/>
    </row>
    <row r="489">
      <c r="A489" s="408"/>
      <c r="B489" s="730"/>
      <c r="C489" s="772"/>
      <c r="D489" s="773"/>
      <c r="E489" s="772"/>
      <c r="F489" s="773"/>
      <c r="G489" s="732"/>
      <c r="H489" s="733"/>
      <c r="I489" s="730"/>
      <c r="J489" s="731"/>
      <c r="K489" s="731"/>
      <c r="L489" s="731"/>
      <c r="M489" s="731"/>
      <c r="N489" s="731"/>
    </row>
    <row r="490">
      <c r="A490" s="408"/>
      <c r="B490" s="730"/>
      <c r="C490" s="772"/>
      <c r="D490" s="773"/>
      <c r="E490" s="772"/>
      <c r="F490" s="773"/>
      <c r="G490" s="732"/>
      <c r="H490" s="733"/>
      <c r="I490" s="730"/>
      <c r="J490" s="731"/>
      <c r="K490" s="731"/>
      <c r="L490" s="731"/>
      <c r="M490" s="731"/>
      <c r="N490" s="731"/>
    </row>
    <row r="491">
      <c r="A491" s="408"/>
      <c r="B491" s="730"/>
      <c r="C491" s="772"/>
      <c r="D491" s="773"/>
      <c r="E491" s="772"/>
      <c r="F491" s="773"/>
      <c r="G491" s="732"/>
      <c r="H491" s="733"/>
      <c r="I491" s="730"/>
      <c r="J491" s="731"/>
      <c r="K491" s="731"/>
      <c r="L491" s="731"/>
      <c r="M491" s="731"/>
      <c r="N491" s="731"/>
    </row>
    <row r="492">
      <c r="A492" s="408"/>
      <c r="B492" s="730"/>
      <c r="C492" s="772"/>
      <c r="D492" s="773"/>
      <c r="E492" s="772"/>
      <c r="F492" s="773"/>
      <c r="G492" s="732"/>
      <c r="H492" s="733"/>
      <c r="I492" s="730"/>
      <c r="J492" s="731"/>
      <c r="K492" s="731"/>
      <c r="L492" s="731"/>
      <c r="M492" s="731"/>
      <c r="N492" s="731"/>
    </row>
    <row r="493">
      <c r="A493" s="408"/>
      <c r="B493" s="730"/>
      <c r="C493" s="772"/>
      <c r="D493" s="773"/>
      <c r="E493" s="772"/>
      <c r="F493" s="773"/>
      <c r="G493" s="732"/>
      <c r="H493" s="733"/>
      <c r="I493" s="730"/>
      <c r="J493" s="731"/>
      <c r="K493" s="731"/>
      <c r="L493" s="731"/>
      <c r="M493" s="731"/>
      <c r="N493" s="731"/>
    </row>
    <row r="494">
      <c r="A494" s="408"/>
      <c r="B494" s="730"/>
      <c r="C494" s="772"/>
      <c r="D494" s="773"/>
      <c r="E494" s="772"/>
      <c r="F494" s="773"/>
      <c r="G494" s="732"/>
      <c r="H494" s="733"/>
      <c r="I494" s="730"/>
      <c r="J494" s="731"/>
      <c r="K494" s="731"/>
      <c r="L494" s="731"/>
      <c r="M494" s="731"/>
      <c r="N494" s="731"/>
    </row>
    <row r="495">
      <c r="A495" s="408"/>
      <c r="B495" s="730"/>
      <c r="C495" s="772"/>
      <c r="D495" s="773"/>
      <c r="E495" s="772"/>
      <c r="F495" s="773"/>
      <c r="G495" s="732"/>
      <c r="H495" s="733"/>
      <c r="I495" s="730"/>
      <c r="J495" s="731"/>
      <c r="K495" s="731"/>
      <c r="L495" s="731"/>
      <c r="M495" s="731"/>
      <c r="N495" s="731"/>
    </row>
    <row r="496">
      <c r="A496" s="408"/>
      <c r="B496" s="730"/>
      <c r="C496" s="772"/>
      <c r="D496" s="773"/>
      <c r="E496" s="772"/>
      <c r="F496" s="773"/>
      <c r="G496" s="732"/>
      <c r="H496" s="733"/>
      <c r="I496" s="730"/>
      <c r="J496" s="731"/>
      <c r="K496" s="731"/>
      <c r="L496" s="731"/>
      <c r="M496" s="731"/>
      <c r="N496" s="731"/>
    </row>
    <row r="497">
      <c r="A497" s="408"/>
      <c r="B497" s="730"/>
      <c r="C497" s="772"/>
      <c r="D497" s="773"/>
      <c r="E497" s="772"/>
      <c r="F497" s="773"/>
      <c r="G497" s="732"/>
      <c r="H497" s="733"/>
      <c r="I497" s="730"/>
      <c r="J497" s="731"/>
      <c r="K497" s="731"/>
      <c r="L497" s="731"/>
      <c r="M497" s="731"/>
      <c r="N497" s="731"/>
    </row>
    <row r="498">
      <c r="A498" s="408"/>
      <c r="B498" s="730"/>
      <c r="C498" s="772"/>
      <c r="D498" s="773"/>
      <c r="E498" s="772"/>
      <c r="F498" s="773"/>
      <c r="G498" s="732"/>
      <c r="H498" s="733"/>
      <c r="I498" s="730"/>
      <c r="J498" s="731"/>
      <c r="K498" s="731"/>
      <c r="L498" s="731"/>
      <c r="M498" s="731"/>
      <c r="N498" s="731"/>
    </row>
    <row r="499">
      <c r="A499" s="408"/>
      <c r="B499" s="730"/>
      <c r="C499" s="772"/>
      <c r="D499" s="773"/>
      <c r="E499" s="772"/>
      <c r="F499" s="773"/>
      <c r="G499" s="732"/>
      <c r="H499" s="733"/>
      <c r="I499" s="730"/>
      <c r="J499" s="731"/>
      <c r="K499" s="731"/>
      <c r="L499" s="731"/>
      <c r="M499" s="731"/>
      <c r="N499" s="731"/>
    </row>
    <row r="500">
      <c r="A500" s="408"/>
      <c r="B500" s="730"/>
      <c r="C500" s="772"/>
      <c r="D500" s="773"/>
      <c r="E500" s="772"/>
      <c r="F500" s="773"/>
      <c r="G500" s="732"/>
      <c r="H500" s="733"/>
      <c r="I500" s="730"/>
      <c r="J500" s="731"/>
      <c r="K500" s="731"/>
      <c r="L500" s="731"/>
      <c r="M500" s="731"/>
      <c r="N500" s="731"/>
    </row>
    <row r="501">
      <c r="A501" s="408"/>
      <c r="B501" s="730"/>
      <c r="C501" s="772"/>
      <c r="D501" s="773"/>
      <c r="E501" s="772"/>
      <c r="F501" s="773"/>
      <c r="G501" s="732"/>
      <c r="H501" s="733"/>
      <c r="I501" s="730"/>
      <c r="J501" s="731"/>
      <c r="K501" s="731"/>
      <c r="L501" s="731"/>
      <c r="M501" s="731"/>
      <c r="N501" s="731"/>
    </row>
    <row r="502">
      <c r="A502" s="408"/>
      <c r="B502" s="730"/>
      <c r="C502" s="772"/>
      <c r="D502" s="773"/>
      <c r="E502" s="772"/>
      <c r="F502" s="773"/>
      <c r="G502" s="732"/>
      <c r="H502" s="733"/>
      <c r="I502" s="730"/>
      <c r="J502" s="731"/>
      <c r="K502" s="731"/>
      <c r="L502" s="731"/>
      <c r="M502" s="731"/>
      <c r="N502" s="731"/>
    </row>
    <row r="503">
      <c r="A503" s="408"/>
      <c r="B503" s="730"/>
      <c r="C503" s="772"/>
      <c r="D503" s="773"/>
      <c r="E503" s="772"/>
      <c r="F503" s="773"/>
      <c r="G503" s="732"/>
      <c r="H503" s="733"/>
      <c r="I503" s="730"/>
      <c r="J503" s="731"/>
      <c r="K503" s="731"/>
      <c r="L503" s="731"/>
      <c r="M503" s="731"/>
      <c r="N503" s="731"/>
    </row>
    <row r="504">
      <c r="A504" s="408"/>
      <c r="B504" s="730"/>
      <c r="C504" s="772"/>
      <c r="D504" s="773"/>
      <c r="E504" s="772"/>
      <c r="F504" s="773"/>
      <c r="G504" s="732"/>
      <c r="H504" s="733"/>
      <c r="I504" s="730"/>
      <c r="J504" s="731"/>
      <c r="K504" s="731"/>
      <c r="L504" s="731"/>
      <c r="M504" s="731"/>
      <c r="N504" s="731"/>
    </row>
    <row r="505">
      <c r="A505" s="408"/>
      <c r="B505" s="730"/>
      <c r="C505" s="772"/>
      <c r="D505" s="773"/>
      <c r="E505" s="772"/>
      <c r="F505" s="773"/>
      <c r="G505" s="732"/>
      <c r="H505" s="733"/>
      <c r="I505" s="730"/>
      <c r="J505" s="731"/>
      <c r="K505" s="731"/>
      <c r="L505" s="731"/>
      <c r="M505" s="731"/>
      <c r="N505" s="731"/>
    </row>
    <row r="506">
      <c r="A506" s="408"/>
      <c r="B506" s="730"/>
      <c r="C506" s="772"/>
      <c r="D506" s="773"/>
      <c r="E506" s="772"/>
      <c r="F506" s="773"/>
      <c r="G506" s="732"/>
      <c r="H506" s="733"/>
      <c r="I506" s="730"/>
      <c r="J506" s="731"/>
      <c r="K506" s="731"/>
      <c r="L506" s="731"/>
      <c r="M506" s="731"/>
      <c r="N506" s="731"/>
    </row>
    <row r="507">
      <c r="A507" s="408"/>
      <c r="B507" s="730"/>
      <c r="C507" s="772"/>
      <c r="D507" s="773"/>
      <c r="E507" s="772"/>
      <c r="F507" s="773"/>
      <c r="G507" s="732"/>
      <c r="H507" s="733"/>
      <c r="I507" s="730"/>
      <c r="J507" s="731"/>
      <c r="K507" s="731"/>
      <c r="L507" s="731"/>
      <c r="M507" s="731"/>
      <c r="N507" s="731"/>
    </row>
    <row r="508">
      <c r="A508" s="408"/>
      <c r="B508" s="730"/>
      <c r="C508" s="772"/>
      <c r="D508" s="773"/>
      <c r="E508" s="772"/>
      <c r="F508" s="773"/>
      <c r="G508" s="732"/>
      <c r="H508" s="733"/>
      <c r="I508" s="730"/>
      <c r="J508" s="731"/>
      <c r="K508" s="731"/>
      <c r="L508" s="731"/>
      <c r="M508" s="731"/>
      <c r="N508" s="731"/>
    </row>
    <row r="509">
      <c r="A509" s="408"/>
      <c r="B509" s="730"/>
      <c r="C509" s="772"/>
      <c r="D509" s="773"/>
      <c r="E509" s="772"/>
      <c r="F509" s="773"/>
      <c r="G509" s="732"/>
      <c r="H509" s="733"/>
      <c r="I509" s="730"/>
      <c r="J509" s="731"/>
      <c r="K509" s="731"/>
      <c r="L509" s="731"/>
      <c r="M509" s="731"/>
      <c r="N509" s="731"/>
    </row>
    <row r="510">
      <c r="A510" s="408"/>
      <c r="B510" s="730"/>
      <c r="C510" s="772"/>
      <c r="D510" s="773"/>
      <c r="E510" s="772"/>
      <c r="F510" s="773"/>
      <c r="G510" s="732"/>
      <c r="H510" s="733"/>
      <c r="I510" s="730"/>
      <c r="J510" s="731"/>
      <c r="K510" s="731"/>
      <c r="L510" s="731"/>
      <c r="M510" s="731"/>
      <c r="N510" s="731"/>
    </row>
    <row r="511">
      <c r="A511" s="408"/>
      <c r="B511" s="730"/>
      <c r="C511" s="772"/>
      <c r="D511" s="773"/>
      <c r="E511" s="772"/>
      <c r="F511" s="773"/>
      <c r="G511" s="732"/>
      <c r="H511" s="733"/>
      <c r="I511" s="730"/>
      <c r="J511" s="731"/>
      <c r="K511" s="731"/>
      <c r="L511" s="731"/>
      <c r="M511" s="731"/>
      <c r="N511" s="731"/>
    </row>
    <row r="512">
      <c r="A512" s="408"/>
      <c r="B512" s="730"/>
      <c r="C512" s="772"/>
      <c r="D512" s="773"/>
      <c r="E512" s="772"/>
      <c r="F512" s="773"/>
      <c r="G512" s="732"/>
      <c r="H512" s="733"/>
      <c r="I512" s="730"/>
      <c r="J512" s="731"/>
      <c r="K512" s="731"/>
      <c r="L512" s="731"/>
      <c r="M512" s="731"/>
      <c r="N512" s="731"/>
    </row>
    <row r="513">
      <c r="A513" s="408"/>
      <c r="B513" s="730"/>
      <c r="C513" s="772"/>
      <c r="D513" s="773"/>
      <c r="E513" s="772"/>
      <c r="F513" s="773"/>
      <c r="G513" s="732"/>
      <c r="H513" s="733"/>
      <c r="I513" s="730"/>
      <c r="J513" s="731"/>
      <c r="K513" s="731"/>
      <c r="L513" s="731"/>
      <c r="M513" s="731"/>
      <c r="N513" s="731"/>
    </row>
    <row r="514">
      <c r="A514" s="408"/>
      <c r="B514" s="730"/>
      <c r="C514" s="772"/>
      <c r="D514" s="773"/>
      <c r="E514" s="772"/>
      <c r="F514" s="773"/>
      <c r="G514" s="732"/>
      <c r="H514" s="733"/>
      <c r="I514" s="730"/>
      <c r="J514" s="731"/>
      <c r="K514" s="731"/>
      <c r="L514" s="731"/>
      <c r="M514" s="731"/>
      <c r="N514" s="731"/>
    </row>
    <row r="515">
      <c r="A515" s="408"/>
      <c r="B515" s="730"/>
      <c r="C515" s="772"/>
      <c r="D515" s="773"/>
      <c r="E515" s="772"/>
      <c r="F515" s="773"/>
      <c r="G515" s="732"/>
      <c r="H515" s="733"/>
      <c r="I515" s="730"/>
      <c r="J515" s="731"/>
      <c r="K515" s="731"/>
      <c r="L515" s="731"/>
      <c r="M515" s="731"/>
      <c r="N515" s="731"/>
    </row>
    <row r="516">
      <c r="A516" s="408"/>
      <c r="B516" s="730"/>
      <c r="C516" s="772"/>
      <c r="D516" s="773"/>
      <c r="E516" s="772"/>
      <c r="F516" s="773"/>
      <c r="G516" s="732"/>
      <c r="H516" s="733"/>
      <c r="I516" s="730"/>
      <c r="J516" s="731"/>
      <c r="K516" s="731"/>
      <c r="L516" s="731"/>
      <c r="M516" s="731"/>
      <c r="N516" s="731"/>
    </row>
    <row r="517">
      <c r="A517" s="408"/>
      <c r="B517" s="730"/>
      <c r="C517" s="772"/>
      <c r="D517" s="773"/>
      <c r="E517" s="772"/>
      <c r="F517" s="773"/>
      <c r="G517" s="732"/>
      <c r="H517" s="733"/>
      <c r="I517" s="730"/>
      <c r="J517" s="731"/>
      <c r="K517" s="731"/>
      <c r="L517" s="731"/>
      <c r="M517" s="731"/>
      <c r="N517" s="731"/>
    </row>
    <row r="518">
      <c r="A518" s="408"/>
      <c r="B518" s="730"/>
      <c r="C518" s="772"/>
      <c r="D518" s="773"/>
      <c r="E518" s="772"/>
      <c r="F518" s="773"/>
      <c r="G518" s="732"/>
      <c r="H518" s="733"/>
      <c r="I518" s="730"/>
      <c r="J518" s="731"/>
      <c r="K518" s="731"/>
      <c r="L518" s="731"/>
      <c r="M518" s="731"/>
      <c r="N518" s="731"/>
    </row>
    <row r="519">
      <c r="A519" s="408"/>
      <c r="B519" s="730"/>
      <c r="C519" s="772"/>
      <c r="D519" s="773"/>
      <c r="E519" s="772"/>
      <c r="F519" s="773"/>
      <c r="G519" s="732"/>
      <c r="H519" s="733"/>
      <c r="I519" s="730"/>
      <c r="J519" s="731"/>
      <c r="K519" s="731"/>
      <c r="L519" s="731"/>
      <c r="M519" s="731"/>
      <c r="N519" s="731"/>
    </row>
    <row r="520">
      <c r="A520" s="408"/>
      <c r="B520" s="730"/>
      <c r="C520" s="772"/>
      <c r="D520" s="773"/>
      <c r="E520" s="772"/>
      <c r="F520" s="773"/>
      <c r="G520" s="732"/>
      <c r="H520" s="733"/>
      <c r="I520" s="730"/>
      <c r="J520" s="731"/>
      <c r="K520" s="731"/>
      <c r="L520" s="731"/>
      <c r="M520" s="731"/>
      <c r="N520" s="731"/>
    </row>
    <row r="521">
      <c r="A521" s="408"/>
      <c r="B521" s="730"/>
      <c r="C521" s="772"/>
      <c r="D521" s="773"/>
      <c r="E521" s="772"/>
      <c r="F521" s="773"/>
      <c r="G521" s="732"/>
      <c r="H521" s="733"/>
      <c r="I521" s="730"/>
      <c r="J521" s="731"/>
      <c r="K521" s="731"/>
      <c r="L521" s="731"/>
      <c r="M521" s="731"/>
      <c r="N521" s="731"/>
    </row>
    <row r="522">
      <c r="A522" s="408"/>
      <c r="B522" s="730"/>
      <c r="C522" s="772"/>
      <c r="D522" s="773"/>
      <c r="E522" s="772"/>
      <c r="F522" s="773"/>
      <c r="G522" s="732"/>
      <c r="H522" s="733"/>
      <c r="I522" s="730"/>
      <c r="J522" s="731"/>
      <c r="K522" s="731"/>
      <c r="L522" s="731"/>
      <c r="M522" s="731"/>
      <c r="N522" s="731"/>
    </row>
    <row r="523">
      <c r="A523" s="408"/>
      <c r="B523" s="730"/>
      <c r="C523" s="772"/>
      <c r="D523" s="773"/>
      <c r="E523" s="772"/>
      <c r="F523" s="773"/>
      <c r="G523" s="732"/>
      <c r="H523" s="733"/>
      <c r="I523" s="730"/>
      <c r="J523" s="731"/>
      <c r="K523" s="731"/>
      <c r="L523" s="731"/>
      <c r="M523" s="731"/>
      <c r="N523" s="731"/>
    </row>
    <row r="524">
      <c r="A524" s="408"/>
      <c r="B524" s="730"/>
      <c r="C524" s="772"/>
      <c r="D524" s="773"/>
      <c r="E524" s="772"/>
      <c r="F524" s="773"/>
      <c r="G524" s="732"/>
      <c r="H524" s="733"/>
      <c r="I524" s="730"/>
      <c r="J524" s="731"/>
      <c r="K524" s="731"/>
      <c r="L524" s="731"/>
      <c r="M524" s="731"/>
      <c r="N524" s="731"/>
    </row>
    <row r="525">
      <c r="A525" s="408"/>
      <c r="B525" s="730"/>
      <c r="C525" s="772"/>
      <c r="D525" s="773"/>
      <c r="E525" s="772"/>
      <c r="F525" s="773"/>
      <c r="G525" s="732"/>
      <c r="H525" s="733"/>
      <c r="I525" s="730"/>
      <c r="J525" s="731"/>
      <c r="K525" s="731"/>
      <c r="L525" s="731"/>
      <c r="M525" s="731"/>
      <c r="N525" s="731"/>
    </row>
    <row r="526">
      <c r="A526" s="408"/>
      <c r="B526" s="730"/>
      <c r="C526" s="772"/>
      <c r="D526" s="773"/>
      <c r="E526" s="772"/>
      <c r="F526" s="773"/>
      <c r="G526" s="732"/>
      <c r="H526" s="733"/>
      <c r="I526" s="730"/>
      <c r="J526" s="731"/>
      <c r="K526" s="731"/>
      <c r="L526" s="731"/>
      <c r="M526" s="731"/>
      <c r="N526" s="731"/>
    </row>
    <row r="527">
      <c r="A527" s="408"/>
      <c r="B527" s="730"/>
      <c r="C527" s="772"/>
      <c r="D527" s="773"/>
      <c r="E527" s="772"/>
      <c r="F527" s="773"/>
      <c r="G527" s="732"/>
      <c r="H527" s="733"/>
      <c r="I527" s="730"/>
      <c r="J527" s="731"/>
      <c r="K527" s="731"/>
      <c r="L527" s="731"/>
      <c r="M527" s="731"/>
      <c r="N527" s="731"/>
    </row>
    <row r="528">
      <c r="A528" s="408"/>
      <c r="B528" s="730"/>
      <c r="C528" s="772"/>
      <c r="D528" s="773"/>
      <c r="E528" s="772"/>
      <c r="F528" s="773"/>
      <c r="G528" s="732"/>
      <c r="H528" s="733"/>
      <c r="I528" s="730"/>
      <c r="J528" s="731"/>
      <c r="K528" s="731"/>
      <c r="L528" s="731"/>
      <c r="M528" s="731"/>
      <c r="N528" s="731"/>
    </row>
    <row r="529">
      <c r="A529" s="408"/>
      <c r="B529" s="730"/>
      <c r="C529" s="772"/>
      <c r="D529" s="773"/>
      <c r="E529" s="772"/>
      <c r="F529" s="773"/>
      <c r="G529" s="732"/>
      <c r="H529" s="733"/>
      <c r="I529" s="730"/>
      <c r="J529" s="731"/>
      <c r="K529" s="731"/>
      <c r="L529" s="731"/>
      <c r="M529" s="731"/>
      <c r="N529" s="731"/>
    </row>
    <row r="530">
      <c r="A530" s="408"/>
      <c r="B530" s="730"/>
      <c r="C530" s="772"/>
      <c r="D530" s="773"/>
      <c r="E530" s="772"/>
      <c r="F530" s="773"/>
      <c r="G530" s="732"/>
      <c r="H530" s="733"/>
      <c r="I530" s="730"/>
      <c r="J530" s="731"/>
      <c r="K530" s="731"/>
      <c r="L530" s="731"/>
      <c r="M530" s="731"/>
      <c r="N530" s="731"/>
    </row>
    <row r="531">
      <c r="A531" s="408"/>
      <c r="B531" s="730"/>
      <c r="C531" s="772"/>
      <c r="D531" s="773"/>
      <c r="E531" s="772"/>
      <c r="F531" s="773"/>
      <c r="G531" s="732"/>
      <c r="H531" s="733"/>
      <c r="I531" s="730"/>
      <c r="J531" s="731"/>
      <c r="K531" s="731"/>
      <c r="L531" s="731"/>
      <c r="M531" s="731"/>
      <c r="N531" s="731"/>
    </row>
    <row r="532">
      <c r="A532" s="408"/>
      <c r="B532" s="730"/>
      <c r="C532" s="772"/>
      <c r="D532" s="773"/>
      <c r="E532" s="772"/>
      <c r="F532" s="773"/>
      <c r="G532" s="732"/>
      <c r="H532" s="733"/>
      <c r="I532" s="730"/>
      <c r="J532" s="731"/>
      <c r="K532" s="731"/>
      <c r="L532" s="731"/>
      <c r="M532" s="731"/>
      <c r="N532" s="731"/>
    </row>
    <row r="533">
      <c r="A533" s="408"/>
      <c r="B533" s="730"/>
      <c r="C533" s="772"/>
      <c r="D533" s="773"/>
      <c r="E533" s="772"/>
      <c r="F533" s="773"/>
      <c r="G533" s="732"/>
      <c r="H533" s="733"/>
      <c r="I533" s="730"/>
      <c r="J533" s="731"/>
      <c r="K533" s="731"/>
      <c r="L533" s="731"/>
      <c r="M533" s="731"/>
      <c r="N533" s="731"/>
    </row>
    <row r="534">
      <c r="A534" s="408"/>
      <c r="B534" s="730"/>
      <c r="C534" s="772"/>
      <c r="D534" s="773"/>
      <c r="E534" s="772"/>
      <c r="F534" s="773"/>
      <c r="G534" s="732"/>
      <c r="H534" s="733"/>
      <c r="I534" s="730"/>
      <c r="J534" s="731"/>
      <c r="K534" s="731"/>
      <c r="L534" s="731"/>
      <c r="M534" s="731"/>
      <c r="N534" s="731"/>
    </row>
    <row r="535">
      <c r="A535" s="408"/>
      <c r="B535" s="730"/>
      <c r="C535" s="772"/>
      <c r="D535" s="773"/>
      <c r="E535" s="772"/>
      <c r="F535" s="773"/>
      <c r="G535" s="732"/>
      <c r="H535" s="733"/>
      <c r="I535" s="730"/>
      <c r="J535" s="731"/>
      <c r="K535" s="731"/>
      <c r="L535" s="731"/>
      <c r="M535" s="731"/>
      <c r="N535" s="731"/>
    </row>
    <row r="536">
      <c r="A536" s="408"/>
      <c r="B536" s="730"/>
      <c r="C536" s="772"/>
      <c r="D536" s="773"/>
      <c r="E536" s="772"/>
      <c r="F536" s="773"/>
      <c r="G536" s="732"/>
      <c r="H536" s="733"/>
      <c r="I536" s="730"/>
      <c r="J536" s="731"/>
      <c r="K536" s="731"/>
      <c r="L536" s="731"/>
      <c r="M536" s="731"/>
      <c r="N536" s="731"/>
    </row>
    <row r="537">
      <c r="A537" s="408"/>
      <c r="B537" s="730"/>
      <c r="C537" s="772"/>
      <c r="D537" s="773"/>
      <c r="E537" s="772"/>
      <c r="F537" s="773"/>
      <c r="G537" s="732"/>
      <c r="H537" s="733"/>
      <c r="I537" s="730"/>
      <c r="J537" s="731"/>
      <c r="K537" s="731"/>
      <c r="L537" s="731"/>
      <c r="M537" s="731"/>
      <c r="N537" s="731"/>
    </row>
    <row r="538">
      <c r="A538" s="408"/>
      <c r="B538" s="730"/>
      <c r="C538" s="772"/>
      <c r="D538" s="773"/>
      <c r="E538" s="772"/>
      <c r="F538" s="773"/>
      <c r="G538" s="732"/>
      <c r="H538" s="733"/>
      <c r="I538" s="730"/>
      <c r="J538" s="731"/>
      <c r="K538" s="731"/>
      <c r="L538" s="731"/>
      <c r="M538" s="731"/>
      <c r="N538" s="731"/>
    </row>
    <row r="539">
      <c r="A539" s="408"/>
      <c r="B539" s="730"/>
      <c r="C539" s="772"/>
      <c r="D539" s="773"/>
      <c r="E539" s="772"/>
      <c r="F539" s="773"/>
      <c r="G539" s="732"/>
      <c r="H539" s="733"/>
      <c r="I539" s="730"/>
      <c r="J539" s="731"/>
      <c r="K539" s="731"/>
      <c r="L539" s="731"/>
      <c r="M539" s="731"/>
      <c r="N539" s="731"/>
    </row>
    <row r="540">
      <c r="A540" s="408"/>
      <c r="B540" s="730"/>
      <c r="C540" s="772"/>
      <c r="D540" s="773"/>
      <c r="E540" s="772"/>
      <c r="F540" s="773"/>
      <c r="G540" s="732"/>
      <c r="H540" s="733"/>
      <c r="I540" s="730"/>
      <c r="J540" s="731"/>
      <c r="K540" s="731"/>
      <c r="L540" s="731"/>
      <c r="M540" s="731"/>
      <c r="N540" s="731"/>
    </row>
    <row r="541">
      <c r="A541" s="408"/>
      <c r="B541" s="730"/>
      <c r="C541" s="772"/>
      <c r="D541" s="773"/>
      <c r="E541" s="772"/>
      <c r="F541" s="773"/>
      <c r="G541" s="732"/>
      <c r="H541" s="733"/>
      <c r="I541" s="730"/>
      <c r="J541" s="731"/>
      <c r="K541" s="731"/>
      <c r="L541" s="731"/>
      <c r="M541" s="731"/>
      <c r="N541" s="731"/>
    </row>
    <row r="542">
      <c r="A542" s="408"/>
      <c r="B542" s="730"/>
      <c r="C542" s="772"/>
      <c r="D542" s="773"/>
      <c r="E542" s="772"/>
      <c r="F542" s="773"/>
      <c r="G542" s="732"/>
      <c r="H542" s="733"/>
      <c r="I542" s="730"/>
      <c r="J542" s="731"/>
      <c r="K542" s="731"/>
      <c r="L542" s="731"/>
      <c r="M542" s="731"/>
      <c r="N542" s="731"/>
    </row>
    <row r="543">
      <c r="A543" s="408"/>
      <c r="B543" s="730"/>
      <c r="C543" s="772"/>
      <c r="D543" s="773"/>
      <c r="E543" s="772"/>
      <c r="F543" s="773"/>
      <c r="G543" s="732"/>
      <c r="H543" s="733"/>
      <c r="I543" s="730"/>
      <c r="J543" s="731"/>
      <c r="K543" s="731"/>
      <c r="L543" s="731"/>
      <c r="M543" s="731"/>
      <c r="N543" s="731"/>
    </row>
    <row r="544">
      <c r="A544" s="408"/>
      <c r="B544" s="730"/>
      <c r="C544" s="772"/>
      <c r="D544" s="773"/>
      <c r="E544" s="772"/>
      <c r="F544" s="773"/>
      <c r="G544" s="732"/>
      <c r="H544" s="733"/>
      <c r="I544" s="730"/>
      <c r="J544" s="731"/>
      <c r="K544" s="731"/>
      <c r="L544" s="731"/>
      <c r="M544" s="731"/>
      <c r="N544" s="731"/>
    </row>
    <row r="545">
      <c r="A545" s="408"/>
      <c r="B545" s="730"/>
      <c r="C545" s="772"/>
      <c r="D545" s="773"/>
      <c r="E545" s="772"/>
      <c r="F545" s="773"/>
      <c r="G545" s="732"/>
      <c r="H545" s="733"/>
      <c r="I545" s="730"/>
      <c r="J545" s="731"/>
      <c r="K545" s="731"/>
      <c r="L545" s="731"/>
      <c r="M545" s="731"/>
      <c r="N545" s="731"/>
    </row>
    <row r="546">
      <c r="A546" s="408"/>
      <c r="B546" s="730"/>
      <c r="C546" s="772"/>
      <c r="D546" s="773"/>
      <c r="E546" s="772"/>
      <c r="F546" s="773"/>
      <c r="G546" s="732"/>
      <c r="H546" s="733"/>
      <c r="I546" s="730"/>
      <c r="J546" s="731"/>
      <c r="K546" s="731"/>
      <c r="L546" s="731"/>
      <c r="M546" s="731"/>
      <c r="N546" s="731"/>
    </row>
    <row r="547">
      <c r="A547" s="408"/>
      <c r="B547" s="730"/>
      <c r="C547" s="772"/>
      <c r="D547" s="773"/>
      <c r="E547" s="772"/>
      <c r="F547" s="773"/>
      <c r="G547" s="732"/>
      <c r="H547" s="733"/>
      <c r="I547" s="730"/>
      <c r="J547" s="731"/>
      <c r="K547" s="731"/>
      <c r="L547" s="731"/>
      <c r="M547" s="731"/>
      <c r="N547" s="731"/>
    </row>
    <row r="548">
      <c r="A548" s="408"/>
      <c r="B548" s="730"/>
      <c r="C548" s="772"/>
      <c r="D548" s="773"/>
      <c r="E548" s="772"/>
      <c r="F548" s="773"/>
      <c r="G548" s="732"/>
      <c r="H548" s="733"/>
      <c r="I548" s="730"/>
      <c r="J548" s="731"/>
      <c r="K548" s="731"/>
      <c r="L548" s="731"/>
      <c r="M548" s="731"/>
      <c r="N548" s="731"/>
    </row>
    <row r="549">
      <c r="A549" s="408"/>
      <c r="B549" s="730"/>
      <c r="C549" s="772"/>
      <c r="D549" s="773"/>
      <c r="E549" s="772"/>
      <c r="F549" s="773"/>
      <c r="G549" s="732"/>
      <c r="H549" s="733"/>
      <c r="I549" s="730"/>
      <c r="J549" s="731"/>
      <c r="K549" s="731"/>
      <c r="L549" s="731"/>
      <c r="M549" s="731"/>
      <c r="N549" s="731"/>
    </row>
    <row r="550">
      <c r="A550" s="408"/>
      <c r="B550" s="730"/>
      <c r="C550" s="772"/>
      <c r="D550" s="773"/>
      <c r="E550" s="772"/>
      <c r="F550" s="773"/>
      <c r="G550" s="732"/>
      <c r="H550" s="733"/>
      <c r="I550" s="730"/>
      <c r="J550" s="731"/>
      <c r="K550" s="731"/>
      <c r="L550" s="731"/>
      <c r="M550" s="731"/>
      <c r="N550" s="731"/>
    </row>
    <row r="551">
      <c r="A551" s="408"/>
      <c r="B551" s="730"/>
      <c r="C551" s="772"/>
      <c r="D551" s="773"/>
      <c r="E551" s="772"/>
      <c r="F551" s="773"/>
      <c r="G551" s="732"/>
      <c r="H551" s="733"/>
      <c r="I551" s="730"/>
      <c r="J551" s="731"/>
      <c r="K551" s="731"/>
      <c r="L551" s="731"/>
      <c r="M551" s="731"/>
      <c r="N551" s="731"/>
    </row>
    <row r="552">
      <c r="A552" s="408"/>
      <c r="B552" s="730"/>
      <c r="C552" s="772"/>
      <c r="D552" s="773"/>
      <c r="E552" s="772"/>
      <c r="F552" s="773"/>
      <c r="G552" s="732"/>
      <c r="H552" s="733"/>
      <c r="I552" s="730"/>
      <c r="J552" s="731"/>
      <c r="K552" s="731"/>
      <c r="L552" s="731"/>
      <c r="M552" s="731"/>
      <c r="N552" s="731"/>
    </row>
    <row r="553">
      <c r="A553" s="408"/>
      <c r="B553" s="730"/>
      <c r="C553" s="772"/>
      <c r="D553" s="773"/>
      <c r="E553" s="772"/>
      <c r="F553" s="773"/>
      <c r="G553" s="732"/>
      <c r="H553" s="733"/>
      <c r="I553" s="730"/>
      <c r="J553" s="731"/>
      <c r="K553" s="731"/>
      <c r="L553" s="731"/>
      <c r="M553" s="731"/>
      <c r="N553" s="731"/>
    </row>
    <row r="554">
      <c r="A554" s="408"/>
      <c r="B554" s="730"/>
      <c r="C554" s="772"/>
      <c r="D554" s="773"/>
      <c r="E554" s="772"/>
      <c r="F554" s="773"/>
      <c r="G554" s="732"/>
      <c r="H554" s="733"/>
      <c r="I554" s="730"/>
      <c r="J554" s="731"/>
      <c r="K554" s="731"/>
      <c r="L554" s="731"/>
      <c r="M554" s="731"/>
      <c r="N554" s="731"/>
    </row>
    <row r="555">
      <c r="A555" s="408"/>
      <c r="B555" s="730"/>
      <c r="C555" s="772"/>
      <c r="D555" s="773"/>
      <c r="E555" s="772"/>
      <c r="F555" s="773"/>
      <c r="G555" s="732"/>
      <c r="H555" s="733"/>
      <c r="I555" s="730"/>
      <c r="J555" s="731"/>
      <c r="K555" s="731"/>
      <c r="L555" s="731"/>
      <c r="M555" s="731"/>
      <c r="N555" s="731"/>
    </row>
    <row r="556">
      <c r="A556" s="408"/>
      <c r="B556" s="730"/>
      <c r="C556" s="772"/>
      <c r="D556" s="773"/>
      <c r="E556" s="772"/>
      <c r="F556" s="773"/>
      <c r="G556" s="732"/>
      <c r="H556" s="733"/>
      <c r="I556" s="730"/>
      <c r="J556" s="731"/>
      <c r="K556" s="731"/>
      <c r="L556" s="731"/>
      <c r="M556" s="731"/>
      <c r="N556" s="731"/>
    </row>
    <row r="557">
      <c r="A557" s="408"/>
      <c r="B557" s="730"/>
      <c r="C557" s="772"/>
      <c r="D557" s="773"/>
      <c r="E557" s="772"/>
      <c r="F557" s="773"/>
      <c r="G557" s="732"/>
      <c r="H557" s="733"/>
      <c r="I557" s="730"/>
      <c r="J557" s="731"/>
      <c r="K557" s="731"/>
      <c r="L557" s="731"/>
      <c r="M557" s="731"/>
      <c r="N557" s="731"/>
    </row>
    <row r="558">
      <c r="A558" s="408"/>
      <c r="B558" s="730"/>
      <c r="C558" s="772"/>
      <c r="D558" s="773"/>
      <c r="E558" s="772"/>
      <c r="F558" s="773"/>
      <c r="G558" s="732"/>
      <c r="H558" s="733"/>
      <c r="I558" s="730"/>
      <c r="J558" s="731"/>
      <c r="K558" s="731"/>
      <c r="L558" s="731"/>
      <c r="M558" s="731"/>
      <c r="N558" s="731"/>
    </row>
    <row r="559">
      <c r="A559" s="408"/>
      <c r="B559" s="730"/>
      <c r="C559" s="772"/>
      <c r="D559" s="773"/>
      <c r="E559" s="772"/>
      <c r="F559" s="773"/>
      <c r="G559" s="732"/>
      <c r="H559" s="733"/>
      <c r="I559" s="730"/>
      <c r="J559" s="731"/>
      <c r="K559" s="731"/>
      <c r="L559" s="731"/>
      <c r="M559" s="731"/>
      <c r="N559" s="731"/>
    </row>
    <row r="560">
      <c r="A560" s="408"/>
      <c r="B560" s="730"/>
      <c r="C560" s="772"/>
      <c r="D560" s="773"/>
      <c r="E560" s="772"/>
      <c r="F560" s="773"/>
      <c r="G560" s="732"/>
      <c r="H560" s="733"/>
      <c r="I560" s="730"/>
      <c r="J560" s="731"/>
      <c r="K560" s="731"/>
      <c r="L560" s="731"/>
      <c r="M560" s="731"/>
      <c r="N560" s="731"/>
    </row>
    <row r="561">
      <c r="A561" s="408"/>
      <c r="B561" s="730"/>
      <c r="C561" s="772"/>
      <c r="D561" s="773"/>
      <c r="E561" s="772"/>
      <c r="F561" s="773"/>
      <c r="G561" s="732"/>
      <c r="H561" s="733"/>
      <c r="I561" s="730"/>
      <c r="J561" s="731"/>
      <c r="K561" s="731"/>
      <c r="L561" s="731"/>
      <c r="M561" s="731"/>
      <c r="N561" s="731"/>
    </row>
    <row r="562">
      <c r="A562" s="408"/>
      <c r="B562" s="730"/>
      <c r="C562" s="772"/>
      <c r="D562" s="773"/>
      <c r="E562" s="772"/>
      <c r="F562" s="773"/>
      <c r="G562" s="732"/>
      <c r="H562" s="733"/>
      <c r="I562" s="730"/>
      <c r="J562" s="731"/>
      <c r="K562" s="731"/>
      <c r="L562" s="731"/>
      <c r="M562" s="731"/>
      <c r="N562" s="731"/>
    </row>
    <row r="563">
      <c r="A563" s="408"/>
      <c r="B563" s="730"/>
      <c r="C563" s="772"/>
      <c r="D563" s="773"/>
      <c r="E563" s="772"/>
      <c r="F563" s="773"/>
      <c r="G563" s="732"/>
      <c r="H563" s="733"/>
      <c r="I563" s="730"/>
      <c r="J563" s="731"/>
      <c r="K563" s="731"/>
      <c r="L563" s="731"/>
      <c r="M563" s="731"/>
      <c r="N563" s="731"/>
    </row>
    <row r="564">
      <c r="A564" s="408"/>
      <c r="B564" s="730"/>
      <c r="C564" s="772"/>
      <c r="D564" s="773"/>
      <c r="E564" s="772"/>
      <c r="F564" s="773"/>
      <c r="G564" s="732"/>
      <c r="H564" s="733"/>
      <c r="I564" s="730"/>
      <c r="J564" s="731"/>
      <c r="K564" s="731"/>
      <c r="L564" s="731"/>
      <c r="M564" s="731"/>
      <c r="N564" s="731"/>
    </row>
    <row r="565">
      <c r="A565" s="408"/>
      <c r="B565" s="730"/>
      <c r="C565" s="772"/>
      <c r="D565" s="773"/>
      <c r="E565" s="772"/>
      <c r="F565" s="773"/>
      <c r="G565" s="732"/>
      <c r="H565" s="733"/>
      <c r="I565" s="730"/>
      <c r="J565" s="731"/>
      <c r="K565" s="731"/>
      <c r="L565" s="731"/>
      <c r="M565" s="731"/>
      <c r="N565" s="731"/>
    </row>
    <row r="566">
      <c r="A566" s="408"/>
      <c r="B566" s="730"/>
      <c r="C566" s="772"/>
      <c r="D566" s="773"/>
      <c r="E566" s="772"/>
      <c r="F566" s="773"/>
      <c r="G566" s="732"/>
      <c r="H566" s="733"/>
      <c r="I566" s="730"/>
      <c r="J566" s="731"/>
      <c r="K566" s="731"/>
      <c r="L566" s="731"/>
      <c r="M566" s="731"/>
      <c r="N566" s="731"/>
    </row>
    <row r="567">
      <c r="A567" s="408"/>
      <c r="B567" s="730"/>
      <c r="C567" s="772"/>
      <c r="D567" s="773"/>
      <c r="E567" s="772"/>
      <c r="F567" s="773"/>
      <c r="G567" s="732"/>
      <c r="H567" s="733"/>
      <c r="I567" s="730"/>
      <c r="J567" s="731"/>
      <c r="K567" s="731"/>
      <c r="L567" s="731"/>
      <c r="M567" s="731"/>
      <c r="N567" s="731"/>
    </row>
    <row r="568">
      <c r="A568" s="408"/>
      <c r="B568" s="730"/>
      <c r="C568" s="772"/>
      <c r="D568" s="773"/>
      <c r="E568" s="772"/>
      <c r="F568" s="773"/>
      <c r="G568" s="732"/>
      <c r="H568" s="733"/>
      <c r="I568" s="730"/>
      <c r="J568" s="731"/>
      <c r="K568" s="731"/>
      <c r="L568" s="731"/>
      <c r="M568" s="731"/>
      <c r="N568" s="731"/>
    </row>
    <row r="569">
      <c r="A569" s="408"/>
      <c r="B569" s="730"/>
      <c r="C569" s="772"/>
      <c r="D569" s="773"/>
      <c r="E569" s="772"/>
      <c r="F569" s="773"/>
      <c r="G569" s="732"/>
      <c r="H569" s="733"/>
      <c r="I569" s="730"/>
      <c r="J569" s="731"/>
      <c r="K569" s="731"/>
      <c r="L569" s="731"/>
      <c r="M569" s="731"/>
      <c r="N569" s="731"/>
    </row>
    <row r="570">
      <c r="A570" s="408"/>
      <c r="B570" s="730"/>
      <c r="C570" s="772"/>
      <c r="D570" s="773"/>
      <c r="E570" s="772"/>
      <c r="F570" s="773"/>
      <c r="G570" s="732"/>
      <c r="H570" s="733"/>
      <c r="I570" s="730"/>
      <c r="J570" s="731"/>
      <c r="K570" s="731"/>
      <c r="L570" s="731"/>
      <c r="M570" s="731"/>
      <c r="N570" s="731"/>
    </row>
    <row r="571">
      <c r="A571" s="408"/>
      <c r="B571" s="730"/>
      <c r="C571" s="772"/>
      <c r="D571" s="773"/>
      <c r="E571" s="772"/>
      <c r="F571" s="773"/>
      <c r="G571" s="732"/>
      <c r="H571" s="733"/>
      <c r="I571" s="730"/>
      <c r="J571" s="731"/>
      <c r="K571" s="731"/>
      <c r="L571" s="731"/>
      <c r="M571" s="731"/>
      <c r="N571" s="731"/>
    </row>
    <row r="572">
      <c r="A572" s="408"/>
      <c r="B572" s="730"/>
      <c r="C572" s="772"/>
      <c r="D572" s="773"/>
      <c r="E572" s="772"/>
      <c r="F572" s="773"/>
      <c r="G572" s="732"/>
      <c r="H572" s="733"/>
      <c r="I572" s="730"/>
      <c r="J572" s="731"/>
      <c r="K572" s="731"/>
      <c r="L572" s="731"/>
      <c r="M572" s="731"/>
      <c r="N572" s="731"/>
    </row>
    <row r="573">
      <c r="A573" s="408"/>
      <c r="B573" s="730"/>
      <c r="C573" s="772"/>
      <c r="D573" s="773"/>
      <c r="E573" s="772"/>
      <c r="F573" s="773"/>
      <c r="G573" s="732"/>
      <c r="H573" s="733"/>
      <c r="I573" s="730"/>
      <c r="J573" s="731"/>
      <c r="K573" s="731"/>
      <c r="L573" s="731"/>
      <c r="M573" s="731"/>
      <c r="N573" s="731"/>
    </row>
    <row r="574">
      <c r="A574" s="408"/>
      <c r="B574" s="730"/>
      <c r="C574" s="772"/>
      <c r="D574" s="773"/>
      <c r="E574" s="772"/>
      <c r="F574" s="773"/>
      <c r="G574" s="732"/>
      <c r="H574" s="733"/>
      <c r="I574" s="730"/>
      <c r="J574" s="731"/>
      <c r="K574" s="731"/>
      <c r="L574" s="731"/>
      <c r="M574" s="731"/>
      <c r="N574" s="731"/>
    </row>
    <row r="575">
      <c r="A575" s="408"/>
      <c r="B575" s="730"/>
      <c r="C575" s="772"/>
      <c r="D575" s="773"/>
      <c r="E575" s="772"/>
      <c r="F575" s="773"/>
      <c r="G575" s="732"/>
      <c r="H575" s="733"/>
      <c r="I575" s="730"/>
      <c r="J575" s="731"/>
      <c r="K575" s="731"/>
      <c r="L575" s="731"/>
      <c r="M575" s="731"/>
      <c r="N575" s="731"/>
    </row>
    <row r="576">
      <c r="A576" s="408"/>
      <c r="B576" s="730"/>
      <c r="C576" s="772"/>
      <c r="D576" s="773"/>
      <c r="E576" s="772"/>
      <c r="F576" s="773"/>
      <c r="G576" s="732"/>
      <c r="H576" s="733"/>
      <c r="I576" s="730"/>
      <c r="J576" s="731"/>
      <c r="K576" s="731"/>
      <c r="L576" s="731"/>
      <c r="M576" s="731"/>
      <c r="N576" s="731"/>
    </row>
    <row r="577">
      <c r="A577" s="408"/>
      <c r="B577" s="730"/>
      <c r="C577" s="772"/>
      <c r="D577" s="773"/>
      <c r="E577" s="772"/>
      <c r="F577" s="773"/>
      <c r="G577" s="732"/>
      <c r="H577" s="733"/>
      <c r="I577" s="730"/>
      <c r="J577" s="731"/>
      <c r="K577" s="731"/>
      <c r="L577" s="731"/>
      <c r="M577" s="731"/>
      <c r="N577" s="731"/>
    </row>
    <row r="578">
      <c r="A578" s="408"/>
      <c r="B578" s="730"/>
      <c r="C578" s="772"/>
      <c r="D578" s="773"/>
      <c r="E578" s="772"/>
      <c r="F578" s="773"/>
      <c r="G578" s="732"/>
      <c r="H578" s="733"/>
      <c r="I578" s="730"/>
      <c r="J578" s="731"/>
      <c r="K578" s="731"/>
      <c r="L578" s="731"/>
      <c r="M578" s="731"/>
      <c r="N578" s="731"/>
    </row>
    <row r="579">
      <c r="A579" s="408"/>
      <c r="B579" s="730"/>
      <c r="C579" s="772"/>
      <c r="D579" s="773"/>
      <c r="E579" s="772"/>
      <c r="F579" s="773"/>
      <c r="G579" s="732"/>
      <c r="H579" s="733"/>
      <c r="I579" s="730"/>
      <c r="J579" s="731"/>
      <c r="K579" s="731"/>
      <c r="L579" s="731"/>
      <c r="M579" s="731"/>
      <c r="N579" s="731"/>
    </row>
    <row r="580">
      <c r="A580" s="408"/>
      <c r="B580" s="730"/>
      <c r="C580" s="772"/>
      <c r="D580" s="773"/>
      <c r="E580" s="772"/>
      <c r="F580" s="773"/>
      <c r="G580" s="732"/>
      <c r="H580" s="733"/>
      <c r="I580" s="730"/>
      <c r="J580" s="731"/>
      <c r="K580" s="731"/>
      <c r="L580" s="731"/>
      <c r="M580" s="731"/>
      <c r="N580" s="731"/>
    </row>
    <row r="581">
      <c r="A581" s="408"/>
      <c r="B581" s="730"/>
      <c r="C581" s="772"/>
      <c r="D581" s="773"/>
      <c r="E581" s="772"/>
      <c r="F581" s="773"/>
      <c r="G581" s="732"/>
      <c r="H581" s="733"/>
      <c r="I581" s="730"/>
      <c r="J581" s="731"/>
      <c r="K581" s="731"/>
      <c r="L581" s="731"/>
      <c r="M581" s="731"/>
      <c r="N581" s="731"/>
    </row>
    <row r="582">
      <c r="A582" s="408"/>
      <c r="B582" s="730"/>
      <c r="C582" s="772"/>
      <c r="D582" s="773"/>
      <c r="E582" s="772"/>
      <c r="F582" s="773"/>
      <c r="G582" s="732"/>
      <c r="H582" s="733"/>
      <c r="I582" s="730"/>
      <c r="J582" s="731"/>
      <c r="K582" s="731"/>
      <c r="L582" s="731"/>
      <c r="M582" s="731"/>
      <c r="N582" s="731"/>
    </row>
    <row r="583">
      <c r="A583" s="408"/>
      <c r="B583" s="730"/>
      <c r="C583" s="772"/>
      <c r="D583" s="773"/>
      <c r="E583" s="772"/>
      <c r="F583" s="773"/>
      <c r="G583" s="732"/>
      <c r="H583" s="733"/>
      <c r="I583" s="730"/>
      <c r="J583" s="731"/>
      <c r="K583" s="731"/>
      <c r="L583" s="731"/>
      <c r="M583" s="731"/>
      <c r="N583" s="731"/>
    </row>
    <row r="584">
      <c r="A584" s="408"/>
      <c r="B584" s="730"/>
      <c r="C584" s="772"/>
      <c r="D584" s="773"/>
      <c r="E584" s="772"/>
      <c r="F584" s="773"/>
      <c r="G584" s="732"/>
      <c r="H584" s="733"/>
      <c r="I584" s="730"/>
      <c r="J584" s="731"/>
      <c r="K584" s="731"/>
      <c r="L584" s="731"/>
      <c r="M584" s="731"/>
      <c r="N584" s="731"/>
    </row>
    <row r="585">
      <c r="A585" s="408"/>
      <c r="B585" s="730"/>
      <c r="C585" s="772"/>
      <c r="D585" s="773"/>
      <c r="E585" s="772"/>
      <c r="F585" s="773"/>
      <c r="G585" s="732"/>
      <c r="H585" s="733"/>
      <c r="I585" s="730"/>
      <c r="J585" s="731"/>
      <c r="K585" s="731"/>
      <c r="L585" s="731"/>
      <c r="M585" s="731"/>
      <c r="N585" s="731"/>
    </row>
    <row r="586">
      <c r="A586" s="408"/>
      <c r="B586" s="730"/>
      <c r="C586" s="772"/>
      <c r="D586" s="773"/>
      <c r="E586" s="772"/>
      <c r="F586" s="773"/>
      <c r="G586" s="732"/>
      <c r="H586" s="733"/>
      <c r="I586" s="730"/>
      <c r="J586" s="731"/>
      <c r="K586" s="731"/>
      <c r="L586" s="731"/>
      <c r="M586" s="731"/>
      <c r="N586" s="731"/>
    </row>
    <row r="587">
      <c r="A587" s="408"/>
      <c r="B587" s="730"/>
      <c r="C587" s="772"/>
      <c r="D587" s="773"/>
      <c r="E587" s="772"/>
      <c r="F587" s="773"/>
      <c r="G587" s="732"/>
      <c r="H587" s="733"/>
      <c r="I587" s="730"/>
      <c r="J587" s="731"/>
      <c r="K587" s="731"/>
      <c r="L587" s="731"/>
      <c r="M587" s="731"/>
      <c r="N587" s="731"/>
    </row>
    <row r="588">
      <c r="A588" s="408"/>
      <c r="B588" s="730"/>
      <c r="C588" s="772"/>
      <c r="D588" s="773"/>
      <c r="E588" s="772"/>
      <c r="F588" s="773"/>
      <c r="G588" s="732"/>
      <c r="H588" s="733"/>
      <c r="I588" s="730"/>
      <c r="J588" s="731"/>
      <c r="K588" s="731"/>
      <c r="L588" s="731"/>
      <c r="M588" s="731"/>
      <c r="N588" s="731"/>
    </row>
    <row r="589">
      <c r="A589" s="408"/>
      <c r="B589" s="730"/>
      <c r="C589" s="772"/>
      <c r="D589" s="773"/>
      <c r="E589" s="772"/>
      <c r="F589" s="773"/>
      <c r="G589" s="732"/>
      <c r="H589" s="733"/>
      <c r="I589" s="730"/>
      <c r="J589" s="731"/>
      <c r="K589" s="731"/>
      <c r="L589" s="731"/>
      <c r="M589" s="731"/>
      <c r="N589" s="731"/>
    </row>
    <row r="590">
      <c r="A590" s="408"/>
      <c r="B590" s="730"/>
      <c r="C590" s="772"/>
      <c r="D590" s="773"/>
      <c r="E590" s="772"/>
      <c r="F590" s="773"/>
      <c r="G590" s="732"/>
      <c r="H590" s="733"/>
      <c r="I590" s="730"/>
      <c r="J590" s="731"/>
      <c r="K590" s="731"/>
      <c r="L590" s="731"/>
      <c r="M590" s="731"/>
      <c r="N590" s="731"/>
    </row>
    <row r="591">
      <c r="A591" s="408"/>
      <c r="B591" s="730"/>
      <c r="C591" s="772"/>
      <c r="D591" s="773"/>
      <c r="E591" s="772"/>
      <c r="F591" s="773"/>
      <c r="G591" s="732"/>
      <c r="H591" s="733"/>
      <c r="I591" s="730"/>
      <c r="J591" s="731"/>
      <c r="K591" s="731"/>
      <c r="L591" s="731"/>
      <c r="M591" s="731"/>
      <c r="N591" s="731"/>
    </row>
    <row r="592">
      <c r="A592" s="408"/>
      <c r="B592" s="730"/>
      <c r="C592" s="772"/>
      <c r="D592" s="773"/>
      <c r="E592" s="772"/>
      <c r="F592" s="773"/>
      <c r="G592" s="732"/>
      <c r="H592" s="733"/>
      <c r="I592" s="730"/>
      <c r="J592" s="731"/>
      <c r="K592" s="731"/>
      <c r="L592" s="731"/>
      <c r="M592" s="731"/>
      <c r="N592" s="731"/>
    </row>
    <row r="593">
      <c r="A593" s="408"/>
      <c r="B593" s="730"/>
      <c r="C593" s="772"/>
      <c r="D593" s="773"/>
      <c r="E593" s="772"/>
      <c r="F593" s="773"/>
      <c r="G593" s="732"/>
      <c r="H593" s="733"/>
      <c r="I593" s="730"/>
      <c r="J593" s="731"/>
      <c r="K593" s="731"/>
      <c r="L593" s="731"/>
      <c r="M593" s="731"/>
      <c r="N593" s="731"/>
    </row>
    <row r="594">
      <c r="A594" s="408"/>
      <c r="B594" s="730"/>
      <c r="C594" s="772"/>
      <c r="D594" s="773"/>
      <c r="E594" s="772"/>
      <c r="F594" s="773"/>
      <c r="G594" s="732"/>
      <c r="H594" s="733"/>
      <c r="I594" s="730"/>
      <c r="J594" s="731"/>
      <c r="K594" s="731"/>
      <c r="L594" s="731"/>
      <c r="M594" s="731"/>
      <c r="N594" s="731"/>
    </row>
    <row r="595">
      <c r="A595" s="408"/>
      <c r="B595" s="730"/>
      <c r="C595" s="772"/>
      <c r="D595" s="773"/>
      <c r="E595" s="772"/>
      <c r="F595" s="773"/>
      <c r="G595" s="732"/>
      <c r="H595" s="733"/>
      <c r="I595" s="730"/>
      <c r="J595" s="731"/>
      <c r="K595" s="731"/>
      <c r="L595" s="731"/>
      <c r="M595" s="731"/>
      <c r="N595" s="731"/>
    </row>
    <row r="596">
      <c r="A596" s="408"/>
      <c r="B596" s="730"/>
      <c r="C596" s="772"/>
      <c r="D596" s="773"/>
      <c r="E596" s="772"/>
      <c r="F596" s="773"/>
      <c r="G596" s="732"/>
      <c r="H596" s="733"/>
      <c r="I596" s="730"/>
      <c r="J596" s="731"/>
      <c r="K596" s="731"/>
      <c r="L596" s="731"/>
      <c r="M596" s="731"/>
      <c r="N596" s="731"/>
    </row>
    <row r="597">
      <c r="A597" s="408"/>
      <c r="B597" s="730"/>
      <c r="C597" s="772"/>
      <c r="D597" s="773"/>
      <c r="E597" s="772"/>
      <c r="F597" s="773"/>
      <c r="G597" s="732"/>
      <c r="H597" s="733"/>
      <c r="I597" s="730"/>
      <c r="J597" s="731"/>
      <c r="K597" s="731"/>
      <c r="L597" s="731"/>
      <c r="M597" s="731"/>
      <c r="N597" s="731"/>
    </row>
    <row r="598">
      <c r="A598" s="408"/>
      <c r="B598" s="730"/>
      <c r="C598" s="772"/>
      <c r="D598" s="773"/>
      <c r="E598" s="772"/>
      <c r="F598" s="773"/>
      <c r="G598" s="732"/>
      <c r="H598" s="733"/>
      <c r="I598" s="730"/>
      <c r="J598" s="731"/>
      <c r="K598" s="731"/>
      <c r="L598" s="731"/>
      <c r="M598" s="731"/>
      <c r="N598" s="731"/>
    </row>
    <row r="599">
      <c r="A599" s="408"/>
      <c r="B599" s="730"/>
      <c r="C599" s="772"/>
      <c r="D599" s="773"/>
      <c r="E599" s="772"/>
      <c r="F599" s="773"/>
      <c r="G599" s="732"/>
      <c r="H599" s="733"/>
      <c r="I599" s="730"/>
      <c r="J599" s="731"/>
      <c r="K599" s="731"/>
      <c r="L599" s="731"/>
      <c r="M599" s="731"/>
      <c r="N599" s="731"/>
    </row>
    <row r="600">
      <c r="A600" s="408"/>
      <c r="B600" s="730"/>
      <c r="C600" s="772"/>
      <c r="D600" s="773"/>
      <c r="E600" s="772"/>
      <c r="F600" s="773"/>
      <c r="G600" s="732"/>
      <c r="H600" s="733"/>
      <c r="I600" s="730"/>
      <c r="J600" s="731"/>
      <c r="K600" s="731"/>
      <c r="L600" s="731"/>
      <c r="M600" s="731"/>
      <c r="N600" s="731"/>
    </row>
    <row r="601">
      <c r="A601" s="408"/>
      <c r="B601" s="730"/>
      <c r="C601" s="772"/>
      <c r="D601" s="773"/>
      <c r="E601" s="772"/>
      <c r="F601" s="773"/>
      <c r="G601" s="732"/>
      <c r="H601" s="733"/>
      <c r="I601" s="730"/>
      <c r="J601" s="731"/>
      <c r="K601" s="731"/>
      <c r="L601" s="731"/>
      <c r="M601" s="731"/>
      <c r="N601" s="731"/>
    </row>
    <row r="602">
      <c r="A602" s="408"/>
      <c r="B602" s="730"/>
      <c r="C602" s="772"/>
      <c r="D602" s="773"/>
      <c r="E602" s="772"/>
      <c r="F602" s="773"/>
      <c r="G602" s="732"/>
      <c r="H602" s="733"/>
      <c r="I602" s="730"/>
      <c r="J602" s="731"/>
      <c r="K602" s="731"/>
      <c r="L602" s="731"/>
      <c r="M602" s="731"/>
      <c r="N602" s="731"/>
    </row>
    <row r="603">
      <c r="A603" s="408"/>
      <c r="B603" s="730"/>
      <c r="C603" s="772"/>
      <c r="D603" s="773"/>
      <c r="E603" s="772"/>
      <c r="F603" s="773"/>
      <c r="G603" s="732"/>
      <c r="H603" s="733"/>
      <c r="I603" s="730"/>
      <c r="J603" s="731"/>
      <c r="K603" s="731"/>
      <c r="L603" s="731"/>
      <c r="M603" s="731"/>
      <c r="N603" s="731"/>
    </row>
    <row r="604">
      <c r="A604" s="408"/>
      <c r="B604" s="730"/>
      <c r="C604" s="772"/>
      <c r="D604" s="773"/>
      <c r="E604" s="772"/>
      <c r="F604" s="773"/>
      <c r="G604" s="732"/>
      <c r="H604" s="733"/>
      <c r="I604" s="730"/>
      <c r="J604" s="731"/>
      <c r="K604" s="731"/>
      <c r="L604" s="731"/>
      <c r="M604" s="731"/>
      <c r="N604" s="731"/>
    </row>
    <row r="605">
      <c r="A605" s="408"/>
      <c r="B605" s="730"/>
      <c r="C605" s="772"/>
      <c r="D605" s="773"/>
      <c r="E605" s="772"/>
      <c r="F605" s="773"/>
      <c r="G605" s="732"/>
      <c r="H605" s="733"/>
      <c r="I605" s="730"/>
      <c r="J605" s="731"/>
      <c r="K605" s="731"/>
      <c r="L605" s="731"/>
      <c r="M605" s="731"/>
      <c r="N605" s="731"/>
    </row>
    <row r="606">
      <c r="A606" s="408"/>
      <c r="B606" s="730"/>
      <c r="C606" s="772"/>
      <c r="D606" s="773"/>
      <c r="E606" s="772"/>
      <c r="F606" s="773"/>
      <c r="G606" s="732"/>
      <c r="H606" s="733"/>
      <c r="I606" s="730"/>
      <c r="J606" s="731"/>
      <c r="K606" s="731"/>
      <c r="L606" s="731"/>
      <c r="M606" s="731"/>
      <c r="N606" s="731"/>
    </row>
    <row r="607">
      <c r="A607" s="408"/>
      <c r="B607" s="730"/>
      <c r="C607" s="772"/>
      <c r="D607" s="773"/>
      <c r="E607" s="772"/>
      <c r="F607" s="773"/>
      <c r="G607" s="732"/>
      <c r="H607" s="733"/>
      <c r="I607" s="730"/>
      <c r="J607" s="731"/>
      <c r="K607" s="731"/>
      <c r="L607" s="731"/>
      <c r="M607" s="731"/>
      <c r="N607" s="731"/>
    </row>
    <row r="608">
      <c r="A608" s="408"/>
      <c r="B608" s="730"/>
      <c r="C608" s="772"/>
      <c r="D608" s="773"/>
      <c r="E608" s="772"/>
      <c r="F608" s="773"/>
      <c r="G608" s="732"/>
      <c r="H608" s="733"/>
      <c r="I608" s="730"/>
      <c r="J608" s="731"/>
      <c r="K608" s="731"/>
      <c r="L608" s="731"/>
      <c r="M608" s="731"/>
      <c r="N608" s="731"/>
    </row>
    <row r="609">
      <c r="A609" s="408"/>
      <c r="B609" s="730"/>
      <c r="C609" s="772"/>
      <c r="D609" s="773"/>
      <c r="E609" s="772"/>
      <c r="F609" s="773"/>
      <c r="G609" s="732"/>
      <c r="H609" s="733"/>
      <c r="I609" s="730"/>
      <c r="J609" s="731"/>
      <c r="K609" s="731"/>
      <c r="L609" s="731"/>
      <c r="M609" s="731"/>
      <c r="N609" s="731"/>
    </row>
    <row r="610">
      <c r="A610" s="408"/>
      <c r="B610" s="730"/>
      <c r="C610" s="772"/>
      <c r="D610" s="773"/>
      <c r="E610" s="772"/>
      <c r="F610" s="773"/>
      <c r="G610" s="732"/>
      <c r="H610" s="733"/>
      <c r="I610" s="730"/>
      <c r="J610" s="731"/>
      <c r="K610" s="731"/>
      <c r="L610" s="731"/>
      <c r="M610" s="731"/>
      <c r="N610" s="731"/>
    </row>
    <row r="611">
      <c r="A611" s="408"/>
      <c r="B611" s="730"/>
      <c r="C611" s="772"/>
      <c r="D611" s="773"/>
      <c r="E611" s="772"/>
      <c r="F611" s="773"/>
      <c r="G611" s="732"/>
      <c r="H611" s="733"/>
      <c r="I611" s="730"/>
      <c r="J611" s="731"/>
      <c r="K611" s="731"/>
      <c r="L611" s="731"/>
      <c r="M611" s="731"/>
      <c r="N611" s="731"/>
    </row>
    <row r="612">
      <c r="A612" s="408"/>
      <c r="B612" s="730"/>
      <c r="C612" s="772"/>
      <c r="D612" s="773"/>
      <c r="E612" s="772"/>
      <c r="F612" s="773"/>
      <c r="G612" s="732"/>
      <c r="H612" s="733"/>
      <c r="I612" s="730"/>
      <c r="J612" s="731"/>
      <c r="K612" s="731"/>
      <c r="L612" s="731"/>
      <c r="M612" s="731"/>
      <c r="N612" s="731"/>
    </row>
    <row r="613">
      <c r="A613" s="408"/>
      <c r="B613" s="730"/>
      <c r="C613" s="772"/>
      <c r="D613" s="773"/>
      <c r="E613" s="772"/>
      <c r="F613" s="773"/>
      <c r="G613" s="732"/>
      <c r="H613" s="733"/>
      <c r="I613" s="730"/>
      <c r="J613" s="731"/>
      <c r="K613" s="731"/>
      <c r="L613" s="731"/>
      <c r="M613" s="731"/>
      <c r="N613" s="731"/>
    </row>
    <row r="614">
      <c r="A614" s="408"/>
      <c r="B614" s="730"/>
      <c r="C614" s="772"/>
      <c r="D614" s="773"/>
      <c r="E614" s="772"/>
      <c r="F614" s="773"/>
      <c r="G614" s="732"/>
      <c r="H614" s="733"/>
      <c r="I614" s="730"/>
      <c r="J614" s="731"/>
      <c r="K614" s="731"/>
      <c r="L614" s="731"/>
      <c r="M614" s="731"/>
      <c r="N614" s="731"/>
    </row>
    <row r="615">
      <c r="A615" s="408"/>
      <c r="B615" s="730"/>
      <c r="C615" s="772"/>
      <c r="D615" s="773"/>
      <c r="E615" s="772"/>
      <c r="F615" s="773"/>
      <c r="G615" s="732"/>
      <c r="H615" s="733"/>
      <c r="I615" s="730"/>
      <c r="J615" s="731"/>
      <c r="K615" s="731"/>
      <c r="L615" s="731"/>
      <c r="M615" s="731"/>
      <c r="N615" s="731"/>
    </row>
    <row r="616">
      <c r="A616" s="408"/>
      <c r="B616" s="730"/>
      <c r="C616" s="772"/>
      <c r="D616" s="773"/>
      <c r="E616" s="772"/>
      <c r="F616" s="773"/>
      <c r="G616" s="732"/>
      <c r="H616" s="733"/>
      <c r="I616" s="730"/>
      <c r="J616" s="731"/>
      <c r="K616" s="731"/>
      <c r="L616" s="731"/>
      <c r="M616" s="731"/>
      <c r="N616" s="731"/>
    </row>
    <row r="617">
      <c r="A617" s="408"/>
      <c r="B617" s="730"/>
      <c r="C617" s="772"/>
      <c r="D617" s="773"/>
      <c r="E617" s="772"/>
      <c r="F617" s="773"/>
      <c r="G617" s="732"/>
      <c r="H617" s="733"/>
      <c r="I617" s="730"/>
      <c r="J617" s="731"/>
      <c r="K617" s="731"/>
      <c r="L617" s="731"/>
      <c r="M617" s="731"/>
      <c r="N617" s="731"/>
    </row>
    <row r="618">
      <c r="A618" s="408"/>
      <c r="B618" s="730"/>
      <c r="C618" s="772"/>
      <c r="D618" s="773"/>
      <c r="E618" s="772"/>
      <c r="F618" s="773"/>
      <c r="G618" s="732"/>
      <c r="H618" s="733"/>
      <c r="I618" s="730"/>
      <c r="J618" s="731"/>
      <c r="K618" s="731"/>
      <c r="L618" s="731"/>
      <c r="M618" s="731"/>
      <c r="N618" s="731"/>
    </row>
    <row r="619">
      <c r="A619" s="408"/>
      <c r="B619" s="730"/>
      <c r="C619" s="772"/>
      <c r="D619" s="773"/>
      <c r="E619" s="772"/>
      <c r="F619" s="773"/>
      <c r="G619" s="732"/>
      <c r="H619" s="733"/>
      <c r="I619" s="730"/>
      <c r="J619" s="731"/>
      <c r="K619" s="731"/>
      <c r="L619" s="731"/>
      <c r="M619" s="731"/>
      <c r="N619" s="731"/>
    </row>
    <row r="620">
      <c r="A620" s="408"/>
      <c r="B620" s="730"/>
      <c r="C620" s="772"/>
      <c r="D620" s="773"/>
      <c r="E620" s="772"/>
      <c r="F620" s="773"/>
      <c r="G620" s="732"/>
      <c r="H620" s="733"/>
      <c r="I620" s="730"/>
      <c r="J620" s="731"/>
      <c r="K620" s="731"/>
      <c r="L620" s="731"/>
      <c r="M620" s="731"/>
      <c r="N620" s="731"/>
    </row>
    <row r="621">
      <c r="A621" s="408"/>
      <c r="B621" s="730"/>
      <c r="C621" s="772"/>
      <c r="D621" s="773"/>
      <c r="E621" s="772"/>
      <c r="F621" s="773"/>
      <c r="G621" s="732"/>
      <c r="H621" s="733"/>
      <c r="I621" s="730"/>
      <c r="J621" s="731"/>
      <c r="K621" s="731"/>
      <c r="L621" s="731"/>
      <c r="M621" s="731"/>
      <c r="N621" s="731"/>
    </row>
    <row r="622">
      <c r="A622" s="408"/>
      <c r="B622" s="730"/>
      <c r="C622" s="772"/>
      <c r="D622" s="773"/>
      <c r="E622" s="772"/>
      <c r="F622" s="773"/>
      <c r="G622" s="732"/>
      <c r="H622" s="733"/>
      <c r="I622" s="730"/>
      <c r="J622" s="731"/>
      <c r="K622" s="731"/>
      <c r="L622" s="731"/>
      <c r="M622" s="731"/>
      <c r="N622" s="731"/>
    </row>
    <row r="623">
      <c r="A623" s="408"/>
      <c r="B623" s="730"/>
      <c r="C623" s="772"/>
      <c r="D623" s="773"/>
      <c r="E623" s="772"/>
      <c r="F623" s="773"/>
      <c r="G623" s="732"/>
      <c r="H623" s="733"/>
      <c r="I623" s="730"/>
      <c r="J623" s="731"/>
      <c r="K623" s="731"/>
      <c r="L623" s="731"/>
      <c r="M623" s="731"/>
      <c r="N623" s="731"/>
    </row>
    <row r="624">
      <c r="A624" s="408"/>
      <c r="B624" s="730"/>
      <c r="C624" s="772"/>
      <c r="D624" s="773"/>
      <c r="E624" s="772"/>
      <c r="F624" s="773"/>
      <c r="G624" s="732"/>
      <c r="H624" s="733"/>
      <c r="I624" s="730"/>
      <c r="J624" s="731"/>
      <c r="K624" s="731"/>
      <c r="L624" s="731"/>
      <c r="M624" s="731"/>
      <c r="N624" s="731"/>
    </row>
    <row r="625">
      <c r="A625" s="408"/>
      <c r="B625" s="730"/>
      <c r="C625" s="772"/>
      <c r="D625" s="773"/>
      <c r="E625" s="772"/>
      <c r="F625" s="773"/>
      <c r="G625" s="732"/>
      <c r="H625" s="733"/>
      <c r="I625" s="730"/>
      <c r="J625" s="731"/>
      <c r="K625" s="731"/>
      <c r="L625" s="731"/>
      <c r="M625" s="731"/>
      <c r="N625" s="731"/>
    </row>
    <row r="626">
      <c r="A626" s="408"/>
      <c r="B626" s="730"/>
      <c r="C626" s="772"/>
      <c r="D626" s="773"/>
      <c r="E626" s="772"/>
      <c r="F626" s="773"/>
      <c r="G626" s="732"/>
      <c r="H626" s="733"/>
      <c r="I626" s="730"/>
      <c r="J626" s="731"/>
      <c r="K626" s="731"/>
      <c r="L626" s="731"/>
      <c r="M626" s="731"/>
      <c r="N626" s="731"/>
    </row>
    <row r="627">
      <c r="A627" s="408"/>
      <c r="B627" s="730"/>
      <c r="C627" s="772"/>
      <c r="D627" s="773"/>
      <c r="E627" s="772"/>
      <c r="F627" s="773"/>
      <c r="G627" s="732"/>
      <c r="H627" s="733"/>
      <c r="I627" s="730"/>
      <c r="J627" s="731"/>
      <c r="K627" s="731"/>
      <c r="L627" s="731"/>
      <c r="M627" s="731"/>
      <c r="N627" s="731"/>
    </row>
    <row r="628">
      <c r="A628" s="408"/>
      <c r="B628" s="730"/>
      <c r="C628" s="772"/>
      <c r="D628" s="773"/>
      <c r="E628" s="772"/>
      <c r="F628" s="773"/>
      <c r="G628" s="732"/>
      <c r="H628" s="733"/>
      <c r="I628" s="730"/>
      <c r="J628" s="731"/>
      <c r="K628" s="731"/>
      <c r="L628" s="731"/>
      <c r="M628" s="731"/>
      <c r="N628" s="731"/>
    </row>
    <row r="629">
      <c r="A629" s="408"/>
      <c r="B629" s="730"/>
      <c r="C629" s="772"/>
      <c r="D629" s="773"/>
      <c r="E629" s="772"/>
      <c r="F629" s="773"/>
      <c r="G629" s="732"/>
      <c r="H629" s="733"/>
      <c r="I629" s="730"/>
      <c r="J629" s="731"/>
      <c r="K629" s="731"/>
      <c r="L629" s="731"/>
      <c r="M629" s="731"/>
      <c r="N629" s="731"/>
    </row>
    <row r="630">
      <c r="A630" s="408"/>
      <c r="B630" s="730"/>
      <c r="C630" s="772"/>
      <c r="D630" s="773"/>
      <c r="E630" s="772"/>
      <c r="F630" s="773"/>
      <c r="G630" s="732"/>
      <c r="H630" s="733"/>
      <c r="I630" s="730"/>
      <c r="J630" s="731"/>
      <c r="K630" s="731"/>
      <c r="L630" s="731"/>
      <c r="M630" s="731"/>
      <c r="N630" s="731"/>
    </row>
    <row r="631">
      <c r="A631" s="408"/>
      <c r="B631" s="730"/>
      <c r="C631" s="772"/>
      <c r="D631" s="773"/>
      <c r="E631" s="772"/>
      <c r="F631" s="773"/>
      <c r="G631" s="732"/>
      <c r="H631" s="733"/>
      <c r="I631" s="730"/>
      <c r="J631" s="731"/>
      <c r="K631" s="731"/>
      <c r="L631" s="731"/>
      <c r="M631" s="731"/>
      <c r="N631" s="731"/>
    </row>
    <row r="632">
      <c r="A632" s="408"/>
      <c r="B632" s="730"/>
      <c r="C632" s="772"/>
      <c r="D632" s="773"/>
      <c r="E632" s="772"/>
      <c r="F632" s="773"/>
      <c r="G632" s="732"/>
      <c r="H632" s="733"/>
      <c r="I632" s="730"/>
      <c r="J632" s="731"/>
      <c r="K632" s="731"/>
      <c r="L632" s="731"/>
      <c r="M632" s="731"/>
      <c r="N632" s="731"/>
    </row>
    <row r="633">
      <c r="A633" s="408"/>
      <c r="B633" s="730"/>
      <c r="C633" s="772"/>
      <c r="D633" s="773"/>
      <c r="E633" s="772"/>
      <c r="F633" s="773"/>
      <c r="G633" s="732"/>
      <c r="H633" s="733"/>
      <c r="I633" s="730"/>
      <c r="J633" s="731"/>
      <c r="K633" s="731"/>
      <c r="L633" s="731"/>
      <c r="M633" s="731"/>
      <c r="N633" s="731"/>
    </row>
    <row r="634">
      <c r="A634" s="408"/>
      <c r="B634" s="730"/>
      <c r="C634" s="772"/>
      <c r="D634" s="773"/>
      <c r="E634" s="772"/>
      <c r="F634" s="773"/>
      <c r="G634" s="732"/>
      <c r="H634" s="733"/>
      <c r="I634" s="730"/>
      <c r="J634" s="731"/>
      <c r="K634" s="731"/>
      <c r="L634" s="731"/>
      <c r="M634" s="731"/>
      <c r="N634" s="731"/>
    </row>
    <row r="635">
      <c r="A635" s="408"/>
      <c r="B635" s="730"/>
      <c r="C635" s="772"/>
      <c r="D635" s="773"/>
      <c r="E635" s="772"/>
      <c r="F635" s="773"/>
      <c r="G635" s="732"/>
      <c r="H635" s="733"/>
      <c r="I635" s="730"/>
      <c r="J635" s="731"/>
      <c r="K635" s="731"/>
      <c r="L635" s="731"/>
      <c r="M635" s="731"/>
      <c r="N635" s="731"/>
    </row>
    <row r="636">
      <c r="A636" s="408"/>
      <c r="B636" s="730"/>
      <c r="C636" s="772"/>
      <c r="D636" s="773"/>
      <c r="E636" s="772"/>
      <c r="F636" s="773"/>
      <c r="G636" s="732"/>
      <c r="H636" s="733"/>
      <c r="I636" s="730"/>
      <c r="J636" s="731"/>
      <c r="K636" s="731"/>
      <c r="L636" s="731"/>
      <c r="M636" s="731"/>
      <c r="N636" s="731"/>
    </row>
    <row r="637">
      <c r="A637" s="408"/>
      <c r="B637" s="730"/>
      <c r="C637" s="772"/>
      <c r="D637" s="773"/>
      <c r="E637" s="772"/>
      <c r="F637" s="773"/>
      <c r="G637" s="732"/>
      <c r="H637" s="733"/>
      <c r="I637" s="730"/>
      <c r="J637" s="731"/>
      <c r="K637" s="731"/>
      <c r="L637" s="731"/>
      <c r="M637" s="731"/>
      <c r="N637" s="731"/>
    </row>
    <row r="638">
      <c r="A638" s="408"/>
      <c r="B638" s="730"/>
      <c r="C638" s="772"/>
      <c r="D638" s="773"/>
      <c r="E638" s="772"/>
      <c r="F638" s="773"/>
      <c r="G638" s="732"/>
      <c r="H638" s="733"/>
      <c r="I638" s="730"/>
      <c r="J638" s="731"/>
      <c r="K638" s="731"/>
      <c r="L638" s="731"/>
      <c r="M638" s="731"/>
      <c r="N638" s="731"/>
    </row>
    <row r="639">
      <c r="A639" s="408"/>
      <c r="B639" s="730"/>
      <c r="C639" s="772"/>
      <c r="D639" s="773"/>
      <c r="E639" s="772"/>
      <c r="F639" s="773"/>
      <c r="G639" s="732"/>
      <c r="H639" s="733"/>
      <c r="I639" s="730"/>
      <c r="J639" s="731"/>
      <c r="K639" s="731"/>
      <c r="L639" s="731"/>
      <c r="M639" s="731"/>
      <c r="N639" s="731"/>
    </row>
    <row r="640">
      <c r="A640" s="408"/>
      <c r="B640" s="730"/>
      <c r="C640" s="772"/>
      <c r="D640" s="773"/>
      <c r="E640" s="772"/>
      <c r="F640" s="773"/>
      <c r="G640" s="732"/>
      <c r="H640" s="733"/>
      <c r="I640" s="730"/>
      <c r="J640" s="731"/>
      <c r="K640" s="731"/>
      <c r="L640" s="731"/>
      <c r="M640" s="731"/>
      <c r="N640" s="731"/>
    </row>
    <row r="641">
      <c r="A641" s="408"/>
      <c r="B641" s="730"/>
      <c r="C641" s="772"/>
      <c r="D641" s="773"/>
      <c r="E641" s="772"/>
      <c r="F641" s="773"/>
      <c r="G641" s="732"/>
      <c r="H641" s="733"/>
      <c r="I641" s="730"/>
      <c r="J641" s="731"/>
      <c r="K641" s="731"/>
      <c r="L641" s="731"/>
      <c r="M641" s="731"/>
      <c r="N641" s="731"/>
    </row>
    <row r="642">
      <c r="A642" s="408"/>
      <c r="B642" s="730"/>
      <c r="C642" s="772"/>
      <c r="D642" s="773"/>
      <c r="E642" s="772"/>
      <c r="F642" s="773"/>
      <c r="G642" s="732"/>
      <c r="H642" s="733"/>
      <c r="I642" s="730"/>
      <c r="J642" s="731"/>
      <c r="K642" s="731"/>
      <c r="L642" s="731"/>
      <c r="M642" s="731"/>
      <c r="N642" s="731"/>
    </row>
    <row r="643">
      <c r="A643" s="408"/>
      <c r="B643" s="730"/>
      <c r="C643" s="772"/>
      <c r="D643" s="773"/>
      <c r="E643" s="772"/>
      <c r="F643" s="773"/>
      <c r="G643" s="732"/>
      <c r="H643" s="733"/>
      <c r="I643" s="730"/>
      <c r="J643" s="731"/>
      <c r="K643" s="731"/>
      <c r="L643" s="731"/>
      <c r="M643" s="731"/>
      <c r="N643" s="731"/>
    </row>
    <row r="644">
      <c r="A644" s="408"/>
      <c r="B644" s="730"/>
      <c r="C644" s="772"/>
      <c r="D644" s="773"/>
      <c r="E644" s="772"/>
      <c r="F644" s="773"/>
      <c r="G644" s="732"/>
      <c r="H644" s="733"/>
      <c r="I644" s="730"/>
      <c r="J644" s="731"/>
      <c r="K644" s="731"/>
      <c r="L644" s="731"/>
      <c r="M644" s="731"/>
      <c r="N644" s="731"/>
    </row>
    <row r="645">
      <c r="A645" s="408"/>
      <c r="B645" s="730"/>
      <c r="C645" s="772"/>
      <c r="D645" s="773"/>
      <c r="E645" s="772"/>
      <c r="F645" s="773"/>
      <c r="G645" s="732"/>
      <c r="H645" s="733"/>
      <c r="I645" s="730"/>
      <c r="J645" s="731"/>
      <c r="K645" s="731"/>
      <c r="L645" s="731"/>
      <c r="M645" s="731"/>
      <c r="N645" s="731"/>
    </row>
    <row r="646">
      <c r="A646" s="408"/>
      <c r="B646" s="730"/>
      <c r="C646" s="772"/>
      <c r="D646" s="773"/>
      <c r="E646" s="772"/>
      <c r="F646" s="773"/>
      <c r="G646" s="732"/>
      <c r="H646" s="733"/>
      <c r="I646" s="730"/>
      <c r="J646" s="731"/>
      <c r="K646" s="731"/>
      <c r="L646" s="731"/>
      <c r="M646" s="731"/>
      <c r="N646" s="731"/>
    </row>
    <row r="647">
      <c r="A647" s="408"/>
      <c r="B647" s="730"/>
      <c r="C647" s="772"/>
      <c r="D647" s="773"/>
      <c r="E647" s="772"/>
      <c r="F647" s="773"/>
      <c r="G647" s="732"/>
      <c r="H647" s="733"/>
      <c r="I647" s="730"/>
      <c r="J647" s="731"/>
      <c r="K647" s="731"/>
      <c r="L647" s="731"/>
      <c r="M647" s="731"/>
      <c r="N647" s="731"/>
    </row>
    <row r="648">
      <c r="A648" s="408"/>
      <c r="B648" s="730"/>
      <c r="C648" s="772"/>
      <c r="D648" s="773"/>
      <c r="E648" s="772"/>
      <c r="F648" s="773"/>
      <c r="G648" s="732"/>
      <c r="H648" s="733"/>
      <c r="I648" s="730"/>
      <c r="J648" s="731"/>
      <c r="K648" s="731"/>
      <c r="L648" s="731"/>
      <c r="M648" s="731"/>
      <c r="N648" s="731"/>
    </row>
    <row r="649">
      <c r="A649" s="408"/>
      <c r="B649" s="730"/>
      <c r="C649" s="772"/>
      <c r="D649" s="773"/>
      <c r="E649" s="772"/>
      <c r="F649" s="773"/>
      <c r="G649" s="732"/>
      <c r="H649" s="733"/>
      <c r="I649" s="730"/>
      <c r="J649" s="731"/>
      <c r="K649" s="731"/>
      <c r="L649" s="731"/>
      <c r="M649" s="731"/>
      <c r="N649" s="731"/>
    </row>
    <row r="650">
      <c r="A650" s="408"/>
      <c r="B650" s="730"/>
      <c r="C650" s="772"/>
      <c r="D650" s="773"/>
      <c r="E650" s="772"/>
      <c r="F650" s="773"/>
      <c r="G650" s="732"/>
      <c r="H650" s="733"/>
      <c r="I650" s="730"/>
      <c r="J650" s="731"/>
      <c r="K650" s="731"/>
      <c r="L650" s="731"/>
      <c r="M650" s="731"/>
      <c r="N650" s="731"/>
    </row>
    <row r="651">
      <c r="A651" s="408"/>
      <c r="B651" s="730"/>
      <c r="C651" s="772"/>
      <c r="D651" s="773"/>
      <c r="E651" s="772"/>
      <c r="F651" s="773"/>
      <c r="G651" s="732"/>
      <c r="H651" s="733"/>
      <c r="I651" s="730"/>
      <c r="J651" s="731"/>
      <c r="K651" s="731"/>
      <c r="L651" s="731"/>
      <c r="M651" s="731"/>
      <c r="N651" s="731"/>
    </row>
    <row r="652">
      <c r="A652" s="408"/>
      <c r="B652" s="730"/>
      <c r="C652" s="772"/>
      <c r="D652" s="773"/>
      <c r="E652" s="772"/>
      <c r="F652" s="773"/>
      <c r="G652" s="732"/>
      <c r="H652" s="733"/>
      <c r="I652" s="730"/>
      <c r="J652" s="731"/>
      <c r="K652" s="731"/>
      <c r="L652" s="731"/>
      <c r="M652" s="731"/>
      <c r="N652" s="731"/>
    </row>
    <row r="653">
      <c r="A653" s="408"/>
      <c r="B653" s="730"/>
      <c r="C653" s="772"/>
      <c r="D653" s="773"/>
      <c r="E653" s="772"/>
      <c r="F653" s="773"/>
      <c r="G653" s="732"/>
      <c r="H653" s="733"/>
      <c r="I653" s="730"/>
      <c r="J653" s="731"/>
      <c r="K653" s="731"/>
      <c r="L653" s="731"/>
      <c r="M653" s="731"/>
      <c r="N653" s="731"/>
    </row>
    <row r="654">
      <c r="A654" s="408"/>
      <c r="B654" s="730"/>
      <c r="C654" s="772"/>
      <c r="D654" s="773"/>
      <c r="E654" s="772"/>
      <c r="F654" s="773"/>
      <c r="G654" s="732"/>
      <c r="H654" s="733"/>
      <c r="I654" s="730"/>
      <c r="J654" s="731"/>
      <c r="K654" s="731"/>
      <c r="L654" s="731"/>
      <c r="M654" s="731"/>
      <c r="N654" s="731"/>
    </row>
    <row r="655">
      <c r="A655" s="408"/>
      <c r="B655" s="730"/>
      <c r="C655" s="772"/>
      <c r="D655" s="773"/>
      <c r="E655" s="772"/>
      <c r="F655" s="773"/>
      <c r="G655" s="732"/>
      <c r="H655" s="733"/>
      <c r="I655" s="730"/>
      <c r="J655" s="731"/>
      <c r="K655" s="731"/>
      <c r="L655" s="731"/>
      <c r="M655" s="731"/>
      <c r="N655" s="731"/>
    </row>
    <row r="656">
      <c r="A656" s="408"/>
      <c r="B656" s="730"/>
      <c r="C656" s="772"/>
      <c r="D656" s="773"/>
      <c r="E656" s="772"/>
      <c r="F656" s="773"/>
      <c r="G656" s="732"/>
      <c r="H656" s="733"/>
      <c r="I656" s="730"/>
      <c r="J656" s="731"/>
      <c r="K656" s="731"/>
      <c r="L656" s="731"/>
      <c r="M656" s="731"/>
      <c r="N656" s="731"/>
    </row>
    <row r="657">
      <c r="A657" s="408"/>
      <c r="B657" s="730"/>
      <c r="C657" s="772"/>
      <c r="D657" s="773"/>
      <c r="E657" s="772"/>
      <c r="F657" s="773"/>
      <c r="G657" s="732"/>
      <c r="H657" s="733"/>
      <c r="I657" s="730"/>
      <c r="J657" s="731"/>
      <c r="K657" s="731"/>
      <c r="L657" s="731"/>
      <c r="M657" s="731"/>
      <c r="N657" s="731"/>
    </row>
    <row r="658">
      <c r="A658" s="408"/>
      <c r="B658" s="730"/>
      <c r="C658" s="772"/>
      <c r="D658" s="773"/>
      <c r="E658" s="772"/>
      <c r="F658" s="773"/>
      <c r="G658" s="732"/>
      <c r="H658" s="733"/>
      <c r="I658" s="730"/>
      <c r="J658" s="731"/>
      <c r="K658" s="731"/>
      <c r="L658" s="731"/>
      <c r="M658" s="731"/>
      <c r="N658" s="731"/>
    </row>
    <row r="659">
      <c r="A659" s="408"/>
      <c r="B659" s="730"/>
      <c r="C659" s="772"/>
      <c r="D659" s="773"/>
      <c r="E659" s="772"/>
      <c r="F659" s="773"/>
      <c r="G659" s="732"/>
      <c r="H659" s="733"/>
      <c r="I659" s="730"/>
      <c r="J659" s="731"/>
      <c r="K659" s="731"/>
      <c r="L659" s="731"/>
      <c r="M659" s="731"/>
      <c r="N659" s="731"/>
    </row>
    <row r="660">
      <c r="A660" s="408"/>
      <c r="B660" s="730"/>
      <c r="C660" s="772"/>
      <c r="D660" s="773"/>
      <c r="E660" s="772"/>
      <c r="F660" s="773"/>
      <c r="G660" s="732"/>
      <c r="H660" s="733"/>
      <c r="I660" s="730"/>
      <c r="J660" s="731"/>
      <c r="K660" s="731"/>
      <c r="L660" s="731"/>
      <c r="M660" s="731"/>
      <c r="N660" s="731"/>
    </row>
    <row r="661">
      <c r="A661" s="408"/>
      <c r="B661" s="730"/>
      <c r="C661" s="772"/>
      <c r="D661" s="773"/>
      <c r="E661" s="772"/>
      <c r="F661" s="773"/>
      <c r="G661" s="732"/>
      <c r="H661" s="733"/>
      <c r="I661" s="730"/>
      <c r="J661" s="731"/>
      <c r="K661" s="731"/>
      <c r="L661" s="731"/>
      <c r="M661" s="731"/>
      <c r="N661" s="731"/>
    </row>
    <row r="662">
      <c r="A662" s="408"/>
      <c r="B662" s="730"/>
      <c r="C662" s="772"/>
      <c r="D662" s="773"/>
      <c r="E662" s="772"/>
      <c r="F662" s="773"/>
      <c r="G662" s="732"/>
      <c r="H662" s="733"/>
      <c r="I662" s="730"/>
      <c r="J662" s="731"/>
      <c r="K662" s="731"/>
      <c r="L662" s="731"/>
      <c r="M662" s="731"/>
      <c r="N662" s="731"/>
    </row>
    <row r="663">
      <c r="A663" s="408"/>
      <c r="B663" s="730"/>
      <c r="C663" s="772"/>
      <c r="D663" s="773"/>
      <c r="E663" s="772"/>
      <c r="F663" s="773"/>
      <c r="G663" s="732"/>
      <c r="H663" s="733"/>
      <c r="I663" s="730"/>
      <c r="J663" s="731"/>
      <c r="K663" s="731"/>
      <c r="L663" s="731"/>
      <c r="M663" s="731"/>
      <c r="N663" s="731"/>
    </row>
    <row r="664">
      <c r="A664" s="408"/>
      <c r="B664" s="730"/>
      <c r="C664" s="772"/>
      <c r="D664" s="773"/>
      <c r="E664" s="772"/>
      <c r="F664" s="773"/>
      <c r="G664" s="732"/>
      <c r="H664" s="733"/>
      <c r="I664" s="730"/>
      <c r="J664" s="731"/>
      <c r="K664" s="731"/>
      <c r="L664" s="731"/>
      <c r="M664" s="731"/>
      <c r="N664" s="731"/>
    </row>
    <row r="665">
      <c r="A665" s="408"/>
      <c r="B665" s="730"/>
      <c r="C665" s="772"/>
      <c r="D665" s="773"/>
      <c r="E665" s="772"/>
      <c r="F665" s="773"/>
      <c r="G665" s="732"/>
      <c r="H665" s="733"/>
      <c r="I665" s="730"/>
      <c r="J665" s="731"/>
      <c r="K665" s="731"/>
      <c r="L665" s="731"/>
      <c r="M665" s="731"/>
      <c r="N665" s="731"/>
    </row>
    <row r="666">
      <c r="A666" s="408"/>
      <c r="B666" s="730"/>
      <c r="C666" s="772"/>
      <c r="D666" s="773"/>
      <c r="E666" s="772"/>
      <c r="F666" s="773"/>
      <c r="G666" s="732"/>
      <c r="H666" s="733"/>
      <c r="I666" s="730"/>
      <c r="J666" s="731"/>
      <c r="K666" s="731"/>
      <c r="L666" s="731"/>
      <c r="M666" s="731"/>
      <c r="N666" s="731"/>
    </row>
    <row r="667">
      <c r="A667" s="408"/>
      <c r="B667" s="730"/>
      <c r="C667" s="772"/>
      <c r="D667" s="773"/>
      <c r="E667" s="772"/>
      <c r="F667" s="773"/>
      <c r="G667" s="732"/>
      <c r="H667" s="733"/>
      <c r="I667" s="730"/>
      <c r="J667" s="731"/>
      <c r="K667" s="731"/>
      <c r="L667" s="731"/>
      <c r="M667" s="731"/>
      <c r="N667" s="731"/>
    </row>
    <row r="668">
      <c r="A668" s="408"/>
      <c r="B668" s="730"/>
      <c r="C668" s="772"/>
      <c r="D668" s="773"/>
      <c r="E668" s="772"/>
      <c r="F668" s="773"/>
      <c r="G668" s="732"/>
      <c r="H668" s="733"/>
      <c r="I668" s="730"/>
      <c r="J668" s="731"/>
      <c r="K668" s="731"/>
      <c r="L668" s="731"/>
      <c r="M668" s="731"/>
      <c r="N668" s="731"/>
    </row>
    <row r="669">
      <c r="A669" s="408"/>
      <c r="B669" s="730"/>
      <c r="C669" s="772"/>
      <c r="D669" s="773"/>
      <c r="E669" s="772"/>
      <c r="F669" s="773"/>
      <c r="G669" s="732"/>
      <c r="H669" s="733"/>
      <c r="I669" s="730"/>
      <c r="J669" s="731"/>
      <c r="K669" s="731"/>
      <c r="L669" s="731"/>
      <c r="M669" s="731"/>
      <c r="N669" s="731"/>
    </row>
    <row r="670">
      <c r="A670" s="408"/>
      <c r="B670" s="730"/>
      <c r="C670" s="772"/>
      <c r="D670" s="773"/>
      <c r="E670" s="772"/>
      <c r="F670" s="773"/>
      <c r="G670" s="732"/>
      <c r="H670" s="733"/>
      <c r="I670" s="730"/>
      <c r="J670" s="731"/>
      <c r="K670" s="731"/>
      <c r="L670" s="731"/>
      <c r="M670" s="731"/>
      <c r="N670" s="731"/>
    </row>
    <row r="671">
      <c r="A671" s="408"/>
      <c r="B671" s="730"/>
      <c r="C671" s="772"/>
      <c r="D671" s="773"/>
      <c r="E671" s="772"/>
      <c r="F671" s="773"/>
      <c r="G671" s="732"/>
      <c r="H671" s="733"/>
      <c r="I671" s="730"/>
      <c r="J671" s="731"/>
      <c r="K671" s="731"/>
      <c r="L671" s="731"/>
      <c r="M671" s="731"/>
      <c r="N671" s="731"/>
    </row>
    <row r="672">
      <c r="A672" s="408"/>
      <c r="B672" s="730"/>
      <c r="C672" s="772"/>
      <c r="D672" s="773"/>
      <c r="E672" s="772"/>
      <c r="F672" s="773"/>
      <c r="G672" s="732"/>
      <c r="H672" s="733"/>
      <c r="I672" s="730"/>
      <c r="J672" s="731"/>
      <c r="K672" s="731"/>
      <c r="L672" s="731"/>
      <c r="M672" s="731"/>
      <c r="N672" s="731"/>
    </row>
    <row r="673">
      <c r="A673" s="408"/>
      <c r="B673" s="730"/>
      <c r="C673" s="772"/>
      <c r="D673" s="773"/>
      <c r="E673" s="772"/>
      <c r="F673" s="773"/>
      <c r="G673" s="732"/>
      <c r="H673" s="733"/>
      <c r="I673" s="730"/>
      <c r="J673" s="731"/>
      <c r="K673" s="731"/>
      <c r="L673" s="731"/>
      <c r="M673" s="731"/>
      <c r="N673" s="731"/>
    </row>
    <row r="674">
      <c r="A674" s="408"/>
      <c r="B674" s="730"/>
      <c r="C674" s="772"/>
      <c r="D674" s="773"/>
      <c r="E674" s="772"/>
      <c r="F674" s="773"/>
      <c r="G674" s="732"/>
      <c r="H674" s="733"/>
      <c r="I674" s="730"/>
      <c r="J674" s="731"/>
      <c r="K674" s="731"/>
      <c r="L674" s="731"/>
      <c r="M674" s="731"/>
      <c r="N674" s="731"/>
    </row>
    <row r="675">
      <c r="A675" s="408"/>
      <c r="B675" s="730"/>
      <c r="C675" s="772"/>
      <c r="D675" s="773"/>
      <c r="E675" s="772"/>
      <c r="F675" s="773"/>
      <c r="G675" s="732"/>
      <c r="H675" s="733"/>
      <c r="I675" s="730"/>
      <c r="J675" s="731"/>
      <c r="K675" s="731"/>
      <c r="L675" s="731"/>
      <c r="M675" s="731"/>
      <c r="N675" s="731"/>
    </row>
    <row r="676">
      <c r="A676" s="408"/>
      <c r="B676" s="730"/>
      <c r="C676" s="772"/>
      <c r="D676" s="773"/>
      <c r="E676" s="772"/>
      <c r="F676" s="773"/>
      <c r="G676" s="732"/>
      <c r="H676" s="733"/>
      <c r="I676" s="730"/>
      <c r="J676" s="731"/>
      <c r="K676" s="731"/>
      <c r="L676" s="731"/>
      <c r="M676" s="731"/>
      <c r="N676" s="731"/>
    </row>
    <row r="677">
      <c r="A677" s="408"/>
      <c r="B677" s="730"/>
      <c r="C677" s="772"/>
      <c r="D677" s="773"/>
      <c r="E677" s="772"/>
      <c r="F677" s="773"/>
      <c r="G677" s="732"/>
      <c r="H677" s="733"/>
      <c r="I677" s="730"/>
      <c r="J677" s="731"/>
      <c r="K677" s="731"/>
      <c r="L677" s="731"/>
      <c r="M677" s="731"/>
      <c r="N677" s="731"/>
    </row>
    <row r="678">
      <c r="A678" s="408"/>
      <c r="B678" s="730"/>
      <c r="C678" s="772"/>
      <c r="D678" s="773"/>
      <c r="E678" s="772"/>
      <c r="F678" s="773"/>
      <c r="G678" s="732"/>
      <c r="H678" s="733"/>
      <c r="I678" s="730"/>
      <c r="J678" s="731"/>
      <c r="K678" s="731"/>
      <c r="L678" s="731"/>
      <c r="M678" s="731"/>
      <c r="N678" s="731"/>
    </row>
    <row r="679">
      <c r="A679" s="408"/>
      <c r="B679" s="730"/>
      <c r="C679" s="772"/>
      <c r="D679" s="773"/>
      <c r="E679" s="772"/>
      <c r="F679" s="773"/>
      <c r="G679" s="732"/>
      <c r="H679" s="733"/>
      <c r="I679" s="730"/>
      <c r="J679" s="731"/>
      <c r="K679" s="731"/>
      <c r="L679" s="731"/>
      <c r="M679" s="731"/>
      <c r="N679" s="731"/>
    </row>
    <row r="680">
      <c r="A680" s="408"/>
      <c r="B680" s="730"/>
      <c r="C680" s="772"/>
      <c r="D680" s="773"/>
      <c r="E680" s="772"/>
      <c r="F680" s="773"/>
      <c r="G680" s="732"/>
      <c r="H680" s="733"/>
      <c r="I680" s="730"/>
      <c r="J680" s="731"/>
      <c r="K680" s="731"/>
      <c r="L680" s="731"/>
      <c r="M680" s="731"/>
      <c r="N680" s="731"/>
    </row>
    <row r="681">
      <c r="A681" s="408"/>
      <c r="B681" s="730"/>
      <c r="C681" s="772"/>
      <c r="D681" s="773"/>
      <c r="E681" s="772"/>
      <c r="F681" s="773"/>
      <c r="G681" s="732"/>
      <c r="H681" s="733"/>
      <c r="I681" s="730"/>
      <c r="J681" s="731"/>
      <c r="K681" s="731"/>
      <c r="L681" s="731"/>
      <c r="M681" s="731"/>
      <c r="N681" s="731"/>
    </row>
    <row r="682">
      <c r="A682" s="408"/>
      <c r="B682" s="730"/>
      <c r="C682" s="772"/>
      <c r="D682" s="773"/>
      <c r="E682" s="772"/>
      <c r="F682" s="773"/>
      <c r="G682" s="732"/>
      <c r="H682" s="733"/>
      <c r="I682" s="730"/>
      <c r="J682" s="731"/>
      <c r="K682" s="731"/>
      <c r="L682" s="731"/>
      <c r="M682" s="731"/>
      <c r="N682" s="731"/>
    </row>
    <row r="683">
      <c r="A683" s="408"/>
      <c r="B683" s="730"/>
      <c r="C683" s="772"/>
      <c r="D683" s="773"/>
      <c r="E683" s="772"/>
      <c r="F683" s="773"/>
      <c r="G683" s="732"/>
      <c r="H683" s="733"/>
      <c r="I683" s="730"/>
      <c r="J683" s="731"/>
      <c r="K683" s="731"/>
      <c r="L683" s="731"/>
      <c r="M683" s="731"/>
      <c r="N683" s="731"/>
    </row>
    <row r="684">
      <c r="A684" s="408"/>
      <c r="B684" s="730"/>
      <c r="C684" s="772"/>
      <c r="D684" s="773"/>
      <c r="E684" s="772"/>
      <c r="F684" s="773"/>
      <c r="G684" s="732"/>
      <c r="H684" s="733"/>
      <c r="I684" s="730"/>
      <c r="J684" s="731"/>
      <c r="K684" s="731"/>
      <c r="L684" s="731"/>
      <c r="M684" s="731"/>
      <c r="N684" s="731"/>
    </row>
    <row r="685">
      <c r="A685" s="408"/>
      <c r="B685" s="730"/>
      <c r="C685" s="772"/>
      <c r="D685" s="773"/>
      <c r="E685" s="772"/>
      <c r="F685" s="773"/>
      <c r="G685" s="732"/>
      <c r="H685" s="733"/>
      <c r="I685" s="730"/>
      <c r="J685" s="731"/>
      <c r="K685" s="731"/>
      <c r="L685" s="731"/>
      <c r="M685" s="731"/>
      <c r="N685" s="731"/>
    </row>
    <row r="686">
      <c r="A686" s="408"/>
      <c r="B686" s="730"/>
      <c r="C686" s="772"/>
      <c r="D686" s="773"/>
      <c r="E686" s="772"/>
      <c r="F686" s="773"/>
      <c r="G686" s="732"/>
      <c r="H686" s="733"/>
      <c r="I686" s="730"/>
      <c r="J686" s="731"/>
      <c r="K686" s="731"/>
      <c r="L686" s="731"/>
      <c r="M686" s="731"/>
      <c r="N686" s="731"/>
    </row>
    <row r="687">
      <c r="A687" s="408"/>
      <c r="B687" s="730"/>
      <c r="C687" s="772"/>
      <c r="D687" s="773"/>
      <c r="E687" s="772"/>
      <c r="F687" s="773"/>
      <c r="G687" s="732"/>
      <c r="H687" s="733"/>
      <c r="I687" s="730"/>
      <c r="J687" s="731"/>
      <c r="K687" s="731"/>
      <c r="L687" s="731"/>
      <c r="M687" s="731"/>
      <c r="N687" s="731"/>
    </row>
    <row r="688">
      <c r="A688" s="408"/>
      <c r="B688" s="730"/>
      <c r="C688" s="772"/>
      <c r="D688" s="773"/>
      <c r="E688" s="772"/>
      <c r="F688" s="773"/>
      <c r="G688" s="732"/>
      <c r="H688" s="733"/>
      <c r="I688" s="730"/>
      <c r="J688" s="731"/>
      <c r="K688" s="731"/>
      <c r="L688" s="731"/>
      <c r="M688" s="731"/>
      <c r="N688" s="731"/>
    </row>
    <row r="689">
      <c r="A689" s="408"/>
      <c r="B689" s="730"/>
      <c r="C689" s="772"/>
      <c r="D689" s="773"/>
      <c r="E689" s="772"/>
      <c r="F689" s="773"/>
      <c r="G689" s="732"/>
      <c r="H689" s="733"/>
      <c r="I689" s="730"/>
      <c r="J689" s="731"/>
      <c r="K689" s="731"/>
      <c r="L689" s="731"/>
      <c r="M689" s="731"/>
      <c r="N689" s="731"/>
    </row>
    <row r="690">
      <c r="A690" s="408"/>
      <c r="B690" s="730"/>
      <c r="C690" s="772"/>
      <c r="D690" s="773"/>
      <c r="E690" s="772"/>
      <c r="F690" s="773"/>
      <c r="G690" s="732"/>
      <c r="H690" s="733"/>
      <c r="I690" s="730"/>
      <c r="J690" s="731"/>
      <c r="K690" s="731"/>
      <c r="L690" s="731"/>
      <c r="M690" s="731"/>
      <c r="N690" s="731"/>
    </row>
    <row r="691">
      <c r="A691" s="408"/>
      <c r="B691" s="730"/>
      <c r="C691" s="772"/>
      <c r="D691" s="773"/>
      <c r="E691" s="772"/>
      <c r="F691" s="773"/>
      <c r="G691" s="732"/>
      <c r="H691" s="733"/>
      <c r="I691" s="730"/>
      <c r="J691" s="731"/>
      <c r="K691" s="731"/>
      <c r="L691" s="731"/>
      <c r="M691" s="731"/>
      <c r="N691" s="731"/>
    </row>
    <row r="692">
      <c r="A692" s="408"/>
      <c r="B692" s="730"/>
      <c r="C692" s="772"/>
      <c r="D692" s="773"/>
      <c r="E692" s="772"/>
      <c r="F692" s="773"/>
      <c r="G692" s="732"/>
      <c r="H692" s="733"/>
      <c r="I692" s="730"/>
      <c r="J692" s="731"/>
      <c r="K692" s="731"/>
      <c r="L692" s="731"/>
      <c r="M692" s="731"/>
      <c r="N692" s="731"/>
    </row>
    <row r="693">
      <c r="A693" s="408"/>
      <c r="B693" s="730"/>
      <c r="C693" s="772"/>
      <c r="D693" s="773"/>
      <c r="E693" s="772"/>
      <c r="F693" s="773"/>
      <c r="G693" s="732"/>
      <c r="H693" s="733"/>
      <c r="I693" s="730"/>
      <c r="J693" s="731"/>
      <c r="K693" s="731"/>
      <c r="L693" s="731"/>
      <c r="M693" s="731"/>
      <c r="N693" s="731"/>
    </row>
    <row r="694">
      <c r="A694" s="408"/>
      <c r="B694" s="730"/>
      <c r="C694" s="772"/>
      <c r="D694" s="773"/>
      <c r="E694" s="772"/>
      <c r="F694" s="773"/>
      <c r="G694" s="732"/>
      <c r="H694" s="733"/>
      <c r="I694" s="730"/>
      <c r="J694" s="731"/>
      <c r="K694" s="731"/>
      <c r="L694" s="731"/>
      <c r="M694" s="731"/>
      <c r="N694" s="731"/>
    </row>
    <row r="695">
      <c r="A695" s="408"/>
      <c r="B695" s="730"/>
      <c r="C695" s="772"/>
      <c r="D695" s="773"/>
      <c r="E695" s="772"/>
      <c r="F695" s="773"/>
      <c r="G695" s="732"/>
      <c r="H695" s="733"/>
      <c r="I695" s="730"/>
      <c r="J695" s="731"/>
      <c r="K695" s="731"/>
      <c r="L695" s="731"/>
      <c r="M695" s="731"/>
      <c r="N695" s="731"/>
    </row>
    <row r="696">
      <c r="A696" s="408"/>
      <c r="B696" s="730"/>
      <c r="C696" s="772"/>
      <c r="D696" s="773"/>
      <c r="E696" s="772"/>
      <c r="F696" s="773"/>
      <c r="G696" s="732"/>
      <c r="H696" s="733"/>
      <c r="I696" s="730"/>
      <c r="J696" s="731"/>
      <c r="K696" s="731"/>
      <c r="L696" s="731"/>
      <c r="M696" s="731"/>
      <c r="N696" s="731"/>
    </row>
    <row r="697">
      <c r="A697" s="408"/>
      <c r="B697" s="730"/>
      <c r="C697" s="772"/>
      <c r="D697" s="773"/>
      <c r="E697" s="772"/>
      <c r="F697" s="773"/>
      <c r="G697" s="732"/>
      <c r="H697" s="733"/>
      <c r="I697" s="730"/>
      <c r="J697" s="731"/>
      <c r="K697" s="731"/>
      <c r="L697" s="731"/>
      <c r="M697" s="731"/>
      <c r="N697" s="731"/>
    </row>
    <row r="698">
      <c r="A698" s="408"/>
      <c r="B698" s="730"/>
      <c r="C698" s="772"/>
      <c r="D698" s="773"/>
      <c r="E698" s="772"/>
      <c r="F698" s="773"/>
      <c r="G698" s="732"/>
      <c r="H698" s="733"/>
      <c r="I698" s="730"/>
      <c r="J698" s="731"/>
      <c r="K698" s="731"/>
      <c r="L698" s="731"/>
      <c r="M698" s="731"/>
      <c r="N698" s="731"/>
    </row>
    <row r="699">
      <c r="A699" s="408"/>
      <c r="B699" s="730"/>
      <c r="C699" s="772"/>
      <c r="D699" s="773"/>
      <c r="E699" s="772"/>
      <c r="F699" s="773"/>
      <c r="G699" s="732"/>
      <c r="H699" s="733"/>
      <c r="I699" s="730"/>
      <c r="J699" s="731"/>
      <c r="K699" s="731"/>
      <c r="L699" s="731"/>
      <c r="M699" s="731"/>
      <c r="N699" s="731"/>
    </row>
    <row r="700">
      <c r="A700" s="408"/>
      <c r="B700" s="730"/>
      <c r="C700" s="772"/>
      <c r="D700" s="773"/>
      <c r="E700" s="772"/>
      <c r="F700" s="773"/>
      <c r="G700" s="732"/>
      <c r="H700" s="733"/>
      <c r="I700" s="730"/>
      <c r="J700" s="731"/>
      <c r="K700" s="731"/>
      <c r="L700" s="731"/>
      <c r="M700" s="731"/>
      <c r="N700" s="731"/>
    </row>
    <row r="701">
      <c r="A701" s="408"/>
      <c r="B701" s="730"/>
      <c r="C701" s="772"/>
      <c r="D701" s="773"/>
      <c r="E701" s="772"/>
      <c r="F701" s="773"/>
      <c r="G701" s="732"/>
      <c r="H701" s="733"/>
      <c r="I701" s="730"/>
      <c r="J701" s="731"/>
      <c r="K701" s="731"/>
      <c r="L701" s="731"/>
      <c r="M701" s="731"/>
      <c r="N701" s="731"/>
    </row>
    <row r="702">
      <c r="A702" s="408"/>
      <c r="B702" s="730"/>
      <c r="C702" s="772"/>
      <c r="D702" s="773"/>
      <c r="E702" s="772"/>
      <c r="F702" s="773"/>
      <c r="G702" s="732"/>
      <c r="H702" s="733"/>
      <c r="I702" s="730"/>
      <c r="J702" s="731"/>
      <c r="K702" s="731"/>
      <c r="L702" s="731"/>
      <c r="M702" s="731"/>
      <c r="N702" s="731"/>
    </row>
    <row r="703">
      <c r="A703" s="408"/>
      <c r="B703" s="730"/>
      <c r="C703" s="772"/>
      <c r="D703" s="773"/>
      <c r="E703" s="772"/>
      <c r="F703" s="773"/>
      <c r="G703" s="732"/>
      <c r="H703" s="733"/>
      <c r="I703" s="730"/>
      <c r="J703" s="731"/>
      <c r="K703" s="731"/>
      <c r="L703" s="731"/>
      <c r="M703" s="731"/>
      <c r="N703" s="731"/>
    </row>
    <row r="704">
      <c r="A704" s="408"/>
      <c r="B704" s="730"/>
      <c r="C704" s="772"/>
      <c r="D704" s="773"/>
      <c r="E704" s="772"/>
      <c r="F704" s="773"/>
      <c r="G704" s="732"/>
      <c r="H704" s="733"/>
      <c r="I704" s="730"/>
      <c r="J704" s="731"/>
      <c r="K704" s="731"/>
      <c r="L704" s="731"/>
      <c r="M704" s="731"/>
      <c r="N704" s="731"/>
    </row>
    <row r="705">
      <c r="A705" s="408"/>
      <c r="B705" s="730"/>
      <c r="C705" s="772"/>
      <c r="D705" s="773"/>
      <c r="E705" s="772"/>
      <c r="F705" s="773"/>
      <c r="G705" s="732"/>
      <c r="H705" s="733"/>
      <c r="I705" s="730"/>
      <c r="J705" s="731"/>
      <c r="K705" s="731"/>
      <c r="L705" s="731"/>
      <c r="M705" s="731"/>
      <c r="N705" s="731"/>
    </row>
    <row r="706">
      <c r="A706" s="408"/>
      <c r="B706" s="730"/>
      <c r="C706" s="772"/>
      <c r="D706" s="773"/>
      <c r="E706" s="772"/>
      <c r="F706" s="773"/>
      <c r="G706" s="732"/>
      <c r="H706" s="733"/>
      <c r="I706" s="730"/>
      <c r="J706" s="731"/>
      <c r="K706" s="731"/>
      <c r="L706" s="731"/>
      <c r="M706" s="731"/>
      <c r="N706" s="731"/>
    </row>
    <row r="707">
      <c r="A707" s="408"/>
      <c r="B707" s="730"/>
      <c r="C707" s="772"/>
      <c r="D707" s="773"/>
      <c r="E707" s="772"/>
      <c r="F707" s="773"/>
      <c r="G707" s="732"/>
      <c r="H707" s="733"/>
      <c r="I707" s="730"/>
      <c r="J707" s="731"/>
      <c r="K707" s="731"/>
      <c r="L707" s="731"/>
      <c r="M707" s="731"/>
      <c r="N707" s="731"/>
    </row>
    <row r="708">
      <c r="A708" s="408"/>
      <c r="B708" s="730"/>
      <c r="C708" s="772"/>
      <c r="D708" s="773"/>
      <c r="E708" s="772"/>
      <c r="F708" s="773"/>
      <c r="G708" s="732"/>
      <c r="H708" s="733"/>
      <c r="I708" s="730"/>
      <c r="J708" s="731"/>
      <c r="K708" s="731"/>
      <c r="L708" s="731"/>
      <c r="M708" s="731"/>
      <c r="N708" s="731"/>
    </row>
    <row r="709">
      <c r="A709" s="408"/>
      <c r="B709" s="730"/>
      <c r="C709" s="772"/>
      <c r="D709" s="773"/>
      <c r="E709" s="772"/>
      <c r="F709" s="773"/>
      <c r="G709" s="732"/>
      <c r="H709" s="733"/>
      <c r="I709" s="730"/>
      <c r="J709" s="731"/>
      <c r="K709" s="731"/>
      <c r="L709" s="731"/>
      <c r="M709" s="731"/>
      <c r="N709" s="731"/>
    </row>
    <row r="710">
      <c r="A710" s="408"/>
      <c r="B710" s="730"/>
      <c r="C710" s="772"/>
      <c r="D710" s="773"/>
      <c r="E710" s="772"/>
      <c r="F710" s="773"/>
      <c r="G710" s="732"/>
      <c r="H710" s="733"/>
      <c r="I710" s="730"/>
      <c r="J710" s="731"/>
      <c r="K710" s="731"/>
      <c r="L710" s="731"/>
      <c r="M710" s="731"/>
      <c r="N710" s="731"/>
    </row>
    <row r="711">
      <c r="A711" s="408"/>
      <c r="B711" s="730"/>
      <c r="C711" s="772"/>
      <c r="D711" s="773"/>
      <c r="E711" s="772"/>
      <c r="F711" s="773"/>
      <c r="G711" s="732"/>
      <c r="H711" s="733"/>
      <c r="I711" s="730"/>
      <c r="J711" s="731"/>
      <c r="K711" s="731"/>
      <c r="L711" s="731"/>
      <c r="M711" s="731"/>
      <c r="N711" s="731"/>
    </row>
    <row r="712">
      <c r="A712" s="408"/>
      <c r="B712" s="730"/>
      <c r="C712" s="772"/>
      <c r="D712" s="773"/>
      <c r="E712" s="772"/>
      <c r="F712" s="773"/>
      <c r="G712" s="732"/>
      <c r="H712" s="733"/>
      <c r="I712" s="730"/>
      <c r="J712" s="731"/>
      <c r="K712" s="731"/>
      <c r="L712" s="731"/>
      <c r="M712" s="731"/>
      <c r="N712" s="731"/>
    </row>
    <row r="713">
      <c r="A713" s="408"/>
      <c r="B713" s="730"/>
      <c r="C713" s="772"/>
      <c r="D713" s="773"/>
      <c r="E713" s="772"/>
      <c r="F713" s="773"/>
      <c r="G713" s="732"/>
      <c r="H713" s="733"/>
      <c r="I713" s="730"/>
      <c r="J713" s="731"/>
      <c r="K713" s="731"/>
      <c r="L713" s="731"/>
      <c r="M713" s="731"/>
      <c r="N713" s="731"/>
    </row>
    <row r="714">
      <c r="A714" s="408"/>
      <c r="B714" s="730"/>
      <c r="C714" s="772"/>
      <c r="D714" s="773"/>
      <c r="E714" s="772"/>
      <c r="F714" s="773"/>
      <c r="G714" s="732"/>
      <c r="H714" s="733"/>
      <c r="I714" s="730"/>
      <c r="J714" s="731"/>
      <c r="K714" s="731"/>
      <c r="L714" s="731"/>
      <c r="M714" s="731"/>
      <c r="N714" s="731"/>
    </row>
    <row r="715">
      <c r="A715" s="408"/>
      <c r="B715" s="730"/>
      <c r="C715" s="772"/>
      <c r="D715" s="773"/>
      <c r="E715" s="772"/>
      <c r="F715" s="773"/>
      <c r="G715" s="732"/>
      <c r="H715" s="733"/>
      <c r="I715" s="730"/>
      <c r="J715" s="731"/>
      <c r="K715" s="731"/>
      <c r="L715" s="731"/>
      <c r="M715" s="731"/>
      <c r="N715" s="731"/>
    </row>
    <row r="716">
      <c r="A716" s="408"/>
      <c r="B716" s="730"/>
      <c r="C716" s="772"/>
      <c r="D716" s="773"/>
      <c r="E716" s="772"/>
      <c r="F716" s="773"/>
      <c r="G716" s="732"/>
      <c r="H716" s="733"/>
      <c r="I716" s="730"/>
      <c r="J716" s="731"/>
      <c r="K716" s="731"/>
      <c r="L716" s="731"/>
      <c r="M716" s="731"/>
      <c r="N716" s="731"/>
    </row>
    <row r="717">
      <c r="A717" s="408"/>
      <c r="B717" s="730"/>
      <c r="C717" s="772"/>
      <c r="D717" s="773"/>
      <c r="E717" s="772"/>
      <c r="F717" s="773"/>
      <c r="G717" s="732"/>
      <c r="H717" s="733"/>
      <c r="I717" s="730"/>
      <c r="J717" s="731"/>
      <c r="K717" s="731"/>
      <c r="L717" s="731"/>
      <c r="M717" s="731"/>
      <c r="N717" s="731"/>
    </row>
    <row r="718">
      <c r="A718" s="408"/>
      <c r="B718" s="730"/>
      <c r="C718" s="772"/>
      <c r="D718" s="773"/>
      <c r="E718" s="772"/>
      <c r="F718" s="773"/>
      <c r="G718" s="732"/>
      <c r="H718" s="733"/>
      <c r="I718" s="730"/>
      <c r="J718" s="731"/>
      <c r="K718" s="731"/>
      <c r="L718" s="731"/>
      <c r="M718" s="731"/>
      <c r="N718" s="731"/>
    </row>
    <row r="719">
      <c r="A719" s="408"/>
      <c r="B719" s="730"/>
      <c r="C719" s="772"/>
      <c r="D719" s="773"/>
      <c r="E719" s="772"/>
      <c r="F719" s="773"/>
      <c r="G719" s="732"/>
      <c r="H719" s="733"/>
      <c r="I719" s="730"/>
      <c r="J719" s="731"/>
      <c r="K719" s="731"/>
      <c r="L719" s="731"/>
      <c r="M719" s="731"/>
      <c r="N719" s="731"/>
    </row>
    <row r="720">
      <c r="A720" s="408"/>
      <c r="B720" s="730"/>
      <c r="C720" s="772"/>
      <c r="D720" s="773"/>
      <c r="E720" s="772"/>
      <c r="F720" s="773"/>
      <c r="G720" s="732"/>
      <c r="H720" s="733"/>
      <c r="I720" s="730"/>
      <c r="J720" s="731"/>
      <c r="K720" s="731"/>
      <c r="L720" s="731"/>
      <c r="M720" s="731"/>
      <c r="N720" s="731"/>
    </row>
    <row r="721">
      <c r="A721" s="408"/>
      <c r="B721" s="730"/>
      <c r="C721" s="772"/>
      <c r="D721" s="773"/>
      <c r="E721" s="772"/>
      <c r="F721" s="773"/>
      <c r="G721" s="732"/>
      <c r="H721" s="733"/>
      <c r="I721" s="730"/>
      <c r="J721" s="731"/>
      <c r="K721" s="731"/>
      <c r="L721" s="731"/>
      <c r="M721" s="731"/>
      <c r="N721" s="731"/>
    </row>
    <row r="722">
      <c r="A722" s="408"/>
      <c r="B722" s="730"/>
      <c r="C722" s="772"/>
      <c r="D722" s="773"/>
      <c r="E722" s="772"/>
      <c r="F722" s="773"/>
      <c r="G722" s="732"/>
      <c r="H722" s="733"/>
      <c r="I722" s="730"/>
      <c r="J722" s="731"/>
      <c r="K722" s="731"/>
      <c r="L722" s="731"/>
      <c r="M722" s="731"/>
      <c r="N722" s="731"/>
    </row>
    <row r="723">
      <c r="A723" s="408"/>
      <c r="B723" s="730"/>
      <c r="C723" s="772"/>
      <c r="D723" s="773"/>
      <c r="E723" s="772"/>
      <c r="F723" s="773"/>
      <c r="G723" s="732"/>
      <c r="H723" s="733"/>
      <c r="I723" s="730"/>
      <c r="J723" s="731"/>
      <c r="K723" s="731"/>
      <c r="L723" s="731"/>
      <c r="M723" s="731"/>
      <c r="N723" s="731"/>
    </row>
    <row r="724">
      <c r="A724" s="408"/>
      <c r="B724" s="730"/>
      <c r="C724" s="772"/>
      <c r="D724" s="773"/>
      <c r="E724" s="772"/>
      <c r="F724" s="773"/>
      <c r="G724" s="732"/>
      <c r="H724" s="733"/>
      <c r="I724" s="730"/>
      <c r="J724" s="731"/>
      <c r="K724" s="731"/>
      <c r="L724" s="731"/>
      <c r="M724" s="731"/>
      <c r="N724" s="731"/>
    </row>
    <row r="725">
      <c r="A725" s="408"/>
      <c r="B725" s="730"/>
      <c r="C725" s="772"/>
      <c r="D725" s="773"/>
      <c r="E725" s="772"/>
      <c r="F725" s="773"/>
      <c r="G725" s="732"/>
      <c r="H725" s="733"/>
      <c r="I725" s="730"/>
      <c r="J725" s="731"/>
      <c r="K725" s="731"/>
      <c r="L725" s="731"/>
      <c r="M725" s="731"/>
      <c r="N725" s="731"/>
    </row>
    <row r="726">
      <c r="A726" s="408"/>
      <c r="B726" s="730"/>
      <c r="C726" s="772"/>
      <c r="D726" s="773"/>
      <c r="E726" s="772"/>
      <c r="F726" s="773"/>
      <c r="G726" s="732"/>
      <c r="H726" s="733"/>
      <c r="I726" s="730"/>
      <c r="J726" s="731"/>
      <c r="K726" s="731"/>
      <c r="L726" s="731"/>
      <c r="M726" s="731"/>
      <c r="N726" s="731"/>
    </row>
    <row r="727">
      <c r="A727" s="408"/>
      <c r="B727" s="730"/>
      <c r="C727" s="772"/>
      <c r="D727" s="773"/>
      <c r="E727" s="772"/>
      <c r="F727" s="773"/>
      <c r="G727" s="732"/>
      <c r="H727" s="733"/>
      <c r="I727" s="730"/>
      <c r="J727" s="731"/>
      <c r="K727" s="731"/>
      <c r="L727" s="731"/>
      <c r="M727" s="731"/>
      <c r="N727" s="731"/>
    </row>
    <row r="728">
      <c r="A728" s="408"/>
      <c r="B728" s="730"/>
      <c r="C728" s="772"/>
      <c r="D728" s="773"/>
      <c r="E728" s="772"/>
      <c r="F728" s="773"/>
      <c r="G728" s="732"/>
      <c r="H728" s="733"/>
      <c r="I728" s="730"/>
      <c r="J728" s="731"/>
      <c r="K728" s="731"/>
      <c r="L728" s="731"/>
      <c r="M728" s="731"/>
      <c r="N728" s="731"/>
    </row>
    <row r="729">
      <c r="A729" s="408"/>
      <c r="B729" s="730"/>
      <c r="C729" s="772"/>
      <c r="D729" s="773"/>
      <c r="E729" s="772"/>
      <c r="F729" s="773"/>
      <c r="G729" s="732"/>
      <c r="H729" s="733"/>
      <c r="I729" s="730"/>
      <c r="J729" s="731"/>
      <c r="K729" s="731"/>
      <c r="L729" s="731"/>
      <c r="M729" s="731"/>
      <c r="N729" s="731"/>
    </row>
    <row r="730">
      <c r="A730" s="408"/>
      <c r="B730" s="730"/>
      <c r="C730" s="772"/>
      <c r="D730" s="773"/>
      <c r="E730" s="772"/>
      <c r="F730" s="773"/>
      <c r="G730" s="732"/>
      <c r="H730" s="733"/>
      <c r="I730" s="730"/>
      <c r="J730" s="731"/>
      <c r="K730" s="731"/>
      <c r="L730" s="731"/>
      <c r="M730" s="731"/>
      <c r="N730" s="731"/>
    </row>
    <row r="731">
      <c r="A731" s="408"/>
      <c r="B731" s="730"/>
      <c r="C731" s="772"/>
      <c r="D731" s="773"/>
      <c r="E731" s="772"/>
      <c r="F731" s="773"/>
      <c r="G731" s="732"/>
      <c r="H731" s="733"/>
      <c r="I731" s="730"/>
      <c r="J731" s="731"/>
      <c r="K731" s="731"/>
      <c r="L731" s="731"/>
      <c r="M731" s="731"/>
      <c r="N731" s="731"/>
    </row>
    <row r="732">
      <c r="A732" s="408"/>
      <c r="B732" s="730"/>
      <c r="C732" s="772"/>
      <c r="D732" s="773"/>
      <c r="E732" s="772"/>
      <c r="F732" s="773"/>
      <c r="G732" s="732"/>
      <c r="H732" s="733"/>
      <c r="I732" s="730"/>
      <c r="J732" s="731"/>
      <c r="K732" s="731"/>
      <c r="L732" s="731"/>
      <c r="M732" s="731"/>
      <c r="N732" s="731"/>
    </row>
    <row r="733">
      <c r="A733" s="408"/>
      <c r="B733" s="730"/>
      <c r="C733" s="772"/>
      <c r="D733" s="773"/>
      <c r="E733" s="772"/>
      <c r="F733" s="773"/>
      <c r="G733" s="732"/>
      <c r="H733" s="733"/>
      <c r="I733" s="730"/>
      <c r="J733" s="731"/>
      <c r="K733" s="731"/>
      <c r="L733" s="731"/>
      <c r="M733" s="731"/>
      <c r="N733" s="731"/>
    </row>
    <row r="734">
      <c r="A734" s="408"/>
      <c r="B734" s="730"/>
      <c r="C734" s="772"/>
      <c r="D734" s="773"/>
      <c r="E734" s="772"/>
      <c r="F734" s="773"/>
      <c r="G734" s="732"/>
      <c r="H734" s="733"/>
      <c r="I734" s="730"/>
      <c r="J734" s="731"/>
      <c r="K734" s="731"/>
      <c r="L734" s="731"/>
      <c r="M734" s="731"/>
      <c r="N734" s="731"/>
    </row>
    <row r="735">
      <c r="A735" s="408"/>
      <c r="B735" s="730"/>
      <c r="C735" s="772"/>
      <c r="D735" s="773"/>
      <c r="E735" s="772"/>
      <c r="F735" s="773"/>
      <c r="G735" s="732"/>
      <c r="H735" s="733"/>
      <c r="I735" s="730"/>
      <c r="J735" s="731"/>
      <c r="K735" s="731"/>
      <c r="L735" s="731"/>
      <c r="M735" s="731"/>
      <c r="N735" s="731"/>
    </row>
    <row r="736">
      <c r="A736" s="408"/>
      <c r="B736" s="730"/>
      <c r="C736" s="772"/>
      <c r="D736" s="773"/>
      <c r="E736" s="772"/>
      <c r="F736" s="773"/>
      <c r="G736" s="732"/>
      <c r="H736" s="733"/>
      <c r="I736" s="730"/>
      <c r="J736" s="731"/>
      <c r="K736" s="731"/>
      <c r="L736" s="731"/>
      <c r="M736" s="731"/>
      <c r="N736" s="731"/>
    </row>
    <row r="737">
      <c r="A737" s="408"/>
      <c r="B737" s="730"/>
      <c r="C737" s="772"/>
      <c r="D737" s="773"/>
      <c r="E737" s="772"/>
      <c r="F737" s="773"/>
      <c r="G737" s="732"/>
      <c r="H737" s="733"/>
      <c r="I737" s="730"/>
      <c r="J737" s="731"/>
      <c r="K737" s="731"/>
      <c r="L737" s="731"/>
      <c r="M737" s="731"/>
      <c r="N737" s="731"/>
    </row>
    <row r="738">
      <c r="A738" s="408"/>
      <c r="B738" s="730"/>
      <c r="C738" s="772"/>
      <c r="D738" s="773"/>
      <c r="E738" s="772"/>
      <c r="F738" s="773"/>
      <c r="G738" s="732"/>
      <c r="H738" s="733"/>
      <c r="I738" s="730"/>
      <c r="J738" s="731"/>
      <c r="K738" s="731"/>
      <c r="L738" s="731"/>
      <c r="M738" s="731"/>
      <c r="N738" s="731"/>
    </row>
    <row r="739">
      <c r="A739" s="408"/>
      <c r="B739" s="730"/>
      <c r="C739" s="772"/>
      <c r="D739" s="773"/>
      <c r="E739" s="772"/>
      <c r="F739" s="773"/>
      <c r="G739" s="732"/>
      <c r="H739" s="733"/>
      <c r="I739" s="730"/>
      <c r="J739" s="731"/>
      <c r="K739" s="731"/>
      <c r="L739" s="731"/>
      <c r="M739" s="731"/>
      <c r="N739" s="731"/>
    </row>
    <row r="740">
      <c r="A740" s="408"/>
      <c r="B740" s="730"/>
      <c r="C740" s="772"/>
      <c r="D740" s="773"/>
      <c r="E740" s="772"/>
      <c r="F740" s="773"/>
      <c r="G740" s="732"/>
      <c r="H740" s="733"/>
      <c r="I740" s="730"/>
      <c r="J740" s="731"/>
      <c r="K740" s="731"/>
      <c r="L740" s="731"/>
      <c r="M740" s="731"/>
      <c r="N740" s="731"/>
    </row>
    <row r="741">
      <c r="A741" s="408"/>
      <c r="B741" s="730"/>
      <c r="C741" s="772"/>
      <c r="D741" s="773"/>
      <c r="E741" s="772"/>
      <c r="F741" s="773"/>
      <c r="G741" s="732"/>
      <c r="H741" s="733"/>
      <c r="I741" s="730"/>
      <c r="J741" s="731"/>
      <c r="K741" s="731"/>
      <c r="L741" s="731"/>
      <c r="M741" s="731"/>
      <c r="N741" s="731"/>
    </row>
    <row r="742">
      <c r="A742" s="408"/>
      <c r="B742" s="730"/>
      <c r="C742" s="772"/>
      <c r="D742" s="773"/>
      <c r="E742" s="772"/>
      <c r="F742" s="773"/>
      <c r="G742" s="732"/>
      <c r="H742" s="733"/>
      <c r="I742" s="730"/>
      <c r="J742" s="731"/>
      <c r="K742" s="731"/>
      <c r="L742" s="731"/>
      <c r="M742" s="731"/>
      <c r="N742" s="731"/>
    </row>
    <row r="743">
      <c r="A743" s="408"/>
      <c r="B743" s="730"/>
      <c r="C743" s="772"/>
      <c r="D743" s="773"/>
      <c r="E743" s="772"/>
      <c r="F743" s="773"/>
      <c r="G743" s="732"/>
      <c r="H743" s="733"/>
      <c r="I743" s="730"/>
      <c r="J743" s="731"/>
      <c r="K743" s="731"/>
      <c r="L743" s="731"/>
      <c r="M743" s="731"/>
      <c r="N743" s="731"/>
    </row>
    <row r="744">
      <c r="A744" s="408"/>
      <c r="B744" s="730"/>
      <c r="C744" s="772"/>
      <c r="D744" s="773"/>
      <c r="E744" s="772"/>
      <c r="F744" s="773"/>
      <c r="G744" s="732"/>
      <c r="H744" s="733"/>
      <c r="I744" s="730"/>
      <c r="J744" s="731"/>
      <c r="K744" s="731"/>
      <c r="L744" s="731"/>
      <c r="M744" s="731"/>
      <c r="N744" s="731"/>
    </row>
    <row r="745">
      <c r="A745" s="408"/>
      <c r="B745" s="730"/>
      <c r="C745" s="772"/>
      <c r="D745" s="773"/>
      <c r="E745" s="772"/>
      <c r="F745" s="773"/>
      <c r="G745" s="732"/>
      <c r="H745" s="733"/>
      <c r="I745" s="730"/>
      <c r="J745" s="731"/>
      <c r="K745" s="731"/>
      <c r="L745" s="731"/>
      <c r="M745" s="731"/>
      <c r="N745" s="731"/>
    </row>
    <row r="746">
      <c r="A746" s="408"/>
      <c r="B746" s="730"/>
      <c r="C746" s="772"/>
      <c r="D746" s="773"/>
      <c r="E746" s="772"/>
      <c r="F746" s="773"/>
      <c r="G746" s="732"/>
      <c r="H746" s="733"/>
      <c r="I746" s="730"/>
      <c r="J746" s="731"/>
      <c r="K746" s="731"/>
      <c r="L746" s="731"/>
      <c r="M746" s="731"/>
      <c r="N746" s="731"/>
    </row>
    <row r="747">
      <c r="A747" s="408"/>
      <c r="B747" s="730"/>
      <c r="C747" s="772"/>
      <c r="D747" s="773"/>
      <c r="E747" s="772"/>
      <c r="F747" s="773"/>
      <c r="G747" s="732"/>
      <c r="H747" s="733"/>
      <c r="I747" s="730"/>
      <c r="J747" s="731"/>
      <c r="K747" s="731"/>
      <c r="L747" s="731"/>
      <c r="M747" s="731"/>
      <c r="N747" s="731"/>
    </row>
    <row r="748">
      <c r="A748" s="408"/>
      <c r="B748" s="730"/>
      <c r="C748" s="772"/>
      <c r="D748" s="773"/>
      <c r="E748" s="772"/>
      <c r="F748" s="773"/>
      <c r="G748" s="732"/>
      <c r="H748" s="733"/>
      <c r="I748" s="730"/>
      <c r="J748" s="731"/>
      <c r="K748" s="731"/>
      <c r="L748" s="731"/>
      <c r="M748" s="731"/>
      <c r="N748" s="731"/>
    </row>
    <row r="749">
      <c r="A749" s="408"/>
      <c r="B749" s="730"/>
      <c r="C749" s="772"/>
      <c r="D749" s="773"/>
      <c r="E749" s="772"/>
      <c r="F749" s="773"/>
      <c r="G749" s="732"/>
      <c r="H749" s="733"/>
      <c r="I749" s="730"/>
      <c r="J749" s="731"/>
      <c r="K749" s="731"/>
      <c r="L749" s="731"/>
      <c r="M749" s="731"/>
      <c r="N749" s="731"/>
    </row>
    <row r="750">
      <c r="A750" s="408"/>
      <c r="B750" s="730"/>
      <c r="C750" s="772"/>
      <c r="D750" s="773"/>
      <c r="E750" s="772"/>
      <c r="F750" s="773"/>
      <c r="G750" s="732"/>
      <c r="H750" s="733"/>
      <c r="I750" s="730"/>
      <c r="J750" s="731"/>
      <c r="K750" s="731"/>
      <c r="L750" s="731"/>
      <c r="M750" s="731"/>
      <c r="N750" s="731"/>
    </row>
    <row r="751">
      <c r="A751" s="408"/>
      <c r="B751" s="730"/>
      <c r="C751" s="772"/>
      <c r="D751" s="773"/>
      <c r="E751" s="772"/>
      <c r="F751" s="773"/>
      <c r="G751" s="732"/>
      <c r="H751" s="733"/>
      <c r="I751" s="730"/>
      <c r="J751" s="731"/>
      <c r="K751" s="731"/>
      <c r="L751" s="731"/>
      <c r="M751" s="731"/>
      <c r="N751" s="731"/>
    </row>
    <row r="752">
      <c r="A752" s="408"/>
      <c r="B752" s="730"/>
      <c r="C752" s="772"/>
      <c r="D752" s="773"/>
      <c r="E752" s="772"/>
      <c r="F752" s="773"/>
      <c r="G752" s="732"/>
      <c r="H752" s="733"/>
      <c r="I752" s="730"/>
      <c r="J752" s="731"/>
      <c r="K752" s="731"/>
      <c r="L752" s="731"/>
      <c r="M752" s="731"/>
      <c r="N752" s="731"/>
    </row>
    <row r="753">
      <c r="A753" s="408"/>
      <c r="B753" s="730"/>
      <c r="C753" s="772"/>
      <c r="D753" s="773"/>
      <c r="E753" s="772"/>
      <c r="F753" s="773"/>
      <c r="G753" s="732"/>
      <c r="H753" s="733"/>
      <c r="I753" s="730"/>
      <c r="J753" s="731"/>
      <c r="K753" s="731"/>
      <c r="L753" s="731"/>
      <c r="M753" s="731"/>
      <c r="N753" s="731"/>
    </row>
    <row r="754">
      <c r="A754" s="408"/>
      <c r="B754" s="730"/>
      <c r="C754" s="772"/>
      <c r="D754" s="773"/>
      <c r="E754" s="772"/>
      <c r="F754" s="773"/>
      <c r="G754" s="732"/>
      <c r="H754" s="733"/>
      <c r="I754" s="730"/>
      <c r="J754" s="731"/>
      <c r="K754" s="731"/>
      <c r="L754" s="731"/>
      <c r="M754" s="731"/>
      <c r="N754" s="731"/>
    </row>
    <row r="755">
      <c r="A755" s="408"/>
      <c r="B755" s="730"/>
      <c r="C755" s="772"/>
      <c r="D755" s="773"/>
      <c r="E755" s="772"/>
      <c r="F755" s="773"/>
      <c r="G755" s="732"/>
      <c r="H755" s="733"/>
      <c r="I755" s="730"/>
      <c r="J755" s="731"/>
      <c r="K755" s="731"/>
      <c r="L755" s="731"/>
      <c r="M755" s="731"/>
      <c r="N755" s="731"/>
    </row>
    <row r="756">
      <c r="A756" s="408"/>
      <c r="B756" s="730"/>
      <c r="C756" s="772"/>
      <c r="D756" s="773"/>
      <c r="E756" s="772"/>
      <c r="F756" s="773"/>
      <c r="G756" s="732"/>
      <c r="H756" s="733"/>
      <c r="I756" s="730"/>
      <c r="J756" s="731"/>
      <c r="K756" s="731"/>
      <c r="L756" s="731"/>
      <c r="M756" s="731"/>
      <c r="N756" s="731"/>
    </row>
    <row r="757">
      <c r="A757" s="408"/>
      <c r="B757" s="730"/>
      <c r="C757" s="772"/>
      <c r="D757" s="773"/>
      <c r="E757" s="772"/>
      <c r="F757" s="773"/>
      <c r="G757" s="732"/>
      <c r="H757" s="733"/>
      <c r="I757" s="730"/>
      <c r="J757" s="731"/>
      <c r="K757" s="731"/>
      <c r="L757" s="731"/>
      <c r="M757" s="731"/>
      <c r="N757" s="731"/>
    </row>
    <row r="758">
      <c r="A758" s="408"/>
      <c r="B758" s="730"/>
      <c r="C758" s="772"/>
      <c r="D758" s="773"/>
      <c r="E758" s="772"/>
      <c r="F758" s="773"/>
      <c r="G758" s="732"/>
      <c r="H758" s="733"/>
      <c r="I758" s="730"/>
      <c r="J758" s="731"/>
      <c r="K758" s="731"/>
      <c r="L758" s="731"/>
      <c r="M758" s="731"/>
      <c r="N758" s="731"/>
    </row>
    <row r="759">
      <c r="A759" s="408"/>
      <c r="B759" s="730"/>
      <c r="C759" s="772"/>
      <c r="D759" s="773"/>
      <c r="E759" s="772"/>
      <c r="F759" s="773"/>
      <c r="G759" s="732"/>
      <c r="H759" s="733"/>
      <c r="I759" s="730"/>
      <c r="J759" s="731"/>
      <c r="K759" s="731"/>
      <c r="L759" s="731"/>
      <c r="M759" s="731"/>
      <c r="N759" s="731"/>
    </row>
    <row r="760">
      <c r="A760" s="408"/>
      <c r="B760" s="730"/>
      <c r="C760" s="772"/>
      <c r="D760" s="773"/>
      <c r="E760" s="772"/>
      <c r="F760" s="773"/>
      <c r="G760" s="732"/>
      <c r="H760" s="733"/>
      <c r="I760" s="730"/>
      <c r="J760" s="731"/>
      <c r="K760" s="731"/>
      <c r="L760" s="731"/>
      <c r="M760" s="731"/>
      <c r="N760" s="731"/>
    </row>
    <row r="761">
      <c r="A761" s="408"/>
      <c r="B761" s="730"/>
      <c r="C761" s="772"/>
      <c r="D761" s="773"/>
      <c r="E761" s="772"/>
      <c r="F761" s="773"/>
      <c r="G761" s="732"/>
      <c r="H761" s="733"/>
      <c r="I761" s="730"/>
      <c r="J761" s="731"/>
      <c r="K761" s="731"/>
      <c r="L761" s="731"/>
      <c r="M761" s="731"/>
      <c r="N761" s="731"/>
    </row>
    <row r="762">
      <c r="A762" s="408"/>
      <c r="B762" s="730"/>
      <c r="C762" s="772"/>
      <c r="D762" s="773"/>
      <c r="E762" s="772"/>
      <c r="F762" s="773"/>
      <c r="G762" s="732"/>
      <c r="H762" s="733"/>
      <c r="I762" s="730"/>
      <c r="J762" s="731"/>
      <c r="K762" s="731"/>
      <c r="L762" s="731"/>
      <c r="M762" s="731"/>
      <c r="N762" s="731"/>
    </row>
    <row r="763">
      <c r="A763" s="408"/>
      <c r="B763" s="730"/>
      <c r="C763" s="772"/>
      <c r="D763" s="773"/>
      <c r="E763" s="772"/>
      <c r="F763" s="773"/>
      <c r="G763" s="732"/>
      <c r="H763" s="733"/>
      <c r="I763" s="730"/>
      <c r="J763" s="731"/>
      <c r="K763" s="731"/>
      <c r="L763" s="731"/>
      <c r="M763" s="731"/>
      <c r="N763" s="731"/>
    </row>
    <row r="764">
      <c r="A764" s="408"/>
      <c r="B764" s="730"/>
      <c r="C764" s="772"/>
      <c r="D764" s="773"/>
      <c r="E764" s="772"/>
      <c r="F764" s="773"/>
      <c r="G764" s="732"/>
      <c r="H764" s="733"/>
      <c r="I764" s="730"/>
      <c r="J764" s="731"/>
      <c r="K764" s="731"/>
      <c r="L764" s="731"/>
      <c r="M764" s="731"/>
      <c r="N764" s="731"/>
    </row>
    <row r="765">
      <c r="A765" s="408"/>
      <c r="B765" s="730"/>
      <c r="C765" s="772"/>
      <c r="D765" s="773"/>
      <c r="E765" s="772"/>
      <c r="F765" s="773"/>
      <c r="G765" s="732"/>
      <c r="H765" s="733"/>
      <c r="I765" s="730"/>
      <c r="J765" s="731"/>
      <c r="K765" s="731"/>
      <c r="L765" s="731"/>
      <c r="M765" s="731"/>
      <c r="N765" s="731"/>
    </row>
    <row r="766">
      <c r="A766" s="408"/>
      <c r="B766" s="730"/>
      <c r="C766" s="772"/>
      <c r="D766" s="773"/>
      <c r="E766" s="772"/>
      <c r="F766" s="773"/>
      <c r="G766" s="732"/>
      <c r="H766" s="733"/>
      <c r="I766" s="730"/>
      <c r="J766" s="731"/>
      <c r="K766" s="731"/>
      <c r="L766" s="731"/>
      <c r="M766" s="731"/>
      <c r="N766" s="731"/>
    </row>
    <row r="767">
      <c r="A767" s="408"/>
      <c r="B767" s="730"/>
      <c r="C767" s="772"/>
      <c r="D767" s="773"/>
      <c r="E767" s="772"/>
      <c r="F767" s="773"/>
      <c r="G767" s="732"/>
      <c r="H767" s="733"/>
      <c r="I767" s="730"/>
      <c r="J767" s="731"/>
      <c r="K767" s="731"/>
      <c r="L767" s="731"/>
      <c r="M767" s="731"/>
      <c r="N767" s="731"/>
    </row>
    <row r="768">
      <c r="A768" s="408"/>
      <c r="B768" s="730"/>
      <c r="C768" s="772"/>
      <c r="D768" s="773"/>
      <c r="E768" s="772"/>
      <c r="F768" s="773"/>
      <c r="G768" s="732"/>
      <c r="H768" s="733"/>
      <c r="I768" s="730"/>
      <c r="J768" s="731"/>
      <c r="K768" s="731"/>
      <c r="L768" s="731"/>
      <c r="M768" s="731"/>
      <c r="N768" s="731"/>
    </row>
    <row r="769">
      <c r="A769" s="408"/>
      <c r="B769" s="730"/>
      <c r="C769" s="772"/>
      <c r="D769" s="773"/>
      <c r="E769" s="772"/>
      <c r="F769" s="773"/>
      <c r="G769" s="732"/>
      <c r="H769" s="733"/>
      <c r="I769" s="730"/>
      <c r="J769" s="731"/>
      <c r="K769" s="731"/>
      <c r="L769" s="731"/>
      <c r="M769" s="731"/>
      <c r="N769" s="731"/>
    </row>
    <row r="770">
      <c r="A770" s="408"/>
      <c r="B770" s="730"/>
      <c r="C770" s="772"/>
      <c r="D770" s="773"/>
      <c r="E770" s="772"/>
      <c r="F770" s="773"/>
      <c r="G770" s="732"/>
      <c r="H770" s="733"/>
      <c r="I770" s="730"/>
      <c r="J770" s="731"/>
      <c r="K770" s="731"/>
      <c r="L770" s="731"/>
      <c r="M770" s="731"/>
      <c r="N770" s="731"/>
    </row>
    <row r="771">
      <c r="A771" s="408"/>
      <c r="B771" s="730"/>
      <c r="C771" s="772"/>
      <c r="D771" s="773"/>
      <c r="E771" s="772"/>
      <c r="F771" s="773"/>
      <c r="G771" s="732"/>
      <c r="H771" s="733"/>
      <c r="I771" s="730"/>
      <c r="J771" s="731"/>
      <c r="K771" s="731"/>
      <c r="L771" s="731"/>
      <c r="M771" s="731"/>
      <c r="N771" s="731"/>
    </row>
    <row r="772">
      <c r="A772" s="408"/>
      <c r="B772" s="730"/>
      <c r="C772" s="772"/>
      <c r="D772" s="773"/>
      <c r="E772" s="772"/>
      <c r="F772" s="773"/>
      <c r="G772" s="732"/>
      <c r="H772" s="733"/>
      <c r="I772" s="730"/>
      <c r="J772" s="731"/>
      <c r="K772" s="731"/>
      <c r="L772" s="731"/>
      <c r="M772" s="731"/>
      <c r="N772" s="731"/>
    </row>
    <row r="773">
      <c r="A773" s="408"/>
      <c r="B773" s="730"/>
      <c r="C773" s="772"/>
      <c r="D773" s="773"/>
      <c r="E773" s="772"/>
      <c r="F773" s="773"/>
      <c r="G773" s="732"/>
      <c r="H773" s="733"/>
      <c r="I773" s="730"/>
      <c r="J773" s="731"/>
      <c r="K773" s="731"/>
      <c r="L773" s="731"/>
      <c r="M773" s="731"/>
      <c r="N773" s="731"/>
    </row>
    <row r="774">
      <c r="A774" s="408"/>
      <c r="B774" s="730"/>
      <c r="C774" s="772"/>
      <c r="D774" s="773"/>
      <c r="E774" s="772"/>
      <c r="F774" s="773"/>
      <c r="G774" s="732"/>
      <c r="H774" s="733"/>
      <c r="I774" s="730"/>
      <c r="J774" s="731"/>
      <c r="K774" s="731"/>
      <c r="L774" s="731"/>
      <c r="M774" s="731"/>
      <c r="N774" s="731"/>
    </row>
    <row r="775">
      <c r="A775" s="408"/>
      <c r="B775" s="730"/>
      <c r="C775" s="772"/>
      <c r="D775" s="773"/>
      <c r="E775" s="772"/>
      <c r="F775" s="773"/>
      <c r="G775" s="732"/>
      <c r="H775" s="733"/>
      <c r="I775" s="730"/>
      <c r="J775" s="731"/>
      <c r="K775" s="731"/>
      <c r="L775" s="731"/>
      <c r="M775" s="731"/>
      <c r="N775" s="731"/>
    </row>
    <row r="776">
      <c r="A776" s="408"/>
      <c r="B776" s="730"/>
      <c r="C776" s="772"/>
      <c r="D776" s="773"/>
      <c r="E776" s="772"/>
      <c r="F776" s="773"/>
      <c r="G776" s="732"/>
      <c r="H776" s="733"/>
      <c r="I776" s="730"/>
      <c r="J776" s="731"/>
      <c r="K776" s="731"/>
      <c r="L776" s="731"/>
      <c r="M776" s="731"/>
      <c r="N776" s="731"/>
    </row>
    <row r="777">
      <c r="A777" s="408"/>
      <c r="B777" s="730"/>
      <c r="C777" s="772"/>
      <c r="D777" s="773"/>
      <c r="E777" s="772"/>
      <c r="F777" s="773"/>
      <c r="G777" s="732"/>
      <c r="H777" s="733"/>
      <c r="I777" s="730"/>
      <c r="J777" s="731"/>
      <c r="K777" s="731"/>
      <c r="L777" s="731"/>
      <c r="M777" s="731"/>
      <c r="N777" s="731"/>
    </row>
    <row r="778">
      <c r="A778" s="408"/>
      <c r="B778" s="730"/>
      <c r="C778" s="772"/>
      <c r="D778" s="773"/>
      <c r="E778" s="772"/>
      <c r="F778" s="773"/>
      <c r="G778" s="732"/>
      <c r="H778" s="733"/>
      <c r="I778" s="730"/>
      <c r="J778" s="731"/>
      <c r="K778" s="731"/>
      <c r="L778" s="731"/>
      <c r="M778" s="731"/>
      <c r="N778" s="731"/>
    </row>
    <row r="779">
      <c r="A779" s="408"/>
      <c r="B779" s="730"/>
      <c r="C779" s="772"/>
      <c r="D779" s="773"/>
      <c r="E779" s="772"/>
      <c r="F779" s="773"/>
      <c r="G779" s="732"/>
      <c r="H779" s="733"/>
      <c r="I779" s="730"/>
      <c r="J779" s="731"/>
      <c r="K779" s="731"/>
      <c r="L779" s="731"/>
      <c r="M779" s="731"/>
      <c r="N779" s="731"/>
    </row>
    <row r="780">
      <c r="A780" s="408"/>
      <c r="B780" s="730"/>
      <c r="C780" s="772"/>
      <c r="D780" s="773"/>
      <c r="E780" s="772"/>
      <c r="F780" s="773"/>
      <c r="G780" s="732"/>
      <c r="H780" s="733"/>
      <c r="I780" s="730"/>
      <c r="J780" s="731"/>
      <c r="K780" s="731"/>
      <c r="L780" s="731"/>
      <c r="M780" s="731"/>
      <c r="N780" s="731"/>
    </row>
    <row r="781">
      <c r="A781" s="408"/>
      <c r="B781" s="730"/>
      <c r="C781" s="772"/>
      <c r="D781" s="773"/>
      <c r="E781" s="772"/>
      <c r="F781" s="773"/>
      <c r="G781" s="732"/>
      <c r="H781" s="733"/>
      <c r="I781" s="730"/>
      <c r="J781" s="731"/>
      <c r="K781" s="731"/>
      <c r="L781" s="731"/>
      <c r="M781" s="731"/>
      <c r="N781" s="731"/>
    </row>
    <row r="782">
      <c r="A782" s="408"/>
      <c r="B782" s="730"/>
      <c r="C782" s="772"/>
      <c r="D782" s="773"/>
      <c r="E782" s="772"/>
      <c r="F782" s="773"/>
      <c r="G782" s="732"/>
      <c r="H782" s="733"/>
      <c r="I782" s="730"/>
      <c r="J782" s="731"/>
      <c r="K782" s="731"/>
      <c r="L782" s="731"/>
      <c r="M782" s="731"/>
      <c r="N782" s="731"/>
    </row>
    <row r="783">
      <c r="A783" s="408"/>
      <c r="B783" s="730"/>
      <c r="C783" s="772"/>
      <c r="D783" s="773"/>
      <c r="E783" s="772"/>
      <c r="F783" s="773"/>
      <c r="G783" s="732"/>
      <c r="H783" s="733"/>
      <c r="I783" s="730"/>
      <c r="J783" s="731"/>
      <c r="K783" s="731"/>
      <c r="L783" s="731"/>
      <c r="M783" s="731"/>
      <c r="N783" s="731"/>
    </row>
    <row r="784">
      <c r="A784" s="408"/>
      <c r="B784" s="730"/>
      <c r="C784" s="772"/>
      <c r="D784" s="773"/>
      <c r="E784" s="772"/>
      <c r="F784" s="773"/>
      <c r="G784" s="732"/>
      <c r="H784" s="733"/>
      <c r="I784" s="730"/>
      <c r="J784" s="731"/>
      <c r="K784" s="731"/>
      <c r="L784" s="731"/>
      <c r="M784" s="731"/>
      <c r="N784" s="731"/>
    </row>
    <row r="785">
      <c r="A785" s="408"/>
      <c r="B785" s="730"/>
      <c r="C785" s="772"/>
      <c r="D785" s="773"/>
      <c r="E785" s="772"/>
      <c r="F785" s="773"/>
      <c r="G785" s="732"/>
      <c r="H785" s="733"/>
      <c r="I785" s="730"/>
      <c r="J785" s="731"/>
      <c r="K785" s="731"/>
      <c r="L785" s="731"/>
      <c r="M785" s="731"/>
      <c r="N785" s="731"/>
    </row>
    <row r="786">
      <c r="A786" s="408"/>
      <c r="B786" s="730"/>
      <c r="C786" s="772"/>
      <c r="D786" s="773"/>
      <c r="E786" s="772"/>
      <c r="F786" s="773"/>
      <c r="G786" s="732"/>
      <c r="H786" s="733"/>
      <c r="I786" s="730"/>
      <c r="J786" s="731"/>
      <c r="K786" s="731"/>
      <c r="L786" s="731"/>
      <c r="M786" s="731"/>
      <c r="N786" s="731"/>
    </row>
    <row r="787">
      <c r="A787" s="408"/>
      <c r="B787" s="730"/>
      <c r="C787" s="772"/>
      <c r="D787" s="773"/>
      <c r="E787" s="772"/>
      <c r="F787" s="773"/>
      <c r="G787" s="732"/>
      <c r="H787" s="733"/>
      <c r="I787" s="730"/>
      <c r="J787" s="731"/>
      <c r="K787" s="731"/>
      <c r="L787" s="731"/>
      <c r="M787" s="731"/>
      <c r="N787" s="731"/>
    </row>
    <row r="788">
      <c r="A788" s="408"/>
      <c r="B788" s="730"/>
      <c r="C788" s="772"/>
      <c r="D788" s="773"/>
      <c r="E788" s="772"/>
      <c r="F788" s="773"/>
      <c r="G788" s="732"/>
      <c r="H788" s="733"/>
      <c r="I788" s="730"/>
      <c r="J788" s="731"/>
      <c r="K788" s="731"/>
      <c r="L788" s="731"/>
      <c r="M788" s="731"/>
      <c r="N788" s="731"/>
    </row>
    <row r="789">
      <c r="A789" s="408"/>
      <c r="B789" s="730"/>
      <c r="C789" s="772"/>
      <c r="D789" s="773"/>
      <c r="E789" s="772"/>
      <c r="F789" s="773"/>
      <c r="G789" s="732"/>
      <c r="H789" s="733"/>
      <c r="I789" s="730"/>
      <c r="J789" s="731"/>
      <c r="K789" s="731"/>
      <c r="L789" s="731"/>
      <c r="M789" s="731"/>
      <c r="N789" s="731"/>
    </row>
    <row r="790">
      <c r="A790" s="408"/>
      <c r="B790" s="730"/>
      <c r="C790" s="772"/>
      <c r="D790" s="773"/>
      <c r="E790" s="772"/>
      <c r="F790" s="773"/>
      <c r="G790" s="732"/>
      <c r="H790" s="733"/>
      <c r="I790" s="730"/>
      <c r="J790" s="731"/>
      <c r="K790" s="731"/>
      <c r="L790" s="731"/>
      <c r="M790" s="731"/>
      <c r="N790" s="731"/>
    </row>
    <row r="791">
      <c r="A791" s="408"/>
      <c r="B791" s="730"/>
      <c r="C791" s="772"/>
      <c r="D791" s="773"/>
      <c r="E791" s="772"/>
      <c r="F791" s="773"/>
      <c r="G791" s="732"/>
      <c r="H791" s="733"/>
      <c r="I791" s="730"/>
      <c r="J791" s="731"/>
      <c r="K791" s="731"/>
      <c r="L791" s="731"/>
      <c r="M791" s="731"/>
      <c r="N791" s="731"/>
    </row>
    <row r="792">
      <c r="A792" s="408"/>
      <c r="B792" s="730"/>
      <c r="C792" s="772"/>
      <c r="D792" s="773"/>
      <c r="E792" s="772"/>
      <c r="F792" s="773"/>
      <c r="G792" s="732"/>
      <c r="H792" s="733"/>
      <c r="I792" s="730"/>
      <c r="J792" s="731"/>
      <c r="K792" s="731"/>
      <c r="L792" s="731"/>
      <c r="M792" s="731"/>
      <c r="N792" s="731"/>
    </row>
    <row r="793">
      <c r="A793" s="408"/>
      <c r="B793" s="730"/>
      <c r="C793" s="772"/>
      <c r="D793" s="773"/>
      <c r="E793" s="772"/>
      <c r="F793" s="773"/>
      <c r="G793" s="732"/>
      <c r="H793" s="733"/>
      <c r="I793" s="730"/>
      <c r="J793" s="731"/>
      <c r="K793" s="731"/>
      <c r="L793" s="731"/>
      <c r="M793" s="731"/>
      <c r="N793" s="731"/>
    </row>
    <row r="794">
      <c r="A794" s="408"/>
      <c r="B794" s="730"/>
      <c r="C794" s="772"/>
      <c r="D794" s="773"/>
      <c r="E794" s="772"/>
      <c r="F794" s="773"/>
      <c r="G794" s="732"/>
      <c r="H794" s="733"/>
      <c r="I794" s="730"/>
      <c r="J794" s="731"/>
      <c r="K794" s="731"/>
      <c r="L794" s="731"/>
      <c r="M794" s="731"/>
      <c r="N794" s="731"/>
    </row>
    <row r="795">
      <c r="A795" s="408"/>
      <c r="B795" s="730"/>
      <c r="C795" s="772"/>
      <c r="D795" s="773"/>
      <c r="E795" s="772"/>
      <c r="F795" s="773"/>
      <c r="G795" s="732"/>
      <c r="H795" s="733"/>
      <c r="I795" s="730"/>
      <c r="J795" s="731"/>
      <c r="K795" s="731"/>
      <c r="L795" s="731"/>
      <c r="M795" s="731"/>
      <c r="N795" s="731"/>
    </row>
    <row r="796">
      <c r="A796" s="408"/>
      <c r="B796" s="730"/>
      <c r="C796" s="772"/>
      <c r="D796" s="773"/>
      <c r="E796" s="772"/>
      <c r="F796" s="773"/>
      <c r="G796" s="732"/>
      <c r="H796" s="733"/>
      <c r="I796" s="730"/>
      <c r="J796" s="731"/>
      <c r="K796" s="731"/>
      <c r="L796" s="731"/>
      <c r="M796" s="731"/>
      <c r="N796" s="731"/>
    </row>
    <row r="797">
      <c r="A797" s="408"/>
      <c r="B797" s="730"/>
      <c r="C797" s="772"/>
      <c r="D797" s="773"/>
      <c r="E797" s="772"/>
      <c r="F797" s="773"/>
      <c r="G797" s="732"/>
      <c r="H797" s="733"/>
      <c r="I797" s="730"/>
      <c r="J797" s="731"/>
      <c r="K797" s="731"/>
      <c r="L797" s="731"/>
      <c r="M797" s="731"/>
      <c r="N797" s="731"/>
    </row>
    <row r="798">
      <c r="A798" s="408"/>
      <c r="B798" s="730"/>
      <c r="C798" s="772"/>
      <c r="D798" s="773"/>
      <c r="E798" s="772"/>
      <c r="F798" s="773"/>
      <c r="G798" s="732"/>
      <c r="H798" s="733"/>
      <c r="I798" s="730"/>
      <c r="J798" s="731"/>
      <c r="K798" s="731"/>
      <c r="L798" s="731"/>
      <c r="M798" s="731"/>
      <c r="N798" s="731"/>
    </row>
    <row r="799">
      <c r="A799" s="408"/>
      <c r="B799" s="730"/>
      <c r="C799" s="772"/>
      <c r="D799" s="773"/>
      <c r="E799" s="772"/>
      <c r="F799" s="773"/>
      <c r="G799" s="732"/>
      <c r="H799" s="733"/>
      <c r="I799" s="730"/>
      <c r="J799" s="731"/>
      <c r="K799" s="731"/>
      <c r="L799" s="731"/>
      <c r="M799" s="731"/>
      <c r="N799" s="731"/>
    </row>
    <row r="800">
      <c r="A800" s="408"/>
      <c r="B800" s="730"/>
      <c r="C800" s="772"/>
      <c r="D800" s="773"/>
      <c r="E800" s="772"/>
      <c r="F800" s="773"/>
      <c r="G800" s="732"/>
      <c r="H800" s="733"/>
      <c r="I800" s="730"/>
      <c r="J800" s="731"/>
      <c r="K800" s="731"/>
      <c r="L800" s="731"/>
      <c r="M800" s="731"/>
      <c r="N800" s="731"/>
    </row>
    <row r="801">
      <c r="A801" s="408"/>
      <c r="B801" s="730"/>
      <c r="C801" s="772"/>
      <c r="D801" s="773"/>
      <c r="E801" s="772"/>
      <c r="F801" s="773"/>
      <c r="G801" s="732"/>
      <c r="H801" s="733"/>
      <c r="I801" s="730"/>
      <c r="J801" s="731"/>
      <c r="K801" s="731"/>
      <c r="L801" s="731"/>
      <c r="M801" s="731"/>
      <c r="N801" s="731"/>
    </row>
    <row r="802">
      <c r="A802" s="408"/>
      <c r="B802" s="730"/>
      <c r="C802" s="772"/>
      <c r="D802" s="773"/>
      <c r="E802" s="772"/>
      <c r="F802" s="773"/>
      <c r="G802" s="732"/>
      <c r="H802" s="733"/>
      <c r="I802" s="730"/>
      <c r="J802" s="731"/>
      <c r="K802" s="731"/>
      <c r="L802" s="731"/>
      <c r="M802" s="731"/>
      <c r="N802" s="731"/>
    </row>
    <row r="803">
      <c r="A803" s="408"/>
      <c r="B803" s="730"/>
      <c r="C803" s="772"/>
      <c r="D803" s="773"/>
      <c r="E803" s="772"/>
      <c r="F803" s="773"/>
      <c r="G803" s="732"/>
      <c r="H803" s="733"/>
      <c r="I803" s="730"/>
      <c r="J803" s="731"/>
      <c r="K803" s="731"/>
      <c r="L803" s="731"/>
      <c r="M803" s="731"/>
      <c r="N803" s="731"/>
    </row>
    <row r="804">
      <c r="A804" s="408"/>
      <c r="B804" s="730"/>
      <c r="C804" s="772"/>
      <c r="D804" s="773"/>
      <c r="E804" s="772"/>
      <c r="F804" s="773"/>
      <c r="G804" s="732"/>
      <c r="H804" s="733"/>
      <c r="I804" s="730"/>
      <c r="J804" s="731"/>
      <c r="K804" s="731"/>
      <c r="L804" s="731"/>
      <c r="M804" s="731"/>
      <c r="N804" s="731"/>
    </row>
    <row r="805">
      <c r="A805" s="408"/>
      <c r="B805" s="730"/>
      <c r="C805" s="772"/>
      <c r="D805" s="773"/>
      <c r="E805" s="772"/>
      <c r="F805" s="773"/>
      <c r="G805" s="732"/>
      <c r="H805" s="733"/>
      <c r="I805" s="730"/>
      <c r="J805" s="731"/>
      <c r="K805" s="731"/>
      <c r="L805" s="731"/>
      <c r="M805" s="731"/>
      <c r="N805" s="731"/>
    </row>
    <row r="806">
      <c r="A806" s="408"/>
      <c r="B806" s="730"/>
      <c r="C806" s="772"/>
      <c r="D806" s="773"/>
      <c r="E806" s="772"/>
      <c r="F806" s="773"/>
      <c r="G806" s="732"/>
      <c r="H806" s="733"/>
      <c r="I806" s="730"/>
      <c r="J806" s="731"/>
      <c r="K806" s="731"/>
      <c r="L806" s="731"/>
      <c r="M806" s="731"/>
      <c r="N806" s="731"/>
    </row>
    <row r="807">
      <c r="A807" s="408"/>
      <c r="B807" s="730"/>
      <c r="C807" s="772"/>
      <c r="D807" s="773"/>
      <c r="E807" s="772"/>
      <c r="F807" s="773"/>
      <c r="G807" s="732"/>
      <c r="H807" s="733"/>
      <c r="I807" s="730"/>
      <c r="J807" s="731"/>
      <c r="K807" s="731"/>
      <c r="L807" s="731"/>
      <c r="M807" s="731"/>
      <c r="N807" s="731"/>
    </row>
    <row r="808">
      <c r="A808" s="408"/>
      <c r="B808" s="730"/>
      <c r="C808" s="772"/>
      <c r="D808" s="773"/>
      <c r="E808" s="772"/>
      <c r="F808" s="773"/>
      <c r="G808" s="732"/>
      <c r="H808" s="733"/>
      <c r="I808" s="730"/>
      <c r="J808" s="731"/>
      <c r="K808" s="731"/>
      <c r="L808" s="731"/>
      <c r="M808" s="731"/>
      <c r="N808" s="731"/>
    </row>
    <row r="809">
      <c r="A809" s="408"/>
      <c r="B809" s="730"/>
      <c r="C809" s="772"/>
      <c r="D809" s="773"/>
      <c r="E809" s="772"/>
      <c r="F809" s="773"/>
      <c r="G809" s="732"/>
      <c r="H809" s="733"/>
      <c r="I809" s="730"/>
      <c r="J809" s="731"/>
      <c r="K809" s="731"/>
      <c r="L809" s="731"/>
      <c r="M809" s="731"/>
      <c r="N809" s="731"/>
    </row>
    <row r="810">
      <c r="A810" s="408"/>
      <c r="B810" s="730"/>
      <c r="C810" s="772"/>
      <c r="D810" s="773"/>
      <c r="E810" s="772"/>
      <c r="F810" s="773"/>
      <c r="G810" s="732"/>
      <c r="H810" s="733"/>
      <c r="I810" s="730"/>
      <c r="J810" s="731"/>
      <c r="K810" s="731"/>
      <c r="L810" s="731"/>
      <c r="M810" s="731"/>
      <c r="N810" s="731"/>
    </row>
    <row r="811">
      <c r="A811" s="408"/>
      <c r="B811" s="730"/>
      <c r="C811" s="772"/>
      <c r="D811" s="773"/>
      <c r="E811" s="772"/>
      <c r="F811" s="773"/>
      <c r="G811" s="732"/>
      <c r="H811" s="733"/>
      <c r="I811" s="730"/>
      <c r="J811" s="731"/>
      <c r="K811" s="731"/>
      <c r="L811" s="731"/>
      <c r="M811" s="731"/>
      <c r="N811" s="731"/>
    </row>
    <row r="812">
      <c r="A812" s="408"/>
      <c r="B812" s="730"/>
      <c r="C812" s="772"/>
      <c r="D812" s="773"/>
      <c r="E812" s="772"/>
      <c r="F812" s="773"/>
      <c r="G812" s="732"/>
      <c r="H812" s="733"/>
      <c r="I812" s="730"/>
      <c r="J812" s="731"/>
      <c r="K812" s="731"/>
      <c r="L812" s="731"/>
      <c r="M812" s="731"/>
      <c r="N812" s="731"/>
    </row>
    <row r="813">
      <c r="A813" s="408"/>
      <c r="B813" s="730"/>
      <c r="C813" s="772"/>
      <c r="D813" s="773"/>
      <c r="E813" s="772"/>
      <c r="F813" s="773"/>
      <c r="G813" s="732"/>
      <c r="H813" s="733"/>
      <c r="I813" s="730"/>
      <c r="J813" s="731"/>
      <c r="K813" s="731"/>
      <c r="L813" s="731"/>
      <c r="M813" s="731"/>
      <c r="N813" s="731"/>
    </row>
    <row r="814">
      <c r="A814" s="408"/>
      <c r="B814" s="730"/>
      <c r="C814" s="772"/>
      <c r="D814" s="773"/>
      <c r="E814" s="772"/>
      <c r="F814" s="773"/>
      <c r="G814" s="732"/>
      <c r="H814" s="733"/>
      <c r="I814" s="730"/>
      <c r="J814" s="731"/>
      <c r="K814" s="731"/>
      <c r="L814" s="731"/>
      <c r="M814" s="731"/>
      <c r="N814" s="731"/>
    </row>
    <row r="815">
      <c r="A815" s="408"/>
      <c r="B815" s="730"/>
      <c r="C815" s="772"/>
      <c r="D815" s="773"/>
      <c r="E815" s="772"/>
      <c r="F815" s="773"/>
      <c r="G815" s="732"/>
      <c r="H815" s="733"/>
      <c r="I815" s="730"/>
      <c r="J815" s="731"/>
      <c r="K815" s="731"/>
      <c r="L815" s="731"/>
      <c r="M815" s="731"/>
      <c r="N815" s="731"/>
    </row>
    <row r="816">
      <c r="A816" s="408"/>
      <c r="B816" s="730"/>
      <c r="C816" s="772"/>
      <c r="D816" s="773"/>
      <c r="E816" s="772"/>
      <c r="F816" s="773"/>
      <c r="G816" s="732"/>
      <c r="H816" s="733"/>
      <c r="I816" s="730"/>
      <c r="J816" s="731"/>
      <c r="K816" s="731"/>
      <c r="L816" s="731"/>
      <c r="M816" s="731"/>
      <c r="N816" s="731"/>
    </row>
    <row r="817">
      <c r="A817" s="408"/>
      <c r="B817" s="730"/>
      <c r="C817" s="772"/>
      <c r="D817" s="773"/>
      <c r="E817" s="772"/>
      <c r="F817" s="773"/>
      <c r="G817" s="732"/>
      <c r="H817" s="733"/>
      <c r="I817" s="730"/>
      <c r="J817" s="731"/>
      <c r="K817" s="731"/>
      <c r="L817" s="731"/>
      <c r="M817" s="731"/>
      <c r="N817" s="731"/>
    </row>
    <row r="818">
      <c r="A818" s="408"/>
      <c r="B818" s="730"/>
      <c r="C818" s="772"/>
      <c r="D818" s="773"/>
      <c r="E818" s="772"/>
      <c r="F818" s="773"/>
      <c r="G818" s="732"/>
      <c r="H818" s="733"/>
      <c r="I818" s="730"/>
      <c r="J818" s="731"/>
      <c r="K818" s="731"/>
      <c r="L818" s="731"/>
      <c r="M818" s="731"/>
      <c r="N818" s="731"/>
    </row>
    <row r="819">
      <c r="A819" s="408"/>
      <c r="B819" s="730"/>
      <c r="C819" s="772"/>
      <c r="D819" s="773"/>
      <c r="E819" s="772"/>
      <c r="F819" s="773"/>
      <c r="G819" s="732"/>
      <c r="H819" s="733"/>
      <c r="I819" s="730"/>
      <c r="J819" s="731"/>
      <c r="K819" s="731"/>
      <c r="L819" s="731"/>
      <c r="M819" s="731"/>
      <c r="N819" s="731"/>
    </row>
    <row r="820">
      <c r="A820" s="408"/>
      <c r="B820" s="730"/>
      <c r="C820" s="772"/>
      <c r="D820" s="773"/>
      <c r="E820" s="772"/>
      <c r="F820" s="773"/>
      <c r="G820" s="732"/>
      <c r="H820" s="733"/>
      <c r="I820" s="730"/>
      <c r="J820" s="731"/>
      <c r="K820" s="731"/>
      <c r="L820" s="731"/>
      <c r="M820" s="731"/>
      <c r="N820" s="731"/>
    </row>
    <row r="821">
      <c r="A821" s="408"/>
      <c r="B821" s="730"/>
      <c r="C821" s="772"/>
      <c r="D821" s="773"/>
      <c r="E821" s="772"/>
      <c r="F821" s="773"/>
      <c r="G821" s="732"/>
      <c r="H821" s="733"/>
      <c r="I821" s="730"/>
      <c r="J821" s="731"/>
      <c r="K821" s="731"/>
      <c r="L821" s="731"/>
      <c r="M821" s="731"/>
      <c r="N821" s="731"/>
    </row>
    <row r="822">
      <c r="A822" s="408"/>
      <c r="B822" s="730"/>
      <c r="C822" s="772"/>
      <c r="D822" s="773"/>
      <c r="E822" s="772"/>
      <c r="F822" s="773"/>
      <c r="G822" s="732"/>
      <c r="H822" s="733"/>
      <c r="I822" s="730"/>
      <c r="J822" s="731"/>
      <c r="K822" s="731"/>
      <c r="L822" s="731"/>
      <c r="M822" s="731"/>
      <c r="N822" s="731"/>
    </row>
    <row r="823">
      <c r="A823" s="408"/>
      <c r="B823" s="730"/>
      <c r="C823" s="772"/>
      <c r="D823" s="773"/>
      <c r="E823" s="772"/>
      <c r="F823" s="773"/>
      <c r="G823" s="732"/>
      <c r="H823" s="733"/>
      <c r="I823" s="730"/>
      <c r="J823" s="731"/>
      <c r="K823" s="731"/>
      <c r="L823" s="731"/>
      <c r="M823" s="731"/>
      <c r="N823" s="731"/>
    </row>
    <row r="824">
      <c r="A824" s="408"/>
      <c r="B824" s="730"/>
      <c r="C824" s="772"/>
      <c r="D824" s="773"/>
      <c r="E824" s="772"/>
      <c r="F824" s="773"/>
      <c r="G824" s="732"/>
      <c r="H824" s="733"/>
      <c r="I824" s="730"/>
      <c r="J824" s="731"/>
      <c r="K824" s="731"/>
      <c r="L824" s="731"/>
      <c r="M824" s="731"/>
      <c r="N824" s="731"/>
    </row>
    <row r="825">
      <c r="A825" s="408"/>
      <c r="B825" s="730"/>
      <c r="C825" s="772"/>
      <c r="D825" s="773"/>
      <c r="E825" s="772"/>
      <c r="F825" s="773"/>
      <c r="G825" s="732"/>
      <c r="H825" s="733"/>
      <c r="I825" s="730"/>
      <c r="J825" s="731"/>
      <c r="K825" s="731"/>
      <c r="L825" s="731"/>
      <c r="M825" s="731"/>
      <c r="N825" s="731"/>
    </row>
    <row r="826">
      <c r="A826" s="408"/>
      <c r="B826" s="730"/>
      <c r="C826" s="772"/>
      <c r="D826" s="773"/>
      <c r="E826" s="772"/>
      <c r="F826" s="773"/>
      <c r="G826" s="732"/>
      <c r="H826" s="733"/>
      <c r="I826" s="730"/>
      <c r="J826" s="731"/>
      <c r="K826" s="731"/>
      <c r="L826" s="731"/>
      <c r="M826" s="731"/>
      <c r="N826" s="731"/>
    </row>
    <row r="827">
      <c r="A827" s="408"/>
      <c r="B827" s="730"/>
      <c r="C827" s="772"/>
      <c r="D827" s="773"/>
      <c r="E827" s="772"/>
      <c r="F827" s="773"/>
      <c r="G827" s="732"/>
      <c r="H827" s="733"/>
      <c r="I827" s="730"/>
      <c r="J827" s="731"/>
      <c r="K827" s="731"/>
      <c r="L827" s="731"/>
      <c r="M827" s="731"/>
      <c r="N827" s="731"/>
    </row>
    <row r="828">
      <c r="A828" s="408"/>
      <c r="B828" s="730"/>
      <c r="C828" s="772"/>
      <c r="D828" s="773"/>
      <c r="E828" s="772"/>
      <c r="F828" s="773"/>
      <c r="G828" s="732"/>
      <c r="H828" s="733"/>
      <c r="I828" s="730"/>
      <c r="J828" s="731"/>
      <c r="K828" s="731"/>
      <c r="L828" s="731"/>
      <c r="M828" s="731"/>
      <c r="N828" s="731"/>
    </row>
    <row r="829">
      <c r="A829" s="408"/>
      <c r="B829" s="730"/>
      <c r="C829" s="772"/>
      <c r="D829" s="773"/>
      <c r="E829" s="772"/>
      <c r="F829" s="773"/>
      <c r="G829" s="732"/>
      <c r="H829" s="733"/>
      <c r="I829" s="730"/>
      <c r="J829" s="731"/>
      <c r="K829" s="731"/>
      <c r="L829" s="731"/>
      <c r="M829" s="731"/>
      <c r="N829" s="731"/>
    </row>
    <row r="830">
      <c r="A830" s="408"/>
      <c r="B830" s="730"/>
      <c r="C830" s="772"/>
      <c r="D830" s="773"/>
      <c r="E830" s="772"/>
      <c r="F830" s="773"/>
      <c r="G830" s="732"/>
      <c r="H830" s="733"/>
      <c r="I830" s="730"/>
      <c r="J830" s="731"/>
      <c r="K830" s="731"/>
      <c r="L830" s="731"/>
      <c r="M830" s="731"/>
      <c r="N830" s="731"/>
    </row>
    <row r="831">
      <c r="A831" s="408"/>
      <c r="B831" s="730"/>
      <c r="C831" s="772"/>
      <c r="D831" s="773"/>
      <c r="E831" s="772"/>
      <c r="F831" s="773"/>
      <c r="G831" s="732"/>
      <c r="H831" s="733"/>
      <c r="I831" s="730"/>
      <c r="J831" s="731"/>
      <c r="K831" s="731"/>
      <c r="L831" s="731"/>
      <c r="M831" s="731"/>
      <c r="N831" s="731"/>
    </row>
    <row r="832">
      <c r="A832" s="408"/>
      <c r="B832" s="730"/>
      <c r="C832" s="772"/>
      <c r="D832" s="773"/>
      <c r="E832" s="772"/>
      <c r="F832" s="773"/>
      <c r="G832" s="732"/>
      <c r="H832" s="733"/>
      <c r="I832" s="730"/>
      <c r="J832" s="731"/>
      <c r="K832" s="731"/>
      <c r="L832" s="731"/>
      <c r="M832" s="731"/>
      <c r="N832" s="731"/>
    </row>
    <row r="833">
      <c r="A833" s="408"/>
      <c r="B833" s="730"/>
      <c r="C833" s="772"/>
      <c r="D833" s="773"/>
      <c r="E833" s="772"/>
      <c r="F833" s="773"/>
      <c r="G833" s="732"/>
      <c r="H833" s="733"/>
      <c r="I833" s="730"/>
      <c r="J833" s="731"/>
      <c r="K833" s="731"/>
      <c r="L833" s="731"/>
      <c r="M833" s="731"/>
      <c r="N833" s="731"/>
    </row>
    <row r="834">
      <c r="A834" s="408"/>
      <c r="B834" s="730"/>
      <c r="C834" s="772"/>
      <c r="D834" s="773"/>
      <c r="E834" s="772"/>
      <c r="F834" s="773"/>
      <c r="G834" s="732"/>
      <c r="H834" s="733"/>
      <c r="I834" s="730"/>
      <c r="J834" s="731"/>
      <c r="K834" s="731"/>
      <c r="L834" s="731"/>
      <c r="M834" s="731"/>
      <c r="N834" s="731"/>
    </row>
    <row r="835">
      <c r="A835" s="408"/>
      <c r="B835" s="730"/>
      <c r="C835" s="772"/>
      <c r="D835" s="773"/>
      <c r="E835" s="772"/>
      <c r="F835" s="773"/>
      <c r="G835" s="732"/>
      <c r="H835" s="733"/>
      <c r="I835" s="730"/>
      <c r="J835" s="731"/>
      <c r="K835" s="731"/>
      <c r="L835" s="731"/>
      <c r="M835" s="731"/>
      <c r="N835" s="731"/>
    </row>
    <row r="836">
      <c r="A836" s="408"/>
      <c r="B836" s="730"/>
      <c r="C836" s="772"/>
      <c r="D836" s="773"/>
      <c r="E836" s="772"/>
      <c r="F836" s="773"/>
      <c r="G836" s="732"/>
      <c r="H836" s="733"/>
      <c r="I836" s="730"/>
      <c r="J836" s="731"/>
      <c r="K836" s="731"/>
      <c r="L836" s="731"/>
      <c r="M836" s="731"/>
      <c r="N836" s="731"/>
    </row>
    <row r="837">
      <c r="A837" s="408"/>
      <c r="B837" s="730"/>
      <c r="C837" s="772"/>
      <c r="D837" s="773"/>
      <c r="E837" s="772"/>
      <c r="F837" s="773"/>
      <c r="G837" s="732"/>
      <c r="H837" s="733"/>
      <c r="I837" s="730"/>
      <c r="J837" s="731"/>
      <c r="K837" s="731"/>
      <c r="L837" s="731"/>
      <c r="M837" s="731"/>
      <c r="N837" s="731"/>
    </row>
    <row r="838">
      <c r="A838" s="408"/>
      <c r="B838" s="730"/>
      <c r="C838" s="772"/>
      <c r="D838" s="773"/>
      <c r="E838" s="772"/>
      <c r="F838" s="773"/>
      <c r="G838" s="732"/>
      <c r="H838" s="733"/>
      <c r="I838" s="730"/>
      <c r="J838" s="731"/>
      <c r="K838" s="731"/>
      <c r="L838" s="731"/>
      <c r="M838" s="731"/>
      <c r="N838" s="731"/>
    </row>
    <row r="839">
      <c r="A839" s="408"/>
      <c r="B839" s="730"/>
      <c r="C839" s="772"/>
      <c r="D839" s="773"/>
      <c r="E839" s="772"/>
      <c r="F839" s="773"/>
      <c r="G839" s="732"/>
      <c r="H839" s="733"/>
      <c r="I839" s="730"/>
      <c r="J839" s="731"/>
      <c r="K839" s="731"/>
      <c r="L839" s="731"/>
      <c r="M839" s="731"/>
      <c r="N839" s="731"/>
    </row>
    <row r="840">
      <c r="A840" s="408"/>
      <c r="B840" s="730"/>
      <c r="C840" s="772"/>
      <c r="D840" s="773"/>
      <c r="E840" s="772"/>
      <c r="F840" s="773"/>
      <c r="G840" s="732"/>
      <c r="H840" s="733"/>
      <c r="I840" s="730"/>
      <c r="J840" s="731"/>
      <c r="K840" s="731"/>
      <c r="L840" s="731"/>
      <c r="M840" s="731"/>
      <c r="N840" s="731"/>
    </row>
    <row r="841">
      <c r="A841" s="408"/>
      <c r="B841" s="730"/>
      <c r="C841" s="772"/>
      <c r="D841" s="773"/>
      <c r="E841" s="772"/>
      <c r="F841" s="773"/>
      <c r="G841" s="732"/>
      <c r="H841" s="733"/>
      <c r="I841" s="730"/>
      <c r="J841" s="731"/>
      <c r="K841" s="731"/>
      <c r="L841" s="731"/>
      <c r="M841" s="731"/>
      <c r="N841" s="731"/>
    </row>
    <row r="842">
      <c r="A842" s="408"/>
      <c r="B842" s="730"/>
      <c r="C842" s="772"/>
      <c r="D842" s="773"/>
      <c r="E842" s="772"/>
      <c r="F842" s="773"/>
      <c r="G842" s="732"/>
      <c r="H842" s="733"/>
      <c r="I842" s="730"/>
      <c r="J842" s="731"/>
      <c r="K842" s="731"/>
      <c r="L842" s="731"/>
      <c r="M842" s="731"/>
      <c r="N842" s="731"/>
    </row>
    <row r="843">
      <c r="A843" s="408"/>
      <c r="B843" s="730"/>
      <c r="C843" s="772"/>
      <c r="D843" s="773"/>
      <c r="E843" s="772"/>
      <c r="F843" s="773"/>
      <c r="G843" s="732"/>
      <c r="H843" s="733"/>
      <c r="I843" s="730"/>
      <c r="J843" s="731"/>
      <c r="K843" s="731"/>
      <c r="L843" s="731"/>
      <c r="M843" s="731"/>
      <c r="N843" s="731"/>
    </row>
    <row r="844">
      <c r="A844" s="408"/>
      <c r="B844" s="730"/>
      <c r="C844" s="772"/>
      <c r="D844" s="773"/>
      <c r="E844" s="772"/>
      <c r="F844" s="773"/>
      <c r="G844" s="732"/>
      <c r="H844" s="733"/>
      <c r="I844" s="730"/>
      <c r="J844" s="731"/>
      <c r="K844" s="731"/>
      <c r="L844" s="731"/>
      <c r="M844" s="731"/>
      <c r="N844" s="731"/>
    </row>
    <row r="845">
      <c r="A845" s="408"/>
      <c r="B845" s="730"/>
      <c r="C845" s="772"/>
      <c r="D845" s="773"/>
      <c r="E845" s="772"/>
      <c r="F845" s="773"/>
      <c r="G845" s="732"/>
      <c r="H845" s="733"/>
      <c r="I845" s="730"/>
      <c r="J845" s="731"/>
      <c r="K845" s="731"/>
      <c r="L845" s="731"/>
      <c r="M845" s="731"/>
      <c r="N845" s="731"/>
    </row>
    <row r="846">
      <c r="A846" s="408"/>
      <c r="B846" s="730"/>
      <c r="C846" s="772"/>
      <c r="D846" s="773"/>
      <c r="E846" s="772"/>
      <c r="F846" s="773"/>
      <c r="G846" s="732"/>
      <c r="H846" s="733"/>
      <c r="I846" s="730"/>
      <c r="J846" s="731"/>
      <c r="K846" s="731"/>
      <c r="L846" s="731"/>
      <c r="M846" s="731"/>
      <c r="N846" s="731"/>
    </row>
    <row r="847">
      <c r="A847" s="408"/>
      <c r="B847" s="730"/>
      <c r="C847" s="772"/>
      <c r="D847" s="773"/>
      <c r="E847" s="772"/>
      <c r="F847" s="773"/>
      <c r="G847" s="732"/>
      <c r="H847" s="733"/>
      <c r="I847" s="730"/>
      <c r="J847" s="731"/>
      <c r="K847" s="731"/>
      <c r="L847" s="731"/>
      <c r="M847" s="731"/>
      <c r="N847" s="731"/>
    </row>
    <row r="848">
      <c r="A848" s="408"/>
      <c r="B848" s="730"/>
      <c r="C848" s="772"/>
      <c r="D848" s="773"/>
      <c r="E848" s="772"/>
      <c r="F848" s="773"/>
      <c r="G848" s="732"/>
      <c r="H848" s="733"/>
      <c r="I848" s="730"/>
      <c r="J848" s="731"/>
      <c r="K848" s="731"/>
      <c r="L848" s="731"/>
      <c r="M848" s="731"/>
      <c r="N848" s="731"/>
    </row>
    <row r="849">
      <c r="A849" s="408"/>
      <c r="B849" s="730"/>
      <c r="C849" s="772"/>
      <c r="D849" s="773"/>
      <c r="E849" s="772"/>
      <c r="F849" s="773"/>
      <c r="G849" s="732"/>
      <c r="H849" s="733"/>
      <c r="I849" s="730"/>
      <c r="J849" s="731"/>
      <c r="K849" s="731"/>
      <c r="L849" s="731"/>
      <c r="M849" s="731"/>
      <c r="N849" s="731"/>
    </row>
    <row r="850">
      <c r="A850" s="408"/>
      <c r="B850" s="730"/>
      <c r="C850" s="772"/>
      <c r="D850" s="773"/>
      <c r="E850" s="772"/>
      <c r="F850" s="773"/>
      <c r="G850" s="732"/>
      <c r="H850" s="733"/>
      <c r="I850" s="730"/>
      <c r="J850" s="731"/>
      <c r="K850" s="731"/>
      <c r="L850" s="731"/>
      <c r="M850" s="731"/>
      <c r="N850" s="731"/>
    </row>
    <row r="851">
      <c r="A851" s="408"/>
      <c r="B851" s="730"/>
      <c r="C851" s="772"/>
      <c r="D851" s="773"/>
      <c r="E851" s="772"/>
      <c r="F851" s="773"/>
      <c r="G851" s="732"/>
      <c r="H851" s="733"/>
      <c r="I851" s="730"/>
      <c r="J851" s="731"/>
      <c r="K851" s="731"/>
      <c r="L851" s="731"/>
      <c r="M851" s="731"/>
      <c r="N851" s="731"/>
    </row>
    <row r="852">
      <c r="A852" s="408"/>
      <c r="B852" s="730"/>
      <c r="C852" s="772"/>
      <c r="D852" s="773"/>
      <c r="E852" s="772"/>
      <c r="F852" s="773"/>
      <c r="G852" s="732"/>
      <c r="H852" s="733"/>
      <c r="I852" s="730"/>
      <c r="J852" s="731"/>
      <c r="K852" s="731"/>
      <c r="L852" s="731"/>
      <c r="M852" s="731"/>
      <c r="N852" s="731"/>
    </row>
    <row r="853">
      <c r="A853" s="408"/>
      <c r="B853" s="730"/>
      <c r="C853" s="772"/>
      <c r="D853" s="773"/>
      <c r="E853" s="772"/>
      <c r="F853" s="773"/>
      <c r="G853" s="732"/>
      <c r="H853" s="733"/>
      <c r="I853" s="730"/>
      <c r="J853" s="731"/>
      <c r="K853" s="731"/>
      <c r="L853" s="731"/>
      <c r="M853" s="731"/>
      <c r="N853" s="731"/>
    </row>
    <row r="854">
      <c r="A854" s="408"/>
      <c r="B854" s="730"/>
      <c r="C854" s="772"/>
      <c r="D854" s="773"/>
      <c r="E854" s="772"/>
      <c r="F854" s="773"/>
      <c r="G854" s="732"/>
      <c r="H854" s="733"/>
      <c r="I854" s="730"/>
      <c r="J854" s="731"/>
      <c r="K854" s="731"/>
      <c r="L854" s="731"/>
      <c r="M854" s="731"/>
      <c r="N854" s="731"/>
    </row>
    <row r="855">
      <c r="A855" s="408"/>
      <c r="B855" s="730"/>
      <c r="C855" s="772"/>
      <c r="D855" s="773"/>
      <c r="E855" s="772"/>
      <c r="F855" s="773"/>
      <c r="G855" s="732"/>
      <c r="H855" s="733"/>
      <c r="I855" s="730"/>
      <c r="J855" s="731"/>
      <c r="K855" s="731"/>
      <c r="L855" s="731"/>
      <c r="M855" s="731"/>
      <c r="N855" s="731"/>
    </row>
    <row r="856">
      <c r="A856" s="408"/>
      <c r="B856" s="730"/>
      <c r="C856" s="772"/>
      <c r="D856" s="773"/>
      <c r="E856" s="772"/>
      <c r="F856" s="773"/>
      <c r="G856" s="732"/>
      <c r="H856" s="733"/>
      <c r="I856" s="730"/>
      <c r="J856" s="731"/>
      <c r="K856" s="731"/>
      <c r="L856" s="731"/>
      <c r="M856" s="731"/>
      <c r="N856" s="731"/>
    </row>
    <row r="857">
      <c r="A857" s="408"/>
      <c r="B857" s="730"/>
      <c r="C857" s="772"/>
      <c r="D857" s="773"/>
      <c r="E857" s="772"/>
      <c r="F857" s="773"/>
      <c r="G857" s="732"/>
      <c r="H857" s="733"/>
      <c r="I857" s="730"/>
      <c r="J857" s="731"/>
      <c r="K857" s="731"/>
      <c r="L857" s="731"/>
      <c r="M857" s="731"/>
      <c r="N857" s="731"/>
    </row>
    <row r="858">
      <c r="A858" s="408"/>
      <c r="B858" s="730"/>
      <c r="C858" s="772"/>
      <c r="D858" s="773"/>
      <c r="E858" s="772"/>
      <c r="F858" s="773"/>
      <c r="G858" s="732"/>
      <c r="H858" s="733"/>
      <c r="I858" s="730"/>
      <c r="J858" s="731"/>
      <c r="K858" s="731"/>
      <c r="L858" s="731"/>
      <c r="M858" s="731"/>
      <c r="N858" s="731"/>
    </row>
    <row r="859">
      <c r="A859" s="408"/>
      <c r="B859" s="730"/>
      <c r="C859" s="772"/>
      <c r="D859" s="773"/>
      <c r="E859" s="772"/>
      <c r="F859" s="773"/>
      <c r="G859" s="732"/>
      <c r="H859" s="733"/>
      <c r="I859" s="730"/>
      <c r="J859" s="731"/>
      <c r="K859" s="731"/>
      <c r="L859" s="731"/>
      <c r="M859" s="731"/>
      <c r="N859" s="731"/>
    </row>
    <row r="860">
      <c r="A860" s="408"/>
      <c r="B860" s="730"/>
      <c r="C860" s="772"/>
      <c r="D860" s="773"/>
      <c r="E860" s="772"/>
      <c r="F860" s="773"/>
      <c r="G860" s="732"/>
      <c r="H860" s="733"/>
      <c r="I860" s="730"/>
      <c r="J860" s="731"/>
      <c r="K860" s="731"/>
      <c r="L860" s="731"/>
      <c r="M860" s="731"/>
      <c r="N860" s="731"/>
    </row>
    <row r="861">
      <c r="A861" s="408"/>
      <c r="B861" s="730"/>
      <c r="C861" s="772"/>
      <c r="D861" s="773"/>
      <c r="E861" s="772"/>
      <c r="F861" s="773"/>
      <c r="G861" s="732"/>
      <c r="H861" s="733"/>
      <c r="I861" s="730"/>
      <c r="J861" s="731"/>
      <c r="K861" s="731"/>
      <c r="L861" s="731"/>
      <c r="M861" s="731"/>
      <c r="N861" s="731"/>
    </row>
    <row r="862">
      <c r="A862" s="408"/>
      <c r="B862" s="730"/>
      <c r="C862" s="772"/>
      <c r="D862" s="773"/>
      <c r="E862" s="772"/>
      <c r="F862" s="773"/>
      <c r="G862" s="732"/>
      <c r="H862" s="733"/>
      <c r="I862" s="730"/>
      <c r="J862" s="731"/>
      <c r="K862" s="731"/>
      <c r="L862" s="731"/>
      <c r="M862" s="731"/>
      <c r="N862" s="731"/>
    </row>
    <row r="863">
      <c r="A863" s="408"/>
      <c r="B863" s="730"/>
      <c r="C863" s="772"/>
      <c r="D863" s="773"/>
      <c r="E863" s="772"/>
      <c r="F863" s="773"/>
      <c r="G863" s="732"/>
      <c r="H863" s="733"/>
      <c r="I863" s="730"/>
      <c r="J863" s="731"/>
      <c r="K863" s="731"/>
      <c r="L863" s="731"/>
      <c r="M863" s="731"/>
      <c r="N863" s="731"/>
    </row>
    <row r="864">
      <c r="A864" s="408"/>
      <c r="B864" s="730"/>
      <c r="C864" s="772"/>
      <c r="D864" s="773"/>
      <c r="E864" s="772"/>
      <c r="F864" s="773"/>
      <c r="G864" s="732"/>
      <c r="H864" s="733"/>
      <c r="I864" s="730"/>
      <c r="J864" s="731"/>
      <c r="K864" s="731"/>
      <c r="L864" s="731"/>
      <c r="M864" s="731"/>
      <c r="N864" s="731"/>
    </row>
    <row r="865">
      <c r="A865" s="408"/>
      <c r="B865" s="730"/>
      <c r="C865" s="772"/>
      <c r="D865" s="773"/>
      <c r="E865" s="772"/>
      <c r="F865" s="773"/>
      <c r="G865" s="732"/>
      <c r="H865" s="733"/>
      <c r="I865" s="730"/>
      <c r="J865" s="731"/>
      <c r="K865" s="731"/>
      <c r="L865" s="731"/>
      <c r="M865" s="731"/>
      <c r="N865" s="731"/>
    </row>
    <row r="866">
      <c r="A866" s="408"/>
      <c r="B866" s="730"/>
      <c r="C866" s="772"/>
      <c r="D866" s="773"/>
      <c r="E866" s="772"/>
      <c r="F866" s="773"/>
      <c r="G866" s="732"/>
      <c r="H866" s="733"/>
      <c r="I866" s="730"/>
      <c r="J866" s="731"/>
      <c r="K866" s="731"/>
      <c r="L866" s="731"/>
      <c r="M866" s="731"/>
      <c r="N866" s="731"/>
    </row>
    <row r="867">
      <c r="A867" s="408"/>
      <c r="B867" s="730"/>
      <c r="C867" s="772"/>
      <c r="D867" s="773"/>
      <c r="E867" s="772"/>
      <c r="F867" s="773"/>
      <c r="G867" s="732"/>
      <c r="H867" s="733"/>
      <c r="I867" s="730"/>
      <c r="J867" s="731"/>
      <c r="K867" s="731"/>
      <c r="L867" s="731"/>
      <c r="M867" s="731"/>
      <c r="N867" s="731"/>
    </row>
    <row r="868">
      <c r="A868" s="408"/>
      <c r="B868" s="730"/>
      <c r="C868" s="772"/>
      <c r="D868" s="773"/>
      <c r="E868" s="772"/>
      <c r="F868" s="773"/>
      <c r="G868" s="732"/>
      <c r="H868" s="733"/>
      <c r="I868" s="730"/>
      <c r="J868" s="731"/>
      <c r="K868" s="731"/>
      <c r="L868" s="731"/>
      <c r="M868" s="731"/>
      <c r="N868" s="731"/>
    </row>
    <row r="869">
      <c r="A869" s="408"/>
      <c r="B869" s="730"/>
      <c r="C869" s="772"/>
      <c r="D869" s="773"/>
      <c r="E869" s="772"/>
      <c r="F869" s="773"/>
      <c r="G869" s="732"/>
      <c r="H869" s="733"/>
      <c r="I869" s="730"/>
      <c r="J869" s="731"/>
      <c r="K869" s="731"/>
      <c r="L869" s="731"/>
      <c r="M869" s="731"/>
      <c r="N869" s="731"/>
    </row>
    <row r="870">
      <c r="A870" s="408"/>
      <c r="B870" s="730"/>
      <c r="C870" s="772"/>
      <c r="D870" s="773"/>
      <c r="E870" s="772"/>
      <c r="F870" s="773"/>
      <c r="G870" s="732"/>
      <c r="H870" s="733"/>
      <c r="I870" s="730"/>
      <c r="J870" s="731"/>
      <c r="K870" s="731"/>
      <c r="L870" s="731"/>
      <c r="M870" s="731"/>
      <c r="N870" s="731"/>
    </row>
    <row r="871">
      <c r="A871" s="408"/>
      <c r="B871" s="730"/>
      <c r="C871" s="772"/>
      <c r="D871" s="773"/>
      <c r="E871" s="772"/>
      <c r="F871" s="773"/>
      <c r="G871" s="732"/>
      <c r="H871" s="733"/>
      <c r="I871" s="730"/>
      <c r="J871" s="731"/>
      <c r="K871" s="731"/>
      <c r="L871" s="731"/>
      <c r="M871" s="731"/>
      <c r="N871" s="731"/>
    </row>
    <row r="872">
      <c r="A872" s="408"/>
      <c r="B872" s="730"/>
      <c r="C872" s="772"/>
      <c r="D872" s="773"/>
      <c r="E872" s="772"/>
      <c r="F872" s="773"/>
      <c r="G872" s="732"/>
      <c r="H872" s="733"/>
      <c r="I872" s="730"/>
      <c r="J872" s="731"/>
      <c r="K872" s="731"/>
      <c r="L872" s="731"/>
      <c r="M872" s="731"/>
      <c r="N872" s="731"/>
    </row>
    <row r="873">
      <c r="A873" s="408"/>
      <c r="B873" s="730"/>
      <c r="C873" s="772"/>
      <c r="D873" s="773"/>
      <c r="E873" s="772"/>
      <c r="F873" s="773"/>
      <c r="G873" s="732"/>
      <c r="H873" s="733"/>
      <c r="I873" s="730"/>
      <c r="J873" s="731"/>
      <c r="K873" s="731"/>
      <c r="L873" s="731"/>
      <c r="M873" s="731"/>
      <c r="N873" s="731"/>
    </row>
    <row r="874">
      <c r="A874" s="408"/>
      <c r="B874" s="730"/>
      <c r="C874" s="772"/>
      <c r="D874" s="773"/>
      <c r="E874" s="772"/>
      <c r="F874" s="773"/>
      <c r="G874" s="732"/>
      <c r="H874" s="733"/>
      <c r="I874" s="730"/>
      <c r="J874" s="731"/>
      <c r="K874" s="731"/>
      <c r="L874" s="731"/>
      <c r="M874" s="731"/>
      <c r="N874" s="731"/>
    </row>
    <row r="875">
      <c r="A875" s="408"/>
      <c r="B875" s="730"/>
      <c r="C875" s="772"/>
      <c r="D875" s="773"/>
      <c r="E875" s="772"/>
      <c r="F875" s="773"/>
      <c r="G875" s="732"/>
      <c r="H875" s="733"/>
      <c r="I875" s="730"/>
      <c r="J875" s="731"/>
      <c r="K875" s="731"/>
      <c r="L875" s="731"/>
      <c r="M875" s="731"/>
      <c r="N875" s="731"/>
    </row>
    <row r="876">
      <c r="A876" s="408"/>
      <c r="B876" s="730"/>
      <c r="C876" s="772"/>
      <c r="D876" s="773"/>
      <c r="E876" s="772"/>
      <c r="F876" s="773"/>
      <c r="G876" s="732"/>
      <c r="H876" s="733"/>
      <c r="I876" s="730"/>
      <c r="J876" s="731"/>
      <c r="K876" s="731"/>
      <c r="L876" s="731"/>
      <c r="M876" s="731"/>
      <c r="N876" s="731"/>
    </row>
    <row r="877">
      <c r="A877" s="408"/>
      <c r="B877" s="730"/>
      <c r="C877" s="772"/>
      <c r="D877" s="773"/>
      <c r="E877" s="772"/>
      <c r="F877" s="773"/>
      <c r="G877" s="732"/>
      <c r="H877" s="733"/>
      <c r="I877" s="730"/>
      <c r="J877" s="731"/>
      <c r="K877" s="731"/>
      <c r="L877" s="731"/>
      <c r="M877" s="731"/>
      <c r="N877" s="731"/>
    </row>
    <row r="878">
      <c r="A878" s="408"/>
      <c r="B878" s="730"/>
      <c r="C878" s="772"/>
      <c r="D878" s="773"/>
      <c r="E878" s="772"/>
      <c r="F878" s="773"/>
      <c r="G878" s="732"/>
      <c r="H878" s="733"/>
      <c r="I878" s="730"/>
      <c r="J878" s="731"/>
      <c r="K878" s="731"/>
      <c r="L878" s="731"/>
      <c r="M878" s="731"/>
      <c r="N878" s="731"/>
    </row>
    <row r="879">
      <c r="A879" s="408"/>
      <c r="B879" s="730"/>
      <c r="C879" s="772"/>
      <c r="D879" s="773"/>
      <c r="E879" s="772"/>
      <c r="F879" s="773"/>
      <c r="G879" s="732"/>
      <c r="H879" s="733"/>
      <c r="I879" s="730"/>
      <c r="J879" s="731"/>
      <c r="K879" s="731"/>
      <c r="L879" s="731"/>
      <c r="M879" s="731"/>
      <c r="N879" s="731"/>
    </row>
    <row r="880">
      <c r="A880" s="408"/>
      <c r="B880" s="730"/>
      <c r="C880" s="772"/>
      <c r="D880" s="773"/>
      <c r="E880" s="772"/>
      <c r="F880" s="773"/>
      <c r="G880" s="732"/>
      <c r="H880" s="733"/>
      <c r="I880" s="730"/>
      <c r="J880" s="731"/>
      <c r="K880" s="731"/>
      <c r="L880" s="731"/>
      <c r="M880" s="731"/>
      <c r="N880" s="731"/>
    </row>
    <row r="881">
      <c r="A881" s="408"/>
      <c r="B881" s="730"/>
      <c r="C881" s="772"/>
      <c r="D881" s="773"/>
      <c r="E881" s="772"/>
      <c r="F881" s="773"/>
      <c r="G881" s="732"/>
      <c r="H881" s="733"/>
      <c r="I881" s="730"/>
      <c r="J881" s="731"/>
      <c r="K881" s="731"/>
      <c r="L881" s="731"/>
      <c r="M881" s="731"/>
      <c r="N881" s="731"/>
    </row>
    <row r="882">
      <c r="A882" s="408"/>
      <c r="B882" s="730"/>
      <c r="C882" s="772"/>
      <c r="D882" s="773"/>
      <c r="E882" s="772"/>
      <c r="F882" s="773"/>
      <c r="G882" s="732"/>
      <c r="H882" s="733"/>
      <c r="I882" s="730"/>
      <c r="J882" s="731"/>
      <c r="K882" s="731"/>
      <c r="L882" s="731"/>
      <c r="M882" s="731"/>
      <c r="N882" s="731"/>
    </row>
    <row r="883">
      <c r="A883" s="408"/>
      <c r="B883" s="730"/>
      <c r="C883" s="772"/>
      <c r="D883" s="773"/>
      <c r="E883" s="772"/>
      <c r="F883" s="773"/>
      <c r="G883" s="732"/>
      <c r="H883" s="733"/>
      <c r="I883" s="730"/>
      <c r="J883" s="731"/>
      <c r="K883" s="731"/>
      <c r="L883" s="731"/>
      <c r="M883" s="731"/>
      <c r="N883" s="731"/>
    </row>
    <row r="884">
      <c r="A884" s="408"/>
      <c r="B884" s="730"/>
      <c r="C884" s="772"/>
      <c r="D884" s="773"/>
      <c r="E884" s="772"/>
      <c r="F884" s="773"/>
      <c r="G884" s="732"/>
      <c r="H884" s="733"/>
      <c r="I884" s="730"/>
      <c r="J884" s="731"/>
      <c r="K884" s="731"/>
      <c r="L884" s="731"/>
      <c r="M884" s="731"/>
      <c r="N884" s="731"/>
    </row>
    <row r="885">
      <c r="A885" s="408"/>
      <c r="B885" s="730"/>
      <c r="C885" s="772"/>
      <c r="D885" s="773"/>
      <c r="E885" s="772"/>
      <c r="F885" s="773"/>
      <c r="G885" s="732"/>
      <c r="H885" s="733"/>
      <c r="I885" s="730"/>
      <c r="J885" s="731"/>
      <c r="K885" s="731"/>
      <c r="L885" s="731"/>
      <c r="M885" s="731"/>
      <c r="N885" s="731"/>
    </row>
    <row r="886">
      <c r="A886" s="408"/>
      <c r="B886" s="730"/>
      <c r="C886" s="772"/>
      <c r="D886" s="773"/>
      <c r="E886" s="772"/>
      <c r="F886" s="773"/>
      <c r="G886" s="732"/>
      <c r="H886" s="733"/>
      <c r="I886" s="730"/>
      <c r="J886" s="731"/>
      <c r="K886" s="731"/>
      <c r="L886" s="731"/>
      <c r="M886" s="731"/>
      <c r="N886" s="731"/>
    </row>
    <row r="887">
      <c r="A887" s="408"/>
      <c r="B887" s="730"/>
      <c r="C887" s="772"/>
      <c r="D887" s="773"/>
      <c r="E887" s="772"/>
      <c r="F887" s="773"/>
      <c r="G887" s="732"/>
      <c r="H887" s="733"/>
      <c r="I887" s="730"/>
      <c r="J887" s="731"/>
      <c r="K887" s="731"/>
      <c r="L887" s="731"/>
      <c r="M887" s="731"/>
      <c r="N887" s="731"/>
    </row>
    <row r="888">
      <c r="A888" s="408"/>
      <c r="B888" s="730"/>
      <c r="C888" s="772"/>
      <c r="D888" s="773"/>
      <c r="E888" s="772"/>
      <c r="F888" s="773"/>
      <c r="G888" s="732"/>
      <c r="H888" s="733"/>
      <c r="I888" s="730"/>
      <c r="J888" s="731"/>
      <c r="K888" s="731"/>
      <c r="L888" s="731"/>
      <c r="M888" s="731"/>
      <c r="N888" s="731"/>
    </row>
    <row r="889">
      <c r="A889" s="408"/>
      <c r="B889" s="730"/>
      <c r="C889" s="772"/>
      <c r="D889" s="773"/>
      <c r="E889" s="772"/>
      <c r="F889" s="773"/>
      <c r="G889" s="732"/>
      <c r="H889" s="733"/>
      <c r="I889" s="730"/>
      <c r="J889" s="731"/>
      <c r="K889" s="731"/>
      <c r="L889" s="731"/>
      <c r="M889" s="731"/>
      <c r="N889" s="731"/>
    </row>
    <row r="890">
      <c r="A890" s="408"/>
      <c r="B890" s="730"/>
      <c r="C890" s="772"/>
      <c r="D890" s="773"/>
      <c r="E890" s="772"/>
      <c r="F890" s="773"/>
      <c r="G890" s="732"/>
      <c r="H890" s="733"/>
      <c r="I890" s="730"/>
      <c r="J890" s="731"/>
      <c r="K890" s="731"/>
      <c r="L890" s="731"/>
      <c r="M890" s="731"/>
      <c r="N890" s="731"/>
    </row>
    <row r="891">
      <c r="A891" s="408"/>
      <c r="B891" s="730"/>
      <c r="C891" s="772"/>
      <c r="D891" s="773"/>
      <c r="E891" s="772"/>
      <c r="F891" s="773"/>
      <c r="G891" s="732"/>
      <c r="H891" s="733"/>
      <c r="I891" s="730"/>
      <c r="J891" s="731"/>
      <c r="K891" s="731"/>
      <c r="L891" s="731"/>
      <c r="M891" s="731"/>
      <c r="N891" s="731"/>
    </row>
    <row r="892">
      <c r="A892" s="408"/>
      <c r="B892" s="730"/>
      <c r="C892" s="772"/>
      <c r="D892" s="773"/>
      <c r="E892" s="772"/>
      <c r="F892" s="773"/>
      <c r="G892" s="732"/>
      <c r="H892" s="733"/>
      <c r="I892" s="730"/>
      <c r="J892" s="731"/>
      <c r="K892" s="731"/>
      <c r="L892" s="731"/>
      <c r="M892" s="731"/>
      <c r="N892" s="731"/>
    </row>
    <row r="893">
      <c r="A893" s="408"/>
      <c r="B893" s="730"/>
      <c r="C893" s="772"/>
      <c r="D893" s="773"/>
      <c r="E893" s="772"/>
      <c r="F893" s="773"/>
      <c r="G893" s="732"/>
      <c r="H893" s="733"/>
      <c r="I893" s="730"/>
      <c r="J893" s="731"/>
      <c r="K893" s="731"/>
      <c r="L893" s="731"/>
      <c r="M893" s="731"/>
      <c r="N893" s="731"/>
    </row>
    <row r="894">
      <c r="A894" s="408"/>
      <c r="B894" s="730"/>
      <c r="C894" s="772"/>
      <c r="D894" s="773"/>
      <c r="E894" s="772"/>
      <c r="F894" s="773"/>
      <c r="G894" s="732"/>
      <c r="H894" s="733"/>
      <c r="I894" s="730"/>
      <c r="J894" s="731"/>
      <c r="K894" s="731"/>
      <c r="L894" s="731"/>
      <c r="M894" s="731"/>
      <c r="N894" s="731"/>
    </row>
    <row r="895">
      <c r="A895" s="408"/>
      <c r="B895" s="730"/>
      <c r="C895" s="772"/>
      <c r="D895" s="773"/>
      <c r="E895" s="772"/>
      <c r="F895" s="773"/>
      <c r="G895" s="732"/>
      <c r="H895" s="733"/>
      <c r="I895" s="730"/>
      <c r="J895" s="731"/>
      <c r="K895" s="731"/>
      <c r="L895" s="731"/>
      <c r="M895" s="731"/>
      <c r="N895" s="731"/>
    </row>
    <row r="896">
      <c r="A896" s="408"/>
      <c r="B896" s="730"/>
      <c r="C896" s="772"/>
      <c r="D896" s="773"/>
      <c r="E896" s="772"/>
      <c r="F896" s="773"/>
      <c r="G896" s="732"/>
      <c r="H896" s="733"/>
      <c r="I896" s="730"/>
      <c r="J896" s="731"/>
      <c r="K896" s="731"/>
      <c r="L896" s="731"/>
      <c r="M896" s="731"/>
      <c r="N896" s="731"/>
    </row>
    <row r="897">
      <c r="A897" s="408"/>
      <c r="B897" s="730"/>
      <c r="C897" s="772"/>
      <c r="D897" s="773"/>
      <c r="E897" s="772"/>
      <c r="F897" s="773"/>
      <c r="G897" s="732"/>
      <c r="H897" s="733"/>
      <c r="I897" s="730"/>
      <c r="J897" s="731"/>
      <c r="K897" s="731"/>
      <c r="L897" s="731"/>
      <c r="M897" s="731"/>
      <c r="N897" s="731"/>
    </row>
    <row r="898">
      <c r="A898" s="408"/>
      <c r="B898" s="730"/>
      <c r="C898" s="772"/>
      <c r="D898" s="773"/>
      <c r="E898" s="772"/>
      <c r="F898" s="773"/>
      <c r="G898" s="732"/>
      <c r="H898" s="733"/>
      <c r="I898" s="730"/>
      <c r="J898" s="731"/>
      <c r="K898" s="731"/>
      <c r="L898" s="731"/>
      <c r="M898" s="731"/>
      <c r="N898" s="731"/>
    </row>
    <row r="899">
      <c r="A899" s="408"/>
      <c r="B899" s="730"/>
      <c r="C899" s="772"/>
      <c r="D899" s="773"/>
      <c r="E899" s="772"/>
      <c r="F899" s="773"/>
      <c r="G899" s="732"/>
      <c r="H899" s="733"/>
      <c r="I899" s="730"/>
      <c r="J899" s="731"/>
      <c r="K899" s="731"/>
      <c r="L899" s="731"/>
      <c r="M899" s="731"/>
      <c r="N899" s="731"/>
    </row>
    <row r="900">
      <c r="A900" s="408"/>
      <c r="B900" s="730"/>
      <c r="C900" s="772"/>
      <c r="D900" s="773"/>
      <c r="E900" s="772"/>
      <c r="F900" s="773"/>
      <c r="G900" s="732"/>
      <c r="H900" s="733"/>
      <c r="I900" s="730"/>
      <c r="J900" s="731"/>
      <c r="K900" s="731"/>
      <c r="L900" s="731"/>
      <c r="M900" s="731"/>
      <c r="N900" s="731"/>
    </row>
    <row r="901">
      <c r="A901" s="408"/>
      <c r="B901" s="730"/>
      <c r="C901" s="772"/>
      <c r="D901" s="773"/>
      <c r="E901" s="772"/>
      <c r="F901" s="773"/>
      <c r="G901" s="732"/>
      <c r="H901" s="733"/>
      <c r="I901" s="730"/>
      <c r="J901" s="731"/>
      <c r="K901" s="731"/>
      <c r="L901" s="731"/>
      <c r="M901" s="731"/>
      <c r="N901" s="731"/>
    </row>
    <row r="902">
      <c r="A902" s="408"/>
      <c r="B902" s="730"/>
      <c r="C902" s="772"/>
      <c r="D902" s="773"/>
      <c r="E902" s="772"/>
      <c r="F902" s="773"/>
      <c r="G902" s="732"/>
      <c r="H902" s="733"/>
      <c r="I902" s="730"/>
      <c r="J902" s="731"/>
      <c r="K902" s="731"/>
      <c r="L902" s="731"/>
      <c r="M902" s="731"/>
      <c r="N902" s="731"/>
    </row>
    <row r="903">
      <c r="A903" s="408"/>
      <c r="B903" s="730"/>
      <c r="C903" s="772"/>
      <c r="D903" s="773"/>
      <c r="E903" s="772"/>
      <c r="F903" s="773"/>
      <c r="G903" s="732"/>
      <c r="H903" s="733"/>
      <c r="I903" s="730"/>
      <c r="J903" s="731"/>
      <c r="K903" s="731"/>
      <c r="L903" s="731"/>
      <c r="M903" s="731"/>
      <c r="N903" s="731"/>
    </row>
    <row r="904">
      <c r="A904" s="408"/>
      <c r="B904" s="730"/>
      <c r="C904" s="772"/>
      <c r="D904" s="773"/>
      <c r="E904" s="772"/>
      <c r="F904" s="773"/>
      <c r="G904" s="732"/>
      <c r="H904" s="733"/>
      <c r="I904" s="730"/>
      <c r="J904" s="731"/>
      <c r="K904" s="731"/>
      <c r="L904" s="731"/>
      <c r="M904" s="731"/>
      <c r="N904" s="731"/>
    </row>
    <row r="905">
      <c r="A905" s="408"/>
      <c r="B905" s="730"/>
      <c r="C905" s="772"/>
      <c r="D905" s="773"/>
      <c r="E905" s="772"/>
      <c r="F905" s="773"/>
      <c r="G905" s="732"/>
      <c r="H905" s="733"/>
      <c r="I905" s="730"/>
      <c r="J905" s="731"/>
      <c r="K905" s="731"/>
      <c r="L905" s="731"/>
      <c r="M905" s="731"/>
      <c r="N905" s="731"/>
    </row>
    <row r="906">
      <c r="A906" s="408"/>
      <c r="B906" s="730"/>
      <c r="C906" s="772"/>
      <c r="D906" s="773"/>
      <c r="E906" s="772"/>
      <c r="F906" s="773"/>
      <c r="G906" s="732"/>
      <c r="H906" s="733"/>
      <c r="I906" s="730"/>
      <c r="J906" s="731"/>
      <c r="K906" s="731"/>
      <c r="L906" s="731"/>
      <c r="M906" s="731"/>
      <c r="N906" s="731"/>
    </row>
    <row r="907">
      <c r="A907" s="408"/>
      <c r="B907" s="730"/>
      <c r="C907" s="772"/>
      <c r="D907" s="773"/>
      <c r="E907" s="772"/>
      <c r="F907" s="773"/>
      <c r="G907" s="732"/>
      <c r="H907" s="733"/>
      <c r="I907" s="730"/>
      <c r="J907" s="731"/>
      <c r="K907" s="731"/>
      <c r="L907" s="731"/>
      <c r="M907" s="731"/>
      <c r="N907" s="731"/>
    </row>
    <row r="908">
      <c r="A908" s="408"/>
      <c r="B908" s="730"/>
      <c r="C908" s="772"/>
      <c r="D908" s="773"/>
      <c r="E908" s="772"/>
      <c r="F908" s="773"/>
      <c r="G908" s="732"/>
      <c r="H908" s="733"/>
      <c r="I908" s="730"/>
      <c r="J908" s="731"/>
      <c r="K908" s="731"/>
      <c r="L908" s="731"/>
      <c r="M908" s="731"/>
      <c r="N908" s="731"/>
    </row>
    <row r="909">
      <c r="A909" s="408"/>
      <c r="B909" s="730"/>
      <c r="C909" s="772"/>
      <c r="D909" s="773"/>
      <c r="E909" s="772"/>
      <c r="F909" s="773"/>
      <c r="G909" s="732"/>
      <c r="H909" s="733"/>
      <c r="I909" s="730"/>
      <c r="J909" s="731"/>
      <c r="K909" s="731"/>
      <c r="L909" s="731"/>
      <c r="M909" s="731"/>
      <c r="N909" s="731"/>
    </row>
    <row r="910">
      <c r="A910" s="408"/>
      <c r="B910" s="730"/>
      <c r="C910" s="772"/>
      <c r="D910" s="773"/>
      <c r="E910" s="772"/>
      <c r="F910" s="773"/>
      <c r="G910" s="732"/>
      <c r="H910" s="733"/>
      <c r="I910" s="730"/>
      <c r="J910" s="731"/>
      <c r="K910" s="731"/>
      <c r="L910" s="731"/>
      <c r="M910" s="731"/>
      <c r="N910" s="731"/>
    </row>
    <row r="911">
      <c r="A911" s="408"/>
      <c r="B911" s="730"/>
      <c r="C911" s="772"/>
      <c r="D911" s="773"/>
      <c r="E911" s="772"/>
      <c r="F911" s="773"/>
      <c r="G911" s="732"/>
      <c r="H911" s="733"/>
      <c r="I911" s="730"/>
      <c r="J911" s="731"/>
      <c r="K911" s="731"/>
      <c r="L911" s="731"/>
      <c r="M911" s="731"/>
      <c r="N911" s="731"/>
    </row>
    <row r="912">
      <c r="A912" s="408"/>
      <c r="B912" s="730"/>
      <c r="C912" s="772"/>
      <c r="D912" s="773"/>
      <c r="E912" s="772"/>
      <c r="F912" s="773"/>
      <c r="G912" s="732"/>
      <c r="H912" s="733"/>
      <c r="I912" s="730"/>
      <c r="J912" s="731"/>
      <c r="K912" s="731"/>
      <c r="L912" s="731"/>
      <c r="M912" s="731"/>
      <c r="N912" s="731"/>
    </row>
    <row r="913">
      <c r="A913" s="408"/>
      <c r="B913" s="730"/>
      <c r="C913" s="772"/>
      <c r="D913" s="773"/>
      <c r="E913" s="772"/>
      <c r="F913" s="773"/>
      <c r="G913" s="732"/>
      <c r="H913" s="733"/>
      <c r="I913" s="730"/>
      <c r="J913" s="731"/>
      <c r="K913" s="731"/>
      <c r="L913" s="731"/>
      <c r="M913" s="731"/>
      <c r="N913" s="731"/>
    </row>
    <row r="914">
      <c r="A914" s="408"/>
      <c r="B914" s="730"/>
      <c r="C914" s="772"/>
      <c r="D914" s="773"/>
      <c r="E914" s="772"/>
      <c r="F914" s="773"/>
      <c r="G914" s="732"/>
      <c r="H914" s="733"/>
      <c r="I914" s="730"/>
      <c r="J914" s="731"/>
      <c r="K914" s="731"/>
      <c r="L914" s="731"/>
      <c r="M914" s="731"/>
      <c r="N914" s="731"/>
    </row>
    <row r="915">
      <c r="A915" s="408"/>
      <c r="B915" s="730"/>
      <c r="C915" s="772"/>
      <c r="D915" s="773"/>
      <c r="E915" s="772"/>
      <c r="F915" s="773"/>
      <c r="G915" s="732"/>
      <c r="H915" s="733"/>
      <c r="I915" s="730"/>
      <c r="J915" s="731"/>
      <c r="K915" s="731"/>
      <c r="L915" s="731"/>
      <c r="M915" s="731"/>
      <c r="N915" s="731"/>
    </row>
    <row r="916">
      <c r="A916" s="408"/>
      <c r="B916" s="730"/>
      <c r="C916" s="772"/>
      <c r="D916" s="773"/>
      <c r="E916" s="772"/>
      <c r="F916" s="773"/>
      <c r="G916" s="732"/>
      <c r="H916" s="733"/>
      <c r="I916" s="730"/>
      <c r="J916" s="731"/>
      <c r="K916" s="731"/>
      <c r="L916" s="731"/>
      <c r="M916" s="731"/>
      <c r="N916" s="731"/>
    </row>
    <row r="917">
      <c r="A917" s="408"/>
      <c r="B917" s="730"/>
      <c r="C917" s="772"/>
      <c r="D917" s="773"/>
      <c r="E917" s="772"/>
      <c r="F917" s="773"/>
      <c r="G917" s="732"/>
      <c r="H917" s="733"/>
      <c r="I917" s="730"/>
      <c r="J917" s="731"/>
      <c r="K917" s="731"/>
      <c r="L917" s="731"/>
      <c r="M917" s="731"/>
      <c r="N917" s="731"/>
    </row>
    <row r="918">
      <c r="A918" s="408"/>
      <c r="B918" s="730"/>
      <c r="C918" s="772"/>
      <c r="D918" s="773"/>
      <c r="E918" s="772"/>
      <c r="F918" s="773"/>
      <c r="G918" s="732"/>
      <c r="H918" s="733"/>
      <c r="I918" s="730"/>
      <c r="J918" s="731"/>
      <c r="K918" s="731"/>
      <c r="L918" s="731"/>
      <c r="M918" s="731"/>
      <c r="N918" s="731"/>
    </row>
    <row r="919">
      <c r="A919" s="408"/>
      <c r="B919" s="730"/>
      <c r="C919" s="772"/>
      <c r="D919" s="773"/>
      <c r="E919" s="772"/>
      <c r="F919" s="773"/>
      <c r="G919" s="732"/>
      <c r="H919" s="733"/>
      <c r="I919" s="730"/>
      <c r="J919" s="731"/>
      <c r="K919" s="731"/>
      <c r="L919" s="731"/>
      <c r="M919" s="731"/>
      <c r="N919" s="731"/>
    </row>
    <row r="920">
      <c r="A920" s="408"/>
      <c r="B920" s="730"/>
      <c r="C920" s="772"/>
      <c r="D920" s="773"/>
      <c r="E920" s="772"/>
      <c r="F920" s="773"/>
      <c r="G920" s="732"/>
      <c r="H920" s="733"/>
      <c r="I920" s="730"/>
      <c r="J920" s="731"/>
      <c r="K920" s="731"/>
      <c r="L920" s="731"/>
      <c r="M920" s="731"/>
      <c r="N920" s="731"/>
    </row>
    <row r="921">
      <c r="A921" s="408"/>
      <c r="B921" s="730"/>
      <c r="C921" s="772"/>
      <c r="D921" s="773"/>
      <c r="E921" s="772"/>
      <c r="F921" s="773"/>
      <c r="G921" s="732"/>
      <c r="H921" s="733"/>
      <c r="I921" s="730"/>
      <c r="J921" s="731"/>
      <c r="K921" s="731"/>
      <c r="L921" s="731"/>
      <c r="M921" s="731"/>
      <c r="N921" s="731"/>
    </row>
    <row r="922">
      <c r="A922" s="408"/>
      <c r="B922" s="730"/>
      <c r="C922" s="772"/>
      <c r="D922" s="773"/>
      <c r="E922" s="772"/>
      <c r="F922" s="773"/>
      <c r="G922" s="732"/>
      <c r="H922" s="733"/>
      <c r="I922" s="730"/>
      <c r="J922" s="731"/>
      <c r="K922" s="731"/>
      <c r="L922" s="731"/>
      <c r="M922" s="731"/>
      <c r="N922" s="731"/>
    </row>
    <row r="923">
      <c r="A923" s="408"/>
      <c r="B923" s="730"/>
      <c r="C923" s="772"/>
      <c r="D923" s="773"/>
      <c r="E923" s="772"/>
      <c r="F923" s="773"/>
      <c r="G923" s="732"/>
      <c r="H923" s="733"/>
      <c r="I923" s="730"/>
      <c r="J923" s="731"/>
      <c r="K923" s="731"/>
      <c r="L923" s="731"/>
      <c r="M923" s="731"/>
      <c r="N923" s="731"/>
    </row>
    <row r="924">
      <c r="A924" s="408"/>
      <c r="B924" s="730"/>
      <c r="C924" s="772"/>
      <c r="D924" s="773"/>
      <c r="E924" s="772"/>
      <c r="F924" s="773"/>
      <c r="G924" s="732"/>
      <c r="H924" s="733"/>
      <c r="I924" s="730"/>
      <c r="J924" s="731"/>
      <c r="K924" s="731"/>
      <c r="L924" s="731"/>
      <c r="M924" s="731"/>
      <c r="N924" s="731"/>
    </row>
    <row r="925">
      <c r="A925" s="408"/>
      <c r="B925" s="730"/>
      <c r="C925" s="772"/>
      <c r="D925" s="773"/>
      <c r="E925" s="772"/>
      <c r="F925" s="773"/>
      <c r="G925" s="732"/>
      <c r="H925" s="733"/>
      <c r="I925" s="730"/>
      <c r="J925" s="731"/>
      <c r="K925" s="731"/>
      <c r="L925" s="731"/>
      <c r="M925" s="731"/>
      <c r="N925" s="731"/>
    </row>
    <row r="926">
      <c r="A926" s="408"/>
      <c r="B926" s="730"/>
      <c r="C926" s="772"/>
      <c r="D926" s="773"/>
      <c r="E926" s="772"/>
      <c r="F926" s="773"/>
      <c r="G926" s="732"/>
      <c r="H926" s="733"/>
      <c r="I926" s="730"/>
      <c r="J926" s="731"/>
      <c r="K926" s="731"/>
      <c r="L926" s="731"/>
      <c r="M926" s="731"/>
      <c r="N926" s="731"/>
    </row>
    <row r="927">
      <c r="A927" s="408"/>
      <c r="B927" s="730"/>
      <c r="C927" s="772"/>
      <c r="D927" s="773"/>
      <c r="E927" s="772"/>
      <c r="F927" s="773"/>
      <c r="G927" s="732"/>
      <c r="H927" s="733"/>
      <c r="I927" s="730"/>
      <c r="J927" s="731"/>
      <c r="K927" s="731"/>
      <c r="L927" s="731"/>
      <c r="M927" s="731"/>
      <c r="N927" s="731"/>
    </row>
    <row r="928">
      <c r="A928" s="408"/>
      <c r="B928" s="730"/>
      <c r="C928" s="772"/>
      <c r="D928" s="773"/>
      <c r="E928" s="772"/>
      <c r="F928" s="773"/>
      <c r="G928" s="732"/>
      <c r="H928" s="733"/>
      <c r="I928" s="730"/>
      <c r="J928" s="731"/>
      <c r="K928" s="731"/>
      <c r="L928" s="731"/>
      <c r="M928" s="731"/>
      <c r="N928" s="731"/>
    </row>
    <row r="929">
      <c r="A929" s="408"/>
      <c r="B929" s="730"/>
      <c r="C929" s="772"/>
      <c r="D929" s="773"/>
      <c r="E929" s="772"/>
      <c r="F929" s="773"/>
      <c r="G929" s="732"/>
      <c r="H929" s="733"/>
      <c r="I929" s="730"/>
      <c r="J929" s="731"/>
      <c r="K929" s="731"/>
      <c r="L929" s="731"/>
      <c r="M929" s="731"/>
      <c r="N929" s="731"/>
    </row>
    <row r="930">
      <c r="A930" s="408"/>
      <c r="B930" s="730"/>
      <c r="C930" s="772"/>
      <c r="D930" s="773"/>
      <c r="E930" s="772"/>
      <c r="F930" s="773"/>
      <c r="G930" s="732"/>
      <c r="H930" s="733"/>
      <c r="I930" s="730"/>
      <c r="J930" s="731"/>
      <c r="K930" s="731"/>
      <c r="L930" s="731"/>
      <c r="M930" s="731"/>
      <c r="N930" s="731"/>
    </row>
    <row r="931">
      <c r="A931" s="408"/>
      <c r="B931" s="730"/>
      <c r="C931" s="772"/>
      <c r="D931" s="773"/>
      <c r="E931" s="772"/>
      <c r="F931" s="773"/>
      <c r="G931" s="732"/>
      <c r="H931" s="733"/>
      <c r="I931" s="730"/>
      <c r="J931" s="731"/>
      <c r="K931" s="731"/>
      <c r="L931" s="731"/>
      <c r="M931" s="731"/>
      <c r="N931" s="731"/>
    </row>
    <row r="932">
      <c r="A932" s="408"/>
      <c r="B932" s="730"/>
      <c r="C932" s="772"/>
      <c r="D932" s="773"/>
      <c r="E932" s="772"/>
      <c r="F932" s="773"/>
      <c r="G932" s="732"/>
      <c r="H932" s="733"/>
      <c r="I932" s="730"/>
      <c r="J932" s="731"/>
      <c r="K932" s="731"/>
      <c r="L932" s="731"/>
      <c r="M932" s="731"/>
      <c r="N932" s="731"/>
    </row>
    <row r="933">
      <c r="A933" s="408"/>
      <c r="B933" s="730"/>
      <c r="C933" s="772"/>
      <c r="D933" s="773"/>
      <c r="E933" s="772"/>
      <c r="F933" s="773"/>
      <c r="G933" s="732"/>
      <c r="H933" s="733"/>
      <c r="I933" s="730"/>
      <c r="J933" s="731"/>
      <c r="K933" s="731"/>
      <c r="L933" s="731"/>
      <c r="M933" s="731"/>
      <c r="N933" s="731"/>
    </row>
    <row r="934">
      <c r="A934" s="408"/>
      <c r="B934" s="730"/>
      <c r="C934" s="772"/>
      <c r="D934" s="773"/>
      <c r="E934" s="772"/>
      <c r="F934" s="773"/>
      <c r="G934" s="732"/>
      <c r="H934" s="733"/>
      <c r="I934" s="730"/>
      <c r="J934" s="731"/>
      <c r="K934" s="731"/>
      <c r="L934" s="731"/>
      <c r="M934" s="731"/>
      <c r="N934" s="731"/>
    </row>
    <row r="935">
      <c r="A935" s="408"/>
      <c r="B935" s="730"/>
      <c r="C935" s="772"/>
      <c r="D935" s="773"/>
      <c r="E935" s="772"/>
      <c r="F935" s="773"/>
      <c r="G935" s="732"/>
      <c r="H935" s="733"/>
      <c r="I935" s="730"/>
      <c r="J935" s="731"/>
      <c r="K935" s="731"/>
      <c r="L935" s="731"/>
      <c r="M935" s="731"/>
      <c r="N935" s="731"/>
    </row>
    <row r="936">
      <c r="A936" s="408"/>
      <c r="B936" s="730"/>
      <c r="C936" s="772"/>
      <c r="D936" s="773"/>
      <c r="E936" s="772"/>
      <c r="F936" s="773"/>
      <c r="G936" s="732"/>
      <c r="H936" s="733"/>
      <c r="I936" s="730"/>
      <c r="J936" s="731"/>
      <c r="K936" s="731"/>
      <c r="L936" s="731"/>
      <c r="M936" s="731"/>
      <c r="N936" s="731"/>
    </row>
    <row r="937">
      <c r="A937" s="408"/>
      <c r="B937" s="730"/>
      <c r="C937" s="772"/>
      <c r="D937" s="773"/>
      <c r="E937" s="772"/>
      <c r="F937" s="773"/>
      <c r="G937" s="732"/>
      <c r="H937" s="733"/>
      <c r="I937" s="730"/>
      <c r="J937" s="731"/>
      <c r="K937" s="731"/>
      <c r="L937" s="731"/>
      <c r="M937" s="731"/>
      <c r="N937" s="731"/>
    </row>
    <row r="938">
      <c r="A938" s="408"/>
      <c r="B938" s="730"/>
      <c r="C938" s="772"/>
      <c r="D938" s="773"/>
      <c r="E938" s="772"/>
      <c r="F938" s="773"/>
      <c r="G938" s="732"/>
      <c r="H938" s="733"/>
      <c r="I938" s="730"/>
      <c r="J938" s="731"/>
      <c r="K938" s="731"/>
      <c r="L938" s="731"/>
      <c r="M938" s="731"/>
      <c r="N938" s="731"/>
    </row>
    <row r="939">
      <c r="A939" s="408"/>
      <c r="B939" s="730"/>
      <c r="C939" s="772"/>
      <c r="D939" s="773"/>
      <c r="E939" s="772"/>
      <c r="F939" s="773"/>
      <c r="G939" s="732"/>
      <c r="H939" s="733"/>
      <c r="I939" s="730"/>
      <c r="J939" s="731"/>
      <c r="K939" s="731"/>
      <c r="L939" s="731"/>
      <c r="M939" s="731"/>
      <c r="N939" s="731"/>
    </row>
    <row r="940">
      <c r="A940" s="408"/>
      <c r="B940" s="730"/>
      <c r="C940" s="772"/>
      <c r="D940" s="773"/>
      <c r="E940" s="772"/>
      <c r="F940" s="773"/>
      <c r="G940" s="732"/>
      <c r="H940" s="733"/>
      <c r="I940" s="730"/>
      <c r="J940" s="731"/>
      <c r="K940" s="731"/>
      <c r="L940" s="731"/>
      <c r="M940" s="731"/>
      <c r="N940" s="731"/>
    </row>
    <row r="941">
      <c r="A941" s="408"/>
      <c r="B941" s="730"/>
      <c r="C941" s="772"/>
      <c r="D941" s="773"/>
      <c r="E941" s="772"/>
      <c r="F941" s="773"/>
      <c r="G941" s="732"/>
      <c r="H941" s="733"/>
      <c r="I941" s="730"/>
      <c r="J941" s="731"/>
      <c r="K941" s="731"/>
      <c r="L941" s="731"/>
      <c r="M941" s="731"/>
      <c r="N941" s="731"/>
    </row>
    <row r="942">
      <c r="A942" s="408"/>
      <c r="B942" s="730"/>
      <c r="C942" s="772"/>
      <c r="D942" s="773"/>
      <c r="E942" s="772"/>
      <c r="F942" s="773"/>
      <c r="G942" s="732"/>
      <c r="H942" s="733"/>
      <c r="I942" s="730"/>
      <c r="J942" s="731"/>
      <c r="K942" s="731"/>
      <c r="L942" s="731"/>
      <c r="M942" s="731"/>
      <c r="N942" s="731"/>
    </row>
    <row r="943">
      <c r="A943" s="408"/>
      <c r="B943" s="730"/>
      <c r="C943" s="772"/>
      <c r="D943" s="773"/>
      <c r="E943" s="772"/>
      <c r="F943" s="773"/>
      <c r="G943" s="732"/>
      <c r="H943" s="733"/>
      <c r="I943" s="730"/>
      <c r="J943" s="731"/>
      <c r="K943" s="731"/>
      <c r="L943" s="731"/>
      <c r="M943" s="731"/>
      <c r="N943" s="731"/>
    </row>
    <row r="944">
      <c r="A944" s="408"/>
      <c r="B944" s="730"/>
      <c r="C944" s="772"/>
      <c r="D944" s="773"/>
      <c r="E944" s="772"/>
      <c r="F944" s="773"/>
      <c r="G944" s="732"/>
      <c r="H944" s="733"/>
      <c r="I944" s="730"/>
      <c r="J944" s="731"/>
      <c r="K944" s="731"/>
      <c r="L944" s="731"/>
      <c r="M944" s="731"/>
      <c r="N944" s="731"/>
    </row>
    <row r="945">
      <c r="A945" s="408"/>
      <c r="B945" s="730"/>
      <c r="C945" s="772"/>
      <c r="D945" s="773"/>
      <c r="E945" s="772"/>
      <c r="F945" s="773"/>
      <c r="G945" s="732"/>
      <c r="H945" s="733"/>
      <c r="I945" s="730"/>
      <c r="J945" s="731"/>
      <c r="K945" s="731"/>
      <c r="L945" s="731"/>
      <c r="M945" s="731"/>
      <c r="N945" s="731"/>
    </row>
    <row r="946">
      <c r="A946" s="408"/>
      <c r="B946" s="730"/>
      <c r="C946" s="772"/>
      <c r="D946" s="773"/>
      <c r="E946" s="772"/>
      <c r="F946" s="773"/>
      <c r="G946" s="732"/>
      <c r="H946" s="733"/>
      <c r="I946" s="730"/>
      <c r="J946" s="731"/>
      <c r="K946" s="731"/>
      <c r="L946" s="731"/>
      <c r="M946" s="731"/>
      <c r="N946" s="731"/>
    </row>
    <row r="947">
      <c r="A947" s="408"/>
      <c r="B947" s="730"/>
      <c r="C947" s="772"/>
      <c r="D947" s="773"/>
      <c r="E947" s="772"/>
      <c r="F947" s="773"/>
      <c r="G947" s="732"/>
      <c r="H947" s="733"/>
      <c r="I947" s="730"/>
      <c r="J947" s="731"/>
      <c r="K947" s="731"/>
      <c r="L947" s="731"/>
      <c r="M947" s="731"/>
      <c r="N947" s="731"/>
    </row>
    <row r="948">
      <c r="A948" s="408"/>
      <c r="B948" s="730"/>
      <c r="C948" s="772"/>
      <c r="D948" s="773"/>
      <c r="E948" s="772"/>
      <c r="F948" s="773"/>
      <c r="G948" s="732"/>
      <c r="H948" s="733"/>
      <c r="I948" s="730"/>
      <c r="J948" s="731"/>
      <c r="K948" s="731"/>
      <c r="L948" s="731"/>
      <c r="M948" s="731"/>
      <c r="N948" s="731"/>
    </row>
    <row r="949">
      <c r="A949" s="408"/>
      <c r="B949" s="730"/>
      <c r="C949" s="772"/>
      <c r="D949" s="773"/>
      <c r="E949" s="772"/>
      <c r="F949" s="773"/>
      <c r="G949" s="732"/>
      <c r="H949" s="733"/>
      <c r="I949" s="730"/>
      <c r="J949" s="731"/>
      <c r="K949" s="731"/>
      <c r="L949" s="731"/>
      <c r="M949" s="731"/>
      <c r="N949" s="731"/>
    </row>
    <row r="950">
      <c r="A950" s="408"/>
      <c r="B950" s="730"/>
      <c r="C950" s="772"/>
      <c r="D950" s="773"/>
      <c r="E950" s="772"/>
      <c r="F950" s="773"/>
      <c r="G950" s="732"/>
      <c r="H950" s="733"/>
      <c r="I950" s="730"/>
      <c r="J950" s="731"/>
      <c r="K950" s="731"/>
      <c r="L950" s="731"/>
      <c r="M950" s="731"/>
      <c r="N950" s="731"/>
    </row>
    <row r="951">
      <c r="A951" s="408"/>
      <c r="B951" s="730"/>
      <c r="C951" s="772"/>
      <c r="D951" s="773"/>
      <c r="E951" s="772"/>
      <c r="F951" s="773"/>
      <c r="G951" s="732"/>
      <c r="H951" s="733"/>
      <c r="I951" s="730"/>
      <c r="J951" s="731"/>
      <c r="K951" s="731"/>
      <c r="L951" s="731"/>
      <c r="M951" s="731"/>
      <c r="N951" s="731"/>
    </row>
    <row r="952">
      <c r="A952" s="408"/>
      <c r="B952" s="730"/>
      <c r="C952" s="772"/>
      <c r="D952" s="773"/>
      <c r="E952" s="772"/>
      <c r="F952" s="773"/>
      <c r="G952" s="732"/>
      <c r="H952" s="733"/>
      <c r="I952" s="730"/>
      <c r="J952" s="731"/>
      <c r="K952" s="731"/>
      <c r="L952" s="731"/>
      <c r="M952" s="731"/>
      <c r="N952" s="731"/>
    </row>
    <row r="953">
      <c r="A953" s="408"/>
      <c r="B953" s="730"/>
      <c r="C953" s="772"/>
      <c r="D953" s="773"/>
      <c r="E953" s="772"/>
      <c r="F953" s="773"/>
      <c r="G953" s="732"/>
      <c r="H953" s="733"/>
      <c r="I953" s="730"/>
      <c r="J953" s="731"/>
      <c r="K953" s="731"/>
      <c r="L953" s="731"/>
      <c r="M953" s="731"/>
      <c r="N953" s="731"/>
    </row>
    <row r="954">
      <c r="A954" s="408"/>
      <c r="B954" s="730"/>
      <c r="C954" s="772"/>
      <c r="D954" s="773"/>
      <c r="E954" s="772"/>
      <c r="F954" s="773"/>
      <c r="G954" s="732"/>
      <c r="H954" s="733"/>
      <c r="I954" s="730"/>
      <c r="J954" s="731"/>
      <c r="K954" s="731"/>
      <c r="L954" s="731"/>
      <c r="M954" s="731"/>
      <c r="N954" s="731"/>
    </row>
    <row r="955">
      <c r="A955" s="408"/>
      <c r="B955" s="730"/>
      <c r="C955" s="772"/>
      <c r="D955" s="773"/>
      <c r="E955" s="772"/>
      <c r="F955" s="773"/>
      <c r="G955" s="732"/>
      <c r="H955" s="733"/>
      <c r="I955" s="730"/>
      <c r="J955" s="731"/>
      <c r="K955" s="731"/>
      <c r="L955" s="731"/>
      <c r="M955" s="731"/>
      <c r="N955" s="731"/>
    </row>
    <row r="956">
      <c r="A956" s="408"/>
      <c r="B956" s="730"/>
      <c r="C956" s="772"/>
      <c r="D956" s="773"/>
      <c r="E956" s="772"/>
      <c r="F956" s="773"/>
      <c r="G956" s="732"/>
      <c r="H956" s="733"/>
      <c r="I956" s="730"/>
      <c r="J956" s="731"/>
      <c r="K956" s="731"/>
      <c r="L956" s="731"/>
      <c r="M956" s="731"/>
      <c r="N956" s="731"/>
    </row>
    <row r="957">
      <c r="A957" s="408"/>
      <c r="B957" s="730"/>
      <c r="C957" s="772"/>
      <c r="D957" s="773"/>
      <c r="E957" s="772"/>
      <c r="F957" s="773"/>
      <c r="G957" s="732"/>
      <c r="H957" s="733"/>
      <c r="I957" s="730"/>
      <c r="J957" s="731"/>
      <c r="K957" s="731"/>
      <c r="L957" s="731"/>
      <c r="M957" s="731"/>
      <c r="N957" s="731"/>
    </row>
    <row r="958">
      <c r="A958" s="408"/>
      <c r="B958" s="730"/>
      <c r="C958" s="772"/>
      <c r="D958" s="773"/>
      <c r="E958" s="772"/>
      <c r="F958" s="773"/>
      <c r="G958" s="732"/>
      <c r="H958" s="733"/>
      <c r="I958" s="730"/>
      <c r="J958" s="731"/>
      <c r="K958" s="731"/>
      <c r="L958" s="731"/>
      <c r="M958" s="731"/>
      <c r="N958" s="731"/>
    </row>
    <row r="959">
      <c r="A959" s="408"/>
      <c r="B959" s="730"/>
      <c r="C959" s="772"/>
      <c r="D959" s="773"/>
      <c r="E959" s="772"/>
      <c r="F959" s="773"/>
      <c r="G959" s="732"/>
      <c r="H959" s="733"/>
      <c r="I959" s="730"/>
      <c r="J959" s="731"/>
      <c r="K959" s="731"/>
      <c r="L959" s="731"/>
      <c r="M959" s="731"/>
      <c r="N959" s="731"/>
    </row>
    <row r="960">
      <c r="A960" s="408"/>
      <c r="B960" s="730"/>
      <c r="C960" s="772"/>
      <c r="D960" s="773"/>
      <c r="E960" s="772"/>
      <c r="F960" s="773"/>
      <c r="G960" s="732"/>
      <c r="H960" s="733"/>
      <c r="I960" s="730"/>
      <c r="J960" s="731"/>
      <c r="K960" s="731"/>
      <c r="L960" s="731"/>
      <c r="M960" s="731"/>
      <c r="N960" s="731"/>
    </row>
    <row r="961">
      <c r="A961" s="408"/>
      <c r="B961" s="730"/>
      <c r="C961" s="772"/>
      <c r="D961" s="773"/>
      <c r="E961" s="772"/>
      <c r="F961" s="773"/>
      <c r="G961" s="732"/>
      <c r="H961" s="733"/>
      <c r="I961" s="730"/>
      <c r="J961" s="731"/>
      <c r="K961" s="731"/>
      <c r="L961" s="731"/>
      <c r="M961" s="731"/>
      <c r="N961" s="731"/>
    </row>
    <row r="962">
      <c r="A962" s="408"/>
      <c r="B962" s="730"/>
      <c r="C962" s="772"/>
      <c r="D962" s="773"/>
      <c r="E962" s="772"/>
      <c r="F962" s="773"/>
      <c r="G962" s="732"/>
      <c r="H962" s="733"/>
      <c r="I962" s="730"/>
      <c r="J962" s="731"/>
      <c r="K962" s="731"/>
      <c r="L962" s="731"/>
      <c r="M962" s="731"/>
      <c r="N962" s="731"/>
    </row>
    <row r="963">
      <c r="A963" s="408"/>
      <c r="B963" s="730"/>
      <c r="C963" s="772"/>
      <c r="D963" s="773"/>
      <c r="E963" s="772"/>
      <c r="F963" s="773"/>
      <c r="G963" s="732"/>
      <c r="H963" s="733"/>
      <c r="I963" s="730"/>
      <c r="J963" s="731"/>
      <c r="K963" s="731"/>
      <c r="L963" s="731"/>
      <c r="M963" s="731"/>
      <c r="N963" s="731"/>
    </row>
    <row r="964">
      <c r="A964" s="408"/>
      <c r="B964" s="730"/>
      <c r="C964" s="772"/>
      <c r="D964" s="773"/>
      <c r="E964" s="772"/>
      <c r="F964" s="773"/>
      <c r="G964" s="732"/>
      <c r="H964" s="733"/>
      <c r="I964" s="730"/>
      <c r="J964" s="731"/>
      <c r="K964" s="731"/>
      <c r="L964" s="731"/>
      <c r="M964" s="731"/>
      <c r="N964" s="731"/>
    </row>
    <row r="965">
      <c r="A965" s="408"/>
      <c r="B965" s="730"/>
      <c r="C965" s="772"/>
      <c r="D965" s="773"/>
      <c r="E965" s="772"/>
      <c r="F965" s="773"/>
      <c r="G965" s="732"/>
      <c r="H965" s="733"/>
      <c r="I965" s="730"/>
      <c r="J965" s="731"/>
      <c r="K965" s="731"/>
      <c r="L965" s="731"/>
      <c r="M965" s="731"/>
      <c r="N965" s="731"/>
    </row>
    <row r="966">
      <c r="A966" s="408"/>
      <c r="B966" s="730"/>
      <c r="C966" s="772"/>
      <c r="D966" s="773"/>
      <c r="E966" s="772"/>
      <c r="F966" s="773"/>
      <c r="G966" s="732"/>
      <c r="H966" s="733"/>
      <c r="I966" s="730"/>
      <c r="J966" s="731"/>
      <c r="K966" s="731"/>
      <c r="L966" s="731"/>
      <c r="M966" s="731"/>
      <c r="N966" s="731"/>
    </row>
    <row r="967">
      <c r="A967" s="408"/>
      <c r="B967" s="730"/>
      <c r="C967" s="772"/>
      <c r="D967" s="773"/>
      <c r="E967" s="772"/>
      <c r="F967" s="773"/>
      <c r="G967" s="732"/>
      <c r="H967" s="733"/>
      <c r="I967" s="730"/>
      <c r="J967" s="731"/>
      <c r="K967" s="731"/>
      <c r="L967" s="731"/>
      <c r="M967" s="731"/>
      <c r="N967" s="731"/>
    </row>
    <row r="968">
      <c r="A968" s="408"/>
      <c r="B968" s="730"/>
      <c r="C968" s="772"/>
      <c r="D968" s="773"/>
      <c r="E968" s="772"/>
      <c r="F968" s="773"/>
      <c r="G968" s="732"/>
      <c r="H968" s="733"/>
      <c r="I968" s="730"/>
      <c r="J968" s="731"/>
      <c r="K968" s="731"/>
      <c r="L968" s="731"/>
      <c r="M968" s="731"/>
      <c r="N968" s="731"/>
    </row>
    <row r="969">
      <c r="A969" s="408"/>
      <c r="B969" s="730"/>
      <c r="C969" s="772"/>
      <c r="D969" s="773"/>
      <c r="E969" s="772"/>
      <c r="F969" s="773"/>
      <c r="G969" s="732"/>
      <c r="H969" s="733"/>
      <c r="I969" s="730"/>
      <c r="J969" s="731"/>
      <c r="K969" s="731"/>
      <c r="L969" s="731"/>
      <c r="M969" s="731"/>
      <c r="N969" s="731"/>
    </row>
    <row r="970">
      <c r="A970" s="408"/>
      <c r="B970" s="730"/>
      <c r="C970" s="772"/>
      <c r="D970" s="773"/>
      <c r="E970" s="772"/>
      <c r="F970" s="773"/>
      <c r="G970" s="732"/>
      <c r="H970" s="733"/>
      <c r="I970" s="730"/>
      <c r="J970" s="731"/>
      <c r="K970" s="731"/>
      <c r="L970" s="731"/>
      <c r="M970" s="731"/>
      <c r="N970" s="731"/>
    </row>
    <row r="971">
      <c r="A971" s="408"/>
      <c r="B971" s="730"/>
      <c r="C971" s="772"/>
      <c r="D971" s="773"/>
      <c r="E971" s="772"/>
      <c r="F971" s="773"/>
      <c r="G971" s="732"/>
      <c r="H971" s="733"/>
      <c r="I971" s="730"/>
      <c r="J971" s="731"/>
      <c r="K971" s="731"/>
      <c r="L971" s="731"/>
      <c r="M971" s="731"/>
      <c r="N971" s="731"/>
    </row>
    <row r="972">
      <c r="A972" s="408"/>
      <c r="B972" s="730"/>
      <c r="C972" s="772"/>
      <c r="D972" s="773"/>
      <c r="E972" s="772"/>
      <c r="F972" s="773"/>
      <c r="G972" s="732"/>
      <c r="H972" s="733"/>
      <c r="I972" s="730"/>
      <c r="J972" s="731"/>
      <c r="K972" s="731"/>
      <c r="L972" s="731"/>
      <c r="M972" s="731"/>
      <c r="N972" s="731"/>
    </row>
    <row r="973">
      <c r="A973" s="408"/>
      <c r="B973" s="730"/>
      <c r="C973" s="772"/>
      <c r="D973" s="773"/>
      <c r="E973" s="772"/>
      <c r="F973" s="773"/>
      <c r="G973" s="732"/>
      <c r="H973" s="733"/>
      <c r="I973" s="730"/>
      <c r="J973" s="731"/>
      <c r="K973" s="731"/>
      <c r="L973" s="731"/>
      <c r="M973" s="731"/>
      <c r="N973" s="731"/>
    </row>
    <row r="974">
      <c r="A974" s="408"/>
      <c r="B974" s="730"/>
      <c r="C974" s="772"/>
      <c r="D974" s="773"/>
      <c r="E974" s="772"/>
      <c r="F974" s="773"/>
      <c r="G974" s="732"/>
      <c r="H974" s="733"/>
      <c r="I974" s="730"/>
      <c r="J974" s="731"/>
      <c r="K974" s="731"/>
      <c r="L974" s="731"/>
      <c r="M974" s="731"/>
      <c r="N974" s="731"/>
    </row>
    <row r="975">
      <c r="A975" s="408"/>
      <c r="B975" s="730"/>
      <c r="C975" s="772"/>
      <c r="D975" s="773"/>
      <c r="E975" s="772"/>
      <c r="F975" s="773"/>
      <c r="G975" s="732"/>
      <c r="H975" s="733"/>
      <c r="I975" s="730"/>
      <c r="J975" s="731"/>
      <c r="K975" s="731"/>
      <c r="L975" s="731"/>
      <c r="M975" s="731"/>
      <c r="N975" s="731"/>
    </row>
    <row r="976">
      <c r="A976" s="408"/>
      <c r="B976" s="730"/>
      <c r="C976" s="772"/>
      <c r="D976" s="773"/>
      <c r="E976" s="772"/>
      <c r="F976" s="773"/>
      <c r="G976" s="732"/>
      <c r="H976" s="733"/>
      <c r="I976" s="730"/>
      <c r="J976" s="731"/>
      <c r="K976" s="731"/>
      <c r="L976" s="731"/>
      <c r="M976" s="731"/>
      <c r="N976" s="731"/>
    </row>
    <row r="977">
      <c r="A977" s="408"/>
      <c r="B977" s="730"/>
      <c r="C977" s="772"/>
      <c r="D977" s="773"/>
      <c r="E977" s="772"/>
      <c r="F977" s="773"/>
      <c r="G977" s="732"/>
      <c r="H977" s="733"/>
      <c r="I977" s="730"/>
      <c r="J977" s="731"/>
      <c r="K977" s="731"/>
      <c r="L977" s="731"/>
      <c r="M977" s="731"/>
      <c r="N977" s="731"/>
    </row>
    <row r="978">
      <c r="A978" s="408"/>
      <c r="B978" s="730"/>
      <c r="C978" s="772"/>
      <c r="D978" s="773"/>
      <c r="E978" s="772"/>
      <c r="F978" s="773"/>
      <c r="G978" s="732"/>
      <c r="H978" s="733"/>
      <c r="I978" s="730"/>
      <c r="J978" s="731"/>
      <c r="K978" s="731"/>
      <c r="L978" s="731"/>
      <c r="M978" s="731"/>
      <c r="N978" s="731"/>
    </row>
    <row r="979">
      <c r="A979" s="408"/>
      <c r="B979" s="730"/>
      <c r="C979" s="772"/>
      <c r="D979" s="773"/>
      <c r="E979" s="772"/>
      <c r="F979" s="773"/>
      <c r="G979" s="732"/>
      <c r="H979" s="733"/>
      <c r="I979" s="730"/>
      <c r="J979" s="731"/>
      <c r="K979" s="731"/>
      <c r="L979" s="731"/>
      <c r="M979" s="731"/>
      <c r="N979" s="731"/>
    </row>
    <row r="980">
      <c r="A980" s="408"/>
      <c r="B980" s="730"/>
      <c r="C980" s="772"/>
      <c r="D980" s="773"/>
      <c r="E980" s="772"/>
      <c r="F980" s="773"/>
      <c r="G980" s="732"/>
      <c r="H980" s="733"/>
      <c r="I980" s="730"/>
      <c r="J980" s="731"/>
      <c r="K980" s="731"/>
      <c r="L980" s="731"/>
      <c r="M980" s="731"/>
      <c r="N980" s="731"/>
    </row>
    <row r="981">
      <c r="A981" s="408"/>
      <c r="B981" s="730"/>
      <c r="C981" s="772"/>
      <c r="D981" s="773"/>
      <c r="E981" s="772"/>
      <c r="F981" s="773"/>
      <c r="G981" s="732"/>
      <c r="H981" s="733"/>
      <c r="I981" s="730"/>
      <c r="J981" s="731"/>
      <c r="K981" s="731"/>
      <c r="L981" s="731"/>
      <c r="M981" s="731"/>
      <c r="N981" s="731"/>
    </row>
    <row r="982">
      <c r="A982" s="408"/>
      <c r="B982" s="730"/>
      <c r="C982" s="772"/>
      <c r="D982" s="773"/>
      <c r="E982" s="772"/>
      <c r="F982" s="773"/>
      <c r="G982" s="732"/>
      <c r="H982" s="733"/>
      <c r="I982" s="730"/>
      <c r="J982" s="731"/>
      <c r="K982" s="731"/>
      <c r="L982" s="731"/>
      <c r="M982" s="731"/>
      <c r="N982" s="731"/>
    </row>
    <row r="983">
      <c r="A983" s="408"/>
      <c r="B983" s="730"/>
      <c r="C983" s="772"/>
      <c r="D983" s="773"/>
      <c r="E983" s="772"/>
      <c r="F983" s="773"/>
      <c r="G983" s="732"/>
      <c r="H983" s="733"/>
      <c r="I983" s="730"/>
      <c r="J983" s="731"/>
      <c r="K983" s="731"/>
      <c r="L983" s="731"/>
      <c r="M983" s="731"/>
      <c r="N983" s="731"/>
    </row>
    <row r="984">
      <c r="A984" s="408"/>
      <c r="B984" s="730"/>
      <c r="C984" s="772"/>
      <c r="D984" s="773"/>
      <c r="E984" s="772"/>
      <c r="F984" s="773"/>
      <c r="G984" s="732"/>
      <c r="H984" s="733"/>
      <c r="I984" s="730"/>
      <c r="J984" s="731"/>
      <c r="K984" s="731"/>
      <c r="L984" s="731"/>
      <c r="M984" s="731"/>
      <c r="N984" s="731"/>
    </row>
    <row r="985">
      <c r="A985" s="408"/>
      <c r="B985" s="730"/>
      <c r="C985" s="772"/>
      <c r="D985" s="773"/>
      <c r="E985" s="772"/>
      <c r="F985" s="773"/>
      <c r="G985" s="732"/>
      <c r="H985" s="733"/>
      <c r="I985" s="730"/>
      <c r="J985" s="731"/>
      <c r="K985" s="731"/>
      <c r="L985" s="731"/>
      <c r="M985" s="731"/>
      <c r="N985" s="731"/>
    </row>
    <row r="986">
      <c r="A986" s="408"/>
      <c r="B986" s="730"/>
      <c r="C986" s="772"/>
      <c r="D986" s="773"/>
      <c r="E986" s="772"/>
      <c r="F986" s="773"/>
      <c r="G986" s="732"/>
      <c r="H986" s="733"/>
      <c r="I986" s="730"/>
      <c r="J986" s="731"/>
      <c r="K986" s="731"/>
      <c r="L986" s="731"/>
      <c r="M986" s="731"/>
      <c r="N986" s="731"/>
    </row>
    <row r="987">
      <c r="A987" s="408"/>
      <c r="B987" s="730"/>
      <c r="C987" s="772"/>
      <c r="D987" s="773"/>
      <c r="E987" s="772"/>
      <c r="F987" s="773"/>
      <c r="G987" s="732"/>
      <c r="H987" s="733"/>
      <c r="I987" s="730"/>
      <c r="J987" s="731"/>
      <c r="K987" s="731"/>
      <c r="L987" s="731"/>
      <c r="M987" s="731"/>
      <c r="N987" s="731"/>
    </row>
    <row r="988">
      <c r="A988" s="408"/>
      <c r="B988" s="730"/>
      <c r="C988" s="772"/>
      <c r="D988" s="773"/>
      <c r="E988" s="772"/>
      <c r="F988" s="773"/>
      <c r="G988" s="732"/>
      <c r="H988" s="733"/>
      <c r="I988" s="730"/>
      <c r="J988" s="731"/>
      <c r="K988" s="731"/>
      <c r="L988" s="731"/>
      <c r="M988" s="731"/>
      <c r="N988" s="731"/>
    </row>
    <row r="989">
      <c r="A989" s="408"/>
      <c r="B989" s="730"/>
      <c r="C989" s="772"/>
      <c r="D989" s="773"/>
      <c r="E989" s="772"/>
      <c r="F989" s="773"/>
      <c r="G989" s="732"/>
      <c r="H989" s="733"/>
      <c r="I989" s="730"/>
      <c r="J989" s="731"/>
      <c r="K989" s="731"/>
      <c r="L989" s="731"/>
      <c r="M989" s="731"/>
      <c r="N989" s="731"/>
    </row>
    <row r="990">
      <c r="A990" s="408"/>
      <c r="B990" s="730"/>
      <c r="C990" s="772"/>
      <c r="D990" s="773"/>
      <c r="E990" s="772"/>
      <c r="F990" s="773"/>
      <c r="G990" s="732"/>
      <c r="H990" s="733"/>
      <c r="I990" s="730"/>
      <c r="J990" s="731"/>
      <c r="K990" s="731"/>
      <c r="L990" s="731"/>
      <c r="M990" s="731"/>
      <c r="N990" s="731"/>
    </row>
    <row r="991">
      <c r="A991" s="408"/>
      <c r="B991" s="730"/>
      <c r="C991" s="772"/>
      <c r="D991" s="773"/>
      <c r="E991" s="772"/>
      <c r="F991" s="773"/>
      <c r="G991" s="732"/>
      <c r="H991" s="733"/>
      <c r="I991" s="730"/>
      <c r="J991" s="731"/>
      <c r="K991" s="731"/>
      <c r="L991" s="731"/>
      <c r="M991" s="731"/>
      <c r="N991" s="731"/>
    </row>
    <row r="992">
      <c r="A992" s="408"/>
      <c r="B992" s="730"/>
      <c r="C992" s="772"/>
      <c r="D992" s="773"/>
      <c r="E992" s="772"/>
      <c r="F992" s="773"/>
      <c r="G992" s="732"/>
      <c r="H992" s="733"/>
      <c r="I992" s="730"/>
      <c r="J992" s="731"/>
      <c r="K992" s="731"/>
      <c r="L992" s="731"/>
      <c r="M992" s="731"/>
      <c r="N992" s="731"/>
    </row>
    <row r="993">
      <c r="A993" s="408"/>
      <c r="B993" s="730"/>
      <c r="C993" s="772"/>
      <c r="D993" s="773"/>
      <c r="E993" s="772"/>
      <c r="F993" s="773"/>
      <c r="G993" s="732"/>
      <c r="H993" s="733"/>
      <c r="I993" s="730"/>
      <c r="J993" s="731"/>
      <c r="K993" s="731"/>
      <c r="L993" s="731"/>
      <c r="M993" s="731"/>
      <c r="N993" s="731"/>
    </row>
    <row r="994">
      <c r="A994" s="408"/>
      <c r="B994" s="730"/>
      <c r="C994" s="772"/>
      <c r="D994" s="773"/>
      <c r="E994" s="772"/>
      <c r="F994" s="773"/>
      <c r="G994" s="732"/>
      <c r="H994" s="733"/>
      <c r="I994" s="730"/>
      <c r="J994" s="731"/>
      <c r="K994" s="731"/>
      <c r="L994" s="731"/>
      <c r="M994" s="731"/>
      <c r="N994" s="731"/>
    </row>
    <row r="995">
      <c r="A995" s="408"/>
      <c r="B995" s="730"/>
      <c r="C995" s="772"/>
      <c r="D995" s="773"/>
      <c r="E995" s="772"/>
      <c r="F995" s="773"/>
      <c r="G995" s="732"/>
      <c r="H995" s="733"/>
      <c r="I995" s="730"/>
      <c r="J995" s="731"/>
      <c r="K995" s="731"/>
      <c r="L995" s="731"/>
      <c r="M995" s="731"/>
      <c r="N995" s="731"/>
    </row>
    <row r="996">
      <c r="A996" s="408"/>
      <c r="B996" s="730"/>
      <c r="C996" s="772"/>
      <c r="D996" s="773"/>
      <c r="E996" s="772"/>
      <c r="F996" s="773"/>
      <c r="G996" s="732"/>
      <c r="H996" s="733"/>
      <c r="I996" s="730"/>
      <c r="J996" s="731"/>
      <c r="K996" s="731"/>
      <c r="L996" s="731"/>
      <c r="M996" s="731"/>
      <c r="N996" s="731"/>
    </row>
    <row r="997">
      <c r="A997" s="408"/>
      <c r="B997" s="730"/>
      <c r="C997" s="772"/>
      <c r="D997" s="773"/>
      <c r="E997" s="772"/>
      <c r="F997" s="773"/>
      <c r="G997" s="732"/>
      <c r="H997" s="733"/>
      <c r="I997" s="730"/>
      <c r="J997" s="731"/>
      <c r="K997" s="731"/>
      <c r="L997" s="731"/>
      <c r="M997" s="731"/>
      <c r="N997" s="731"/>
    </row>
    <row r="998">
      <c r="A998" s="408"/>
      <c r="B998" s="730"/>
      <c r="C998" s="772"/>
      <c r="D998" s="773"/>
      <c r="E998" s="772"/>
      <c r="F998" s="773"/>
      <c r="G998" s="732"/>
      <c r="H998" s="733"/>
      <c r="I998" s="730"/>
      <c r="J998" s="731"/>
      <c r="K998" s="731"/>
      <c r="L998" s="731"/>
      <c r="M998" s="731"/>
      <c r="N998" s="731"/>
    </row>
    <row r="999">
      <c r="A999" s="408"/>
      <c r="B999" s="730"/>
      <c r="C999" s="772"/>
      <c r="D999" s="773"/>
      <c r="E999" s="772"/>
      <c r="F999" s="773"/>
      <c r="G999" s="732"/>
      <c r="H999" s="733"/>
      <c r="I999" s="730"/>
      <c r="J999" s="731"/>
      <c r="K999" s="731"/>
      <c r="L999" s="731"/>
      <c r="M999" s="731"/>
      <c r="N999" s="731"/>
    </row>
    <row r="1000">
      <c r="A1000" s="408"/>
      <c r="B1000" s="730"/>
      <c r="C1000" s="772"/>
      <c r="D1000" s="773"/>
      <c r="E1000" s="772"/>
      <c r="F1000" s="773"/>
      <c r="G1000" s="732"/>
      <c r="H1000" s="733"/>
      <c r="I1000" s="730"/>
      <c r="J1000" s="731"/>
      <c r="K1000" s="731"/>
      <c r="L1000" s="731"/>
      <c r="M1000" s="731"/>
      <c r="N1000" s="731"/>
    </row>
    <row r="1001">
      <c r="A1001" s="408"/>
      <c r="B1001" s="730"/>
      <c r="C1001" s="772"/>
      <c r="D1001" s="773"/>
      <c r="E1001" s="772"/>
      <c r="F1001" s="773"/>
      <c r="G1001" s="732"/>
      <c r="H1001" s="733"/>
      <c r="I1001" s="730"/>
      <c r="J1001" s="731"/>
      <c r="K1001" s="731"/>
      <c r="L1001" s="731"/>
      <c r="M1001" s="731"/>
      <c r="N1001" s="731"/>
    </row>
    <row r="1002">
      <c r="A1002" s="408"/>
      <c r="B1002" s="730"/>
      <c r="C1002" s="772"/>
      <c r="D1002" s="773"/>
      <c r="E1002" s="772"/>
      <c r="F1002" s="773"/>
      <c r="G1002" s="732"/>
      <c r="H1002" s="733"/>
      <c r="I1002" s="730"/>
      <c r="J1002" s="731"/>
      <c r="K1002" s="731"/>
      <c r="L1002" s="731"/>
      <c r="M1002" s="731"/>
      <c r="N1002" s="731"/>
    </row>
    <row r="1003">
      <c r="A1003" s="408"/>
      <c r="B1003" s="730"/>
      <c r="C1003" s="772"/>
      <c r="D1003" s="773"/>
      <c r="E1003" s="772"/>
      <c r="F1003" s="773"/>
      <c r="G1003" s="732"/>
      <c r="H1003" s="733"/>
      <c r="I1003" s="730"/>
      <c r="J1003" s="731"/>
      <c r="K1003" s="731"/>
    </row>
    <row r="1004">
      <c r="A1004" s="408"/>
      <c r="B1004" s="730"/>
      <c r="C1004" s="772"/>
      <c r="D1004" s="773"/>
      <c r="E1004" s="772"/>
      <c r="F1004" s="773"/>
      <c r="G1004" s="732"/>
      <c r="H1004" s="733"/>
      <c r="I1004" s="730"/>
      <c r="J1004" s="731"/>
      <c r="K1004" s="731"/>
    </row>
    <row r="1005">
      <c r="A1005" s="408"/>
      <c r="B1005" s="730"/>
      <c r="C1005" s="772"/>
      <c r="D1005" s="773"/>
      <c r="E1005" s="772"/>
      <c r="F1005" s="773"/>
      <c r="G1005" s="732"/>
      <c r="H1005" s="733"/>
      <c r="I1005" s="730"/>
      <c r="J1005" s="731"/>
      <c r="K1005" s="731"/>
    </row>
    <row r="1006">
      <c r="A1006" s="408"/>
      <c r="B1006" s="730"/>
      <c r="C1006" s="772"/>
      <c r="D1006" s="773"/>
      <c r="E1006" s="772"/>
      <c r="F1006" s="773"/>
      <c r="G1006" s="732"/>
      <c r="H1006" s="733"/>
      <c r="I1006" s="730"/>
      <c r="J1006" s="731"/>
      <c r="K1006" s="731"/>
    </row>
    <row r="1007">
      <c r="A1007" s="408"/>
      <c r="B1007" s="730"/>
      <c r="C1007" s="772"/>
      <c r="D1007" s="773"/>
      <c r="E1007" s="772"/>
      <c r="F1007" s="773"/>
      <c r="G1007" s="732"/>
      <c r="H1007" s="733"/>
      <c r="I1007" s="730"/>
      <c r="J1007" s="731"/>
      <c r="K1007" s="731"/>
    </row>
    <row r="1008">
      <c r="A1008" s="408"/>
      <c r="B1008" s="730"/>
      <c r="C1008" s="772"/>
      <c r="D1008" s="773"/>
      <c r="E1008" s="772"/>
      <c r="F1008" s="773"/>
      <c r="G1008" s="732"/>
      <c r="H1008" s="733"/>
      <c r="I1008" s="730"/>
      <c r="J1008" s="731"/>
      <c r="K1008" s="731"/>
    </row>
    <row r="1009">
      <c r="A1009" s="408"/>
      <c r="B1009" s="730"/>
      <c r="C1009" s="772"/>
      <c r="D1009" s="773"/>
      <c r="E1009" s="772"/>
      <c r="F1009" s="773"/>
      <c r="G1009" s="732"/>
      <c r="H1009" s="733"/>
      <c r="I1009" s="730"/>
      <c r="J1009" s="731"/>
      <c r="K1009" s="731"/>
    </row>
    <row r="1010">
      <c r="A1010" s="408"/>
      <c r="B1010" s="730"/>
      <c r="C1010" s="772"/>
      <c r="D1010" s="773"/>
      <c r="E1010" s="772"/>
      <c r="F1010" s="773"/>
      <c r="G1010" s="732"/>
      <c r="H1010" s="733"/>
      <c r="I1010" s="730"/>
      <c r="J1010" s="731"/>
      <c r="K1010" s="731"/>
    </row>
    <row r="1011">
      <c r="A1011" s="408"/>
      <c r="B1011" s="730"/>
      <c r="C1011" s="772"/>
      <c r="D1011" s="773"/>
      <c r="E1011" s="772"/>
      <c r="F1011" s="773"/>
      <c r="G1011" s="732"/>
      <c r="H1011" s="733"/>
      <c r="I1011" s="730"/>
      <c r="J1011" s="731"/>
      <c r="K1011" s="731"/>
    </row>
    <row r="1012">
      <c r="A1012" s="408"/>
      <c r="B1012" s="730"/>
      <c r="C1012" s="772"/>
      <c r="D1012" s="773"/>
      <c r="E1012" s="772"/>
      <c r="F1012" s="773"/>
      <c r="G1012" s="732"/>
      <c r="H1012" s="733"/>
      <c r="I1012" s="730"/>
      <c r="J1012" s="731"/>
      <c r="K1012" s="731"/>
    </row>
    <row r="1013">
      <c r="A1013" s="408"/>
      <c r="B1013" s="730"/>
      <c r="C1013" s="772"/>
      <c r="D1013" s="773"/>
      <c r="E1013" s="772"/>
      <c r="F1013" s="773"/>
      <c r="G1013" s="732"/>
      <c r="H1013" s="733"/>
      <c r="I1013" s="730"/>
      <c r="J1013" s="731"/>
      <c r="K1013" s="731"/>
    </row>
    <row r="1014">
      <c r="A1014" s="408"/>
      <c r="B1014" s="730"/>
      <c r="C1014" s="772"/>
      <c r="D1014" s="773"/>
      <c r="E1014" s="772"/>
      <c r="F1014" s="773"/>
      <c r="G1014" s="732"/>
      <c r="H1014" s="733"/>
      <c r="I1014" s="730"/>
      <c r="J1014" s="731"/>
      <c r="K1014" s="731"/>
    </row>
    <row r="1015">
      <c r="A1015" s="408"/>
      <c r="B1015" s="730"/>
      <c r="C1015" s="772"/>
      <c r="D1015" s="773"/>
      <c r="E1015" s="772"/>
      <c r="F1015" s="773"/>
      <c r="G1015" s="732"/>
      <c r="H1015" s="733"/>
      <c r="I1015" s="730"/>
      <c r="J1015" s="731"/>
      <c r="K1015" s="731"/>
    </row>
    <row r="1016">
      <c r="A1016" s="408"/>
      <c r="B1016" s="730"/>
      <c r="C1016" s="772"/>
      <c r="D1016" s="773"/>
      <c r="E1016" s="772"/>
      <c r="F1016" s="773"/>
      <c r="G1016" s="732"/>
      <c r="H1016" s="733"/>
      <c r="I1016" s="730"/>
      <c r="J1016" s="731"/>
      <c r="K1016" s="731"/>
    </row>
    <row r="1017">
      <c r="A1017" s="408"/>
      <c r="B1017" s="730"/>
      <c r="C1017" s="772"/>
      <c r="D1017" s="773"/>
      <c r="E1017" s="772"/>
      <c r="F1017" s="773"/>
      <c r="G1017" s="732"/>
      <c r="H1017" s="733"/>
      <c r="I1017" s="730"/>
      <c r="J1017" s="731"/>
      <c r="K1017" s="731"/>
    </row>
    <row r="1018">
      <c r="B1018" s="731"/>
      <c r="C1018" s="731"/>
      <c r="D1018" s="731"/>
      <c r="E1018" s="731"/>
      <c r="F1018" s="731"/>
      <c r="G1018" s="731"/>
      <c r="H1018" s="731"/>
      <c r="J1018" s="731"/>
      <c r="K1018" s="731"/>
    </row>
    <row r="1019">
      <c r="B1019" s="731"/>
      <c r="C1019" s="731"/>
      <c r="D1019" s="731"/>
      <c r="E1019" s="731"/>
      <c r="F1019" s="731"/>
      <c r="G1019" s="731"/>
      <c r="H1019" s="731"/>
      <c r="J1019" s="731"/>
      <c r="K1019" s="731"/>
    </row>
  </sheetData>
  <mergeCells count="10">
    <mergeCell ref="A50:H50"/>
    <mergeCell ref="A64:H64"/>
    <mergeCell ref="A70:H70"/>
    <mergeCell ref="B3:C3"/>
    <mergeCell ref="D3:E3"/>
    <mergeCell ref="F3:G3"/>
    <mergeCell ref="A4:H4"/>
    <mergeCell ref="A16:H16"/>
    <mergeCell ref="A22:H22"/>
    <mergeCell ref="A42:H42"/>
  </mergeCell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26" width="4.75"/>
  </cols>
  <sheetData>
    <row r="1">
      <c r="A1" s="529"/>
      <c r="B1" s="528"/>
      <c r="C1" s="734" t="s">
        <v>362</v>
      </c>
      <c r="F1" s="734" t="s">
        <v>363</v>
      </c>
      <c r="I1" s="734" t="s">
        <v>364</v>
      </c>
      <c r="L1" s="734" t="s">
        <v>365</v>
      </c>
      <c r="O1" s="730" t="s">
        <v>366</v>
      </c>
      <c r="R1" s="734" t="s">
        <v>367</v>
      </c>
      <c r="U1" s="735" t="s">
        <v>368</v>
      </c>
      <c r="X1" s="734" t="s">
        <v>369</v>
      </c>
    </row>
    <row r="2">
      <c r="A2" s="529"/>
      <c r="B2" s="528"/>
      <c r="C2" s="734" t="s">
        <v>27</v>
      </c>
      <c r="D2" s="736" t="s">
        <v>28</v>
      </c>
      <c r="E2" s="731" t="s">
        <v>370</v>
      </c>
      <c r="F2" s="737" t="s">
        <v>27</v>
      </c>
      <c r="G2" s="731" t="s">
        <v>28</v>
      </c>
      <c r="H2" s="731" t="s">
        <v>370</v>
      </c>
      <c r="I2" s="734" t="s">
        <v>27</v>
      </c>
      <c r="J2" s="731" t="s">
        <v>28</v>
      </c>
      <c r="K2" s="731" t="s">
        <v>370</v>
      </c>
      <c r="L2" s="737" t="s">
        <v>27</v>
      </c>
      <c r="M2" s="731" t="s">
        <v>28</v>
      </c>
      <c r="N2" s="731" t="s">
        <v>370</v>
      </c>
      <c r="O2" s="730" t="s">
        <v>27</v>
      </c>
      <c r="P2" s="731" t="s">
        <v>28</v>
      </c>
      <c r="Q2" s="731" t="s">
        <v>370</v>
      </c>
      <c r="R2" s="737" t="s">
        <v>27</v>
      </c>
      <c r="S2" s="731" t="s">
        <v>28</v>
      </c>
      <c r="T2" s="736" t="s">
        <v>370</v>
      </c>
      <c r="U2" s="734" t="s">
        <v>27</v>
      </c>
      <c r="V2" s="731" t="s">
        <v>28</v>
      </c>
      <c r="W2" s="731" t="s">
        <v>370</v>
      </c>
      <c r="X2" s="734" t="s">
        <v>27</v>
      </c>
      <c r="Y2" s="731" t="s">
        <v>28</v>
      </c>
      <c r="Z2" s="736" t="s">
        <v>370</v>
      </c>
    </row>
    <row r="3">
      <c r="A3" s="738"/>
      <c r="B3" s="739" t="s">
        <v>221</v>
      </c>
      <c r="C3" s="740">
        <v>1.0</v>
      </c>
      <c r="D3" s="741">
        <v>1.0</v>
      </c>
      <c r="E3" s="742">
        <v>2.0</v>
      </c>
      <c r="F3" s="743">
        <v>1.0</v>
      </c>
      <c r="G3" s="742">
        <v>1.0</v>
      </c>
      <c r="H3" s="742">
        <v>2.0</v>
      </c>
      <c r="I3" s="740">
        <v>1.0</v>
      </c>
      <c r="J3" s="742">
        <v>1.0</v>
      </c>
      <c r="K3" s="742">
        <v>2.0</v>
      </c>
      <c r="L3" s="743">
        <v>1.0</v>
      </c>
      <c r="M3" s="742">
        <v>1.0</v>
      </c>
      <c r="N3" s="742">
        <v>2.0</v>
      </c>
      <c r="O3" s="744">
        <v>1.0</v>
      </c>
      <c r="P3" s="742">
        <v>2.0</v>
      </c>
      <c r="Q3" s="742">
        <v>3.0</v>
      </c>
      <c r="R3" s="743">
        <v>1.0</v>
      </c>
      <c r="S3" s="742">
        <v>2.0</v>
      </c>
      <c r="T3" s="741">
        <v>4.0</v>
      </c>
      <c r="U3" s="740">
        <v>1.0</v>
      </c>
      <c r="V3" s="742">
        <v>2.0</v>
      </c>
      <c r="W3" s="742">
        <v>3.0</v>
      </c>
      <c r="X3" s="740">
        <v>1.0</v>
      </c>
      <c r="Y3" s="742">
        <v>2.0</v>
      </c>
      <c r="Z3" s="741">
        <v>4.0</v>
      </c>
    </row>
    <row r="4">
      <c r="A4" s="529" t="s">
        <v>30</v>
      </c>
      <c r="B4" s="528" t="s">
        <v>219</v>
      </c>
      <c r="C4" s="734">
        <v>1.0</v>
      </c>
      <c r="D4" s="736">
        <v>1.0</v>
      </c>
      <c r="E4" s="731">
        <v>2.0</v>
      </c>
      <c r="F4" s="737">
        <v>1.0</v>
      </c>
      <c r="G4" s="731">
        <v>2.0</v>
      </c>
      <c r="H4" s="736">
        <v>3.0</v>
      </c>
      <c r="I4" s="734">
        <v>1.0</v>
      </c>
      <c r="J4" s="736">
        <v>2.0</v>
      </c>
      <c r="K4" s="736">
        <v>2.0</v>
      </c>
      <c r="L4" s="737">
        <v>1.0</v>
      </c>
      <c r="M4" s="736">
        <v>2.0</v>
      </c>
      <c r="N4" s="736">
        <v>3.0</v>
      </c>
      <c r="O4" s="745">
        <v>1.0</v>
      </c>
      <c r="P4" s="736">
        <v>2.0</v>
      </c>
      <c r="Q4" s="731"/>
      <c r="R4" s="737">
        <v>1.0</v>
      </c>
      <c r="S4" s="736">
        <v>2.0</v>
      </c>
      <c r="T4" s="736">
        <v>4.0</v>
      </c>
      <c r="U4" s="737">
        <v>1.0</v>
      </c>
      <c r="V4" s="736">
        <v>2.0</v>
      </c>
      <c r="W4" s="736">
        <v>3.0</v>
      </c>
      <c r="X4" s="737">
        <v>1.0</v>
      </c>
      <c r="Y4" s="736">
        <v>2.0</v>
      </c>
      <c r="Z4" s="736">
        <v>4.0</v>
      </c>
    </row>
    <row r="5">
      <c r="A5" s="529"/>
      <c r="B5" s="528" t="s">
        <v>217</v>
      </c>
      <c r="C5" s="737">
        <v>1.0</v>
      </c>
      <c r="D5" s="736">
        <v>1.0</v>
      </c>
      <c r="E5" s="736">
        <v>2.0</v>
      </c>
      <c r="F5" s="737">
        <v>1.0</v>
      </c>
      <c r="G5" s="736">
        <v>2.0</v>
      </c>
      <c r="H5" s="736">
        <v>3.0</v>
      </c>
      <c r="I5" s="737">
        <v>1.0</v>
      </c>
      <c r="J5" s="736">
        <v>2.0</v>
      </c>
      <c r="K5" s="736">
        <v>2.0</v>
      </c>
      <c r="L5" s="737">
        <v>1.0</v>
      </c>
      <c r="M5" s="736">
        <v>2.0</v>
      </c>
      <c r="N5" s="736">
        <v>3.0</v>
      </c>
      <c r="O5" s="745">
        <v>1.0</v>
      </c>
      <c r="P5" s="736">
        <v>2.0</v>
      </c>
      <c r="Q5" s="731"/>
      <c r="R5" s="737">
        <v>1.0</v>
      </c>
      <c r="S5" s="736">
        <v>2.0</v>
      </c>
      <c r="T5" s="736">
        <v>4.0</v>
      </c>
      <c r="U5" s="737">
        <v>1.0</v>
      </c>
      <c r="V5" s="736">
        <v>2.0</v>
      </c>
      <c r="W5" s="736">
        <v>4.0</v>
      </c>
      <c r="X5" s="737">
        <v>1.0</v>
      </c>
      <c r="Y5" s="736">
        <v>2.0</v>
      </c>
      <c r="Z5" s="736">
        <v>4.0</v>
      </c>
    </row>
    <row r="6">
      <c r="A6" s="738" t="s">
        <v>44</v>
      </c>
      <c r="B6" s="739" t="s">
        <v>221</v>
      </c>
      <c r="C6" s="746">
        <v>1.0</v>
      </c>
      <c r="D6" s="747">
        <v>1.0</v>
      </c>
      <c r="E6" s="748">
        <v>2.0</v>
      </c>
      <c r="F6" s="749">
        <v>1.0</v>
      </c>
      <c r="G6" s="748">
        <v>1.0</v>
      </c>
      <c r="H6" s="748">
        <v>2.0</v>
      </c>
      <c r="I6" s="746">
        <v>1.0</v>
      </c>
      <c r="J6" s="748">
        <v>1.0</v>
      </c>
      <c r="K6" s="748">
        <v>2.0</v>
      </c>
      <c r="L6" s="749">
        <v>1.0</v>
      </c>
      <c r="M6" s="748">
        <v>1.0</v>
      </c>
      <c r="N6" s="748">
        <v>2.0</v>
      </c>
      <c r="O6" s="744">
        <v>1.0</v>
      </c>
      <c r="P6" s="742">
        <v>2.0</v>
      </c>
      <c r="Q6" s="742">
        <v>3.0</v>
      </c>
      <c r="R6" s="743">
        <v>1.0</v>
      </c>
      <c r="S6" s="742">
        <v>2.0</v>
      </c>
      <c r="T6" s="741">
        <v>3.0</v>
      </c>
      <c r="U6" s="740">
        <v>1.0</v>
      </c>
      <c r="V6" s="742">
        <v>2.0</v>
      </c>
      <c r="W6" s="742">
        <v>3.0</v>
      </c>
      <c r="X6" s="740">
        <v>1.0</v>
      </c>
      <c r="Y6" s="742">
        <v>2.0</v>
      </c>
      <c r="Z6" s="741">
        <v>3.0</v>
      </c>
    </row>
    <row r="7">
      <c r="A7" s="529"/>
      <c r="B7" s="528" t="s">
        <v>219</v>
      </c>
      <c r="C7" s="750">
        <v>1.0</v>
      </c>
      <c r="D7" s="751">
        <v>1.0</v>
      </c>
      <c r="E7" s="752">
        <v>2.0</v>
      </c>
      <c r="F7" s="753">
        <v>1.0</v>
      </c>
      <c r="G7" s="752">
        <v>1.0</v>
      </c>
      <c r="H7" s="752">
        <v>2.0</v>
      </c>
      <c r="I7" s="750">
        <v>1.0</v>
      </c>
      <c r="J7" s="752">
        <v>1.0</v>
      </c>
      <c r="K7" s="752">
        <v>2.0</v>
      </c>
      <c r="L7" s="753">
        <v>1.0</v>
      </c>
      <c r="M7" s="752">
        <v>1.0</v>
      </c>
      <c r="N7" s="752">
        <v>2.0</v>
      </c>
      <c r="O7" s="730">
        <v>1.0</v>
      </c>
      <c r="P7" s="731">
        <v>2.0</v>
      </c>
      <c r="Q7" s="731">
        <v>3.0</v>
      </c>
      <c r="R7" s="737">
        <v>1.0</v>
      </c>
      <c r="S7" s="731">
        <v>2.0</v>
      </c>
      <c r="T7" s="736">
        <v>3.0</v>
      </c>
      <c r="U7" s="734">
        <v>1.0</v>
      </c>
      <c r="V7" s="731">
        <v>2.0</v>
      </c>
      <c r="W7" s="731">
        <v>3.0</v>
      </c>
      <c r="X7" s="734">
        <v>1.0</v>
      </c>
      <c r="Y7" s="731">
        <v>2.0</v>
      </c>
      <c r="Z7" s="736">
        <v>4.0</v>
      </c>
    </row>
    <row r="8">
      <c r="A8" s="738" t="s">
        <v>48</v>
      </c>
      <c r="B8" s="739" t="s">
        <v>221</v>
      </c>
      <c r="C8" s="746">
        <f t="shared" ref="C8:D8" si="1">CEILING(O8/2,1)</f>
        <v>1</v>
      </c>
      <c r="D8" s="747">
        <f t="shared" si="1"/>
        <v>1</v>
      </c>
      <c r="E8" s="747">
        <v>2.0</v>
      </c>
      <c r="F8" s="749">
        <f t="shared" ref="F8:G8" si="2">CEILING(R8/2,1)</f>
        <v>1</v>
      </c>
      <c r="G8" s="748">
        <f t="shared" si="2"/>
        <v>1</v>
      </c>
      <c r="H8" s="748"/>
      <c r="I8" s="746">
        <f t="shared" ref="I8:J8" si="3">CEILING(U8/2,1)</f>
        <v>1</v>
      </c>
      <c r="J8" s="748">
        <f t="shared" si="3"/>
        <v>1</v>
      </c>
      <c r="K8" s="748"/>
      <c r="L8" s="749">
        <f t="shared" ref="L8:M8" si="4">CEILING(X8/2,1)</f>
        <v>1</v>
      </c>
      <c r="M8" s="748">
        <f t="shared" si="4"/>
        <v>1</v>
      </c>
      <c r="N8" s="748"/>
      <c r="O8" s="754">
        <v>1.0</v>
      </c>
      <c r="P8" s="741">
        <v>1.0</v>
      </c>
      <c r="Q8" s="741">
        <v>2.0</v>
      </c>
      <c r="R8" s="743">
        <v>1.0</v>
      </c>
      <c r="S8" s="741">
        <v>2.0</v>
      </c>
      <c r="T8" s="741"/>
      <c r="U8" s="740">
        <v>1.0</v>
      </c>
      <c r="V8" s="741">
        <v>2.0</v>
      </c>
      <c r="W8" s="742"/>
      <c r="X8" s="740">
        <v>1.0</v>
      </c>
      <c r="Y8" s="741">
        <v>2.0</v>
      </c>
      <c r="Z8" s="741"/>
    </row>
    <row r="9">
      <c r="A9" s="529"/>
      <c r="B9" s="528" t="s">
        <v>219</v>
      </c>
      <c r="C9" s="750">
        <f t="shared" ref="C9:D9" si="5">CEILING(O9/2,1)</f>
        <v>1</v>
      </c>
      <c r="D9" s="751">
        <f t="shared" si="5"/>
        <v>1</v>
      </c>
      <c r="E9" s="751">
        <v>2.0</v>
      </c>
      <c r="F9" s="753">
        <f t="shared" ref="F9:G9" si="6">CEILING(R9/2,1)</f>
        <v>1</v>
      </c>
      <c r="G9" s="752">
        <f t="shared" si="6"/>
        <v>1</v>
      </c>
      <c r="H9" s="752"/>
      <c r="I9" s="750">
        <f t="shared" ref="I9:J9" si="7">CEILING(U9/2,1)</f>
        <v>1</v>
      </c>
      <c r="J9" s="752">
        <f t="shared" si="7"/>
        <v>1</v>
      </c>
      <c r="K9" s="752"/>
      <c r="L9" s="753">
        <f t="shared" ref="L9:M9" si="8">CEILING(X9/2,1)</f>
        <v>1</v>
      </c>
      <c r="M9" s="752">
        <f t="shared" si="8"/>
        <v>1</v>
      </c>
      <c r="N9" s="752"/>
      <c r="O9" s="745">
        <v>1.0</v>
      </c>
      <c r="P9" s="736">
        <v>1.0</v>
      </c>
      <c r="Q9" s="736">
        <v>2.0</v>
      </c>
      <c r="R9" s="737">
        <v>1.0</v>
      </c>
      <c r="S9" s="736">
        <v>2.0</v>
      </c>
      <c r="T9" s="736"/>
      <c r="U9" s="734">
        <v>1.0</v>
      </c>
      <c r="V9" s="731">
        <v>2.0</v>
      </c>
      <c r="W9" s="731"/>
      <c r="X9" s="734">
        <v>1.0</v>
      </c>
      <c r="Y9" s="731">
        <v>2.0</v>
      </c>
      <c r="Z9" s="736"/>
    </row>
    <row r="10">
      <c r="A10" s="738" t="s">
        <v>51</v>
      </c>
      <c r="B10" s="739" t="s">
        <v>221</v>
      </c>
      <c r="C10" s="746">
        <f t="shared" ref="C10:D10" si="9">CEILING(O10/2,1)</f>
        <v>1</v>
      </c>
      <c r="D10" s="747">
        <f t="shared" si="9"/>
        <v>1</v>
      </c>
      <c r="E10" s="747">
        <v>1.0</v>
      </c>
      <c r="F10" s="749">
        <f t="shared" ref="F10:G10" si="10">CEILING(R10/2,1)</f>
        <v>1</v>
      </c>
      <c r="G10" s="748">
        <f t="shared" si="10"/>
        <v>1</v>
      </c>
      <c r="H10" s="748"/>
      <c r="I10" s="746">
        <f t="shared" ref="I10:J10" si="11">CEILING(U10/2,1)</f>
        <v>1</v>
      </c>
      <c r="J10" s="748">
        <f t="shared" si="11"/>
        <v>1</v>
      </c>
      <c r="K10" s="748"/>
      <c r="L10" s="749">
        <f t="shared" ref="L10:M10" si="12">CEILING(X10/2,1)</f>
        <v>1</v>
      </c>
      <c r="M10" s="748">
        <f t="shared" si="12"/>
        <v>1</v>
      </c>
      <c r="N10" s="748"/>
      <c r="O10" s="754">
        <v>1.0</v>
      </c>
      <c r="P10" s="741">
        <v>1.0</v>
      </c>
      <c r="Q10" s="741">
        <v>2.0</v>
      </c>
      <c r="R10" s="743">
        <v>1.0</v>
      </c>
      <c r="S10" s="741">
        <v>2.0</v>
      </c>
      <c r="T10" s="741"/>
      <c r="U10" s="740">
        <v>1.0</v>
      </c>
      <c r="V10" s="741">
        <v>2.0</v>
      </c>
      <c r="W10" s="742"/>
      <c r="X10" s="740">
        <v>1.0</v>
      </c>
      <c r="Y10" s="741">
        <v>2.0</v>
      </c>
      <c r="Z10" s="741"/>
    </row>
    <row r="11">
      <c r="A11" s="529"/>
      <c r="B11" s="528"/>
      <c r="C11" s="750">
        <f t="shared" ref="C11:D11" si="13">CEILING(O11/2,1)</f>
        <v>1</v>
      </c>
      <c r="D11" s="751">
        <f t="shared" si="13"/>
        <v>1</v>
      </c>
      <c r="E11" s="751">
        <v>2.0</v>
      </c>
      <c r="F11" s="753">
        <f t="shared" ref="F11:G11" si="14">CEILING(R11/2,1)</f>
        <v>1</v>
      </c>
      <c r="G11" s="752">
        <f t="shared" si="14"/>
        <v>1</v>
      </c>
      <c r="H11" s="752"/>
      <c r="I11" s="750">
        <f t="shared" ref="I11:J11" si="15">CEILING(U11/2,1)</f>
        <v>1</v>
      </c>
      <c r="J11" s="752">
        <f t="shared" si="15"/>
        <v>1</v>
      </c>
      <c r="K11" s="752"/>
      <c r="L11" s="753">
        <f t="shared" ref="L11:M11" si="16">CEILING(X11/2,1)</f>
        <v>1</v>
      </c>
      <c r="M11" s="752">
        <f t="shared" si="16"/>
        <v>1</v>
      </c>
      <c r="N11" s="752"/>
      <c r="O11" s="745">
        <v>1.0</v>
      </c>
      <c r="P11" s="736">
        <v>1.0</v>
      </c>
      <c r="Q11" s="736">
        <v>2.0</v>
      </c>
      <c r="R11" s="737">
        <v>1.0</v>
      </c>
      <c r="S11" s="736">
        <v>2.0</v>
      </c>
      <c r="T11" s="736"/>
      <c r="U11" s="737">
        <v>1.0</v>
      </c>
      <c r="V11" s="736">
        <v>2.0</v>
      </c>
      <c r="W11" s="731"/>
      <c r="X11" s="737">
        <v>1.0</v>
      </c>
      <c r="Y11" s="736">
        <v>2.0</v>
      </c>
      <c r="Z11" s="736"/>
    </row>
    <row r="12">
      <c r="A12" s="738" t="s">
        <v>53</v>
      </c>
      <c r="B12" s="739" t="s">
        <v>221</v>
      </c>
      <c r="C12" s="746">
        <f t="shared" ref="C12:D12" si="17">CEILING(O12/2,1)</f>
        <v>1</v>
      </c>
      <c r="D12" s="747">
        <f t="shared" si="17"/>
        <v>1</v>
      </c>
      <c r="E12" s="747">
        <v>2.0</v>
      </c>
      <c r="F12" s="749">
        <f t="shared" ref="F12:G12" si="18">CEILING(R12/2,1)</f>
        <v>1</v>
      </c>
      <c r="G12" s="748">
        <f t="shared" si="18"/>
        <v>1</v>
      </c>
      <c r="H12" s="748"/>
      <c r="I12" s="746">
        <f t="shared" ref="I12:J12" si="19">CEILING(U12/2,1)</f>
        <v>1</v>
      </c>
      <c r="J12" s="748">
        <f t="shared" si="19"/>
        <v>1</v>
      </c>
      <c r="K12" s="748"/>
      <c r="L12" s="749">
        <f t="shared" ref="L12:M12" si="20">CEILING(X12/2,1)</f>
        <v>1</v>
      </c>
      <c r="M12" s="748">
        <f t="shared" si="20"/>
        <v>1</v>
      </c>
      <c r="N12" s="748"/>
      <c r="O12" s="754">
        <v>1.0</v>
      </c>
      <c r="P12" s="741">
        <v>2.0</v>
      </c>
      <c r="Q12" s="741"/>
      <c r="R12" s="743">
        <v>1.0</v>
      </c>
      <c r="S12" s="741">
        <v>2.0</v>
      </c>
      <c r="T12" s="741"/>
      <c r="U12" s="740">
        <v>1.0</v>
      </c>
      <c r="V12" s="741">
        <v>2.0</v>
      </c>
      <c r="W12" s="742"/>
      <c r="X12" s="740">
        <v>1.0</v>
      </c>
      <c r="Y12" s="741">
        <v>2.0</v>
      </c>
      <c r="Z12" s="741"/>
    </row>
    <row r="13">
      <c r="A13" s="529"/>
      <c r="B13" s="528"/>
      <c r="C13" s="750">
        <f t="shared" ref="C13:D13" si="21">CEILING(O13/2,1)</f>
        <v>1</v>
      </c>
      <c r="D13" s="751">
        <f t="shared" si="21"/>
        <v>1</v>
      </c>
      <c r="E13" s="751">
        <v>2.0</v>
      </c>
      <c r="F13" s="753">
        <f t="shared" ref="F13:G13" si="22">CEILING(R13/2,1)</f>
        <v>1</v>
      </c>
      <c r="G13" s="752">
        <f t="shared" si="22"/>
        <v>1</v>
      </c>
      <c r="H13" s="752"/>
      <c r="I13" s="750">
        <f t="shared" ref="I13:J13" si="23">CEILING(U13/2,1)</f>
        <v>1</v>
      </c>
      <c r="J13" s="752">
        <f t="shared" si="23"/>
        <v>1</v>
      </c>
      <c r="K13" s="752"/>
      <c r="L13" s="753">
        <f t="shared" ref="L13:M13" si="24">CEILING(X13/2,1)</f>
        <v>1</v>
      </c>
      <c r="M13" s="752">
        <f t="shared" si="24"/>
        <v>1</v>
      </c>
      <c r="N13" s="752"/>
      <c r="O13" s="745">
        <v>1.0</v>
      </c>
      <c r="P13" s="736">
        <v>2.0</v>
      </c>
      <c r="Q13" s="736"/>
      <c r="R13" s="737">
        <v>1.0</v>
      </c>
      <c r="S13" s="736">
        <v>2.0</v>
      </c>
      <c r="T13" s="736"/>
      <c r="U13" s="734">
        <v>1.0</v>
      </c>
      <c r="V13" s="731">
        <v>2.0</v>
      </c>
      <c r="W13" s="731"/>
      <c r="X13" s="734">
        <v>1.0</v>
      </c>
      <c r="Y13" s="731">
        <v>2.0</v>
      </c>
      <c r="Z13" s="736"/>
    </row>
    <row r="14">
      <c r="A14" s="738"/>
      <c r="B14" s="739" t="s">
        <v>221</v>
      </c>
      <c r="C14" s="746">
        <f t="shared" ref="C14:G14" si="25">CEILING(O14/2,1)</f>
        <v>1</v>
      </c>
      <c r="D14" s="747">
        <f t="shared" si="25"/>
        <v>1</v>
      </c>
      <c r="E14" s="748">
        <f t="shared" si="25"/>
        <v>1</v>
      </c>
      <c r="F14" s="749">
        <f t="shared" si="25"/>
        <v>1</v>
      </c>
      <c r="G14" s="748">
        <f t="shared" si="25"/>
        <v>1</v>
      </c>
      <c r="H14" s="748"/>
      <c r="I14" s="746">
        <f t="shared" ref="I14:J14" si="26">CEILING(U14/2,1)</f>
        <v>1</v>
      </c>
      <c r="J14" s="748">
        <f t="shared" si="26"/>
        <v>1</v>
      </c>
      <c r="K14" s="748"/>
      <c r="L14" s="749">
        <f t="shared" ref="L14:M14" si="27">CEILING(X14/2,1)</f>
        <v>1</v>
      </c>
      <c r="M14" s="748">
        <f t="shared" si="27"/>
        <v>1</v>
      </c>
      <c r="N14" s="748"/>
      <c r="O14" s="754">
        <v>1.0</v>
      </c>
      <c r="P14" s="741">
        <v>1.0</v>
      </c>
      <c r="Q14" s="741">
        <v>2.0</v>
      </c>
      <c r="R14" s="743">
        <v>1.0</v>
      </c>
      <c r="S14" s="741">
        <v>1.0</v>
      </c>
      <c r="T14" s="741">
        <v>2.0</v>
      </c>
      <c r="U14" s="740">
        <v>1.0</v>
      </c>
      <c r="V14" s="742">
        <v>1.0</v>
      </c>
      <c r="W14" s="742">
        <v>2.0</v>
      </c>
      <c r="X14" s="740">
        <v>1.0</v>
      </c>
      <c r="Y14" s="742">
        <v>1.0</v>
      </c>
      <c r="Z14" s="741">
        <v>2.0</v>
      </c>
    </row>
    <row r="15">
      <c r="A15" s="529" t="s">
        <v>55</v>
      </c>
      <c r="B15" s="528" t="s">
        <v>219</v>
      </c>
      <c r="C15" s="750">
        <f t="shared" ref="C15:N15" si="28">CEILING(O15/2,1)</f>
        <v>1</v>
      </c>
      <c r="D15" s="751">
        <f t="shared" si="28"/>
        <v>1</v>
      </c>
      <c r="E15" s="752">
        <f t="shared" si="28"/>
        <v>1</v>
      </c>
      <c r="F15" s="753">
        <f t="shared" si="28"/>
        <v>1</v>
      </c>
      <c r="G15" s="752">
        <f t="shared" si="28"/>
        <v>1</v>
      </c>
      <c r="H15" s="752">
        <f t="shared" si="28"/>
        <v>2</v>
      </c>
      <c r="I15" s="750">
        <f t="shared" si="28"/>
        <v>1</v>
      </c>
      <c r="J15" s="752">
        <f t="shared" si="28"/>
        <v>1</v>
      </c>
      <c r="K15" s="752">
        <f t="shared" si="28"/>
        <v>2</v>
      </c>
      <c r="L15" s="753">
        <f t="shared" si="28"/>
        <v>1</v>
      </c>
      <c r="M15" s="752">
        <f t="shared" si="28"/>
        <v>1</v>
      </c>
      <c r="N15" s="752">
        <f t="shared" si="28"/>
        <v>2</v>
      </c>
      <c r="O15" s="745">
        <v>1.0</v>
      </c>
      <c r="P15" s="736">
        <v>1.0</v>
      </c>
      <c r="Q15" s="736">
        <v>2.0</v>
      </c>
      <c r="R15" s="737">
        <v>1.0</v>
      </c>
      <c r="S15" s="736">
        <v>2.0</v>
      </c>
      <c r="T15" s="736">
        <v>3.0</v>
      </c>
      <c r="U15" s="734">
        <v>1.0</v>
      </c>
      <c r="V15" s="731">
        <v>2.0</v>
      </c>
      <c r="W15" s="731">
        <v>3.0</v>
      </c>
      <c r="X15" s="734">
        <v>1.0</v>
      </c>
      <c r="Y15" s="731">
        <v>2.0</v>
      </c>
      <c r="Z15" s="736">
        <v>3.0</v>
      </c>
    </row>
    <row r="16">
      <c r="A16" s="529"/>
      <c r="B16" s="528" t="s">
        <v>217</v>
      </c>
      <c r="C16" s="750">
        <f t="shared" ref="C16:D16" si="29">CEILING(O16/2,1)</f>
        <v>1</v>
      </c>
      <c r="D16" s="751">
        <f t="shared" si="29"/>
        <v>1</v>
      </c>
      <c r="E16" s="752"/>
      <c r="F16" s="753">
        <f t="shared" ref="F16:N16" si="30">CEILING(R16/2,1)</f>
        <v>1</v>
      </c>
      <c r="G16" s="752">
        <f t="shared" si="30"/>
        <v>1</v>
      </c>
      <c r="H16" s="752">
        <f t="shared" si="30"/>
        <v>2</v>
      </c>
      <c r="I16" s="750">
        <f t="shared" si="30"/>
        <v>1</v>
      </c>
      <c r="J16" s="752">
        <f t="shared" si="30"/>
        <v>1</v>
      </c>
      <c r="K16" s="752">
        <f t="shared" si="30"/>
        <v>2</v>
      </c>
      <c r="L16" s="753">
        <f t="shared" si="30"/>
        <v>1</v>
      </c>
      <c r="M16" s="752">
        <f t="shared" si="30"/>
        <v>1</v>
      </c>
      <c r="N16" s="752">
        <f t="shared" si="30"/>
        <v>2</v>
      </c>
      <c r="O16" s="745">
        <v>1.0</v>
      </c>
      <c r="P16" s="736">
        <v>1.0</v>
      </c>
      <c r="Q16" s="736">
        <v>2.0</v>
      </c>
      <c r="R16" s="737">
        <v>1.0</v>
      </c>
      <c r="S16" s="736">
        <v>2.0</v>
      </c>
      <c r="T16" s="736">
        <v>3.0</v>
      </c>
      <c r="U16" s="734">
        <v>1.0</v>
      </c>
      <c r="V16" s="731">
        <v>2.0</v>
      </c>
      <c r="W16" s="731">
        <v>3.0</v>
      </c>
      <c r="X16" s="734">
        <v>1.0</v>
      </c>
      <c r="Y16" s="731">
        <v>2.0</v>
      </c>
      <c r="Z16" s="736">
        <v>3.0</v>
      </c>
    </row>
    <row r="17">
      <c r="A17" s="738" t="s">
        <v>57</v>
      </c>
      <c r="B17" s="739" t="s">
        <v>221</v>
      </c>
      <c r="C17" s="746">
        <f t="shared" ref="C17:D17" si="31">CEILING(O17/2,1)</f>
        <v>1</v>
      </c>
      <c r="D17" s="747">
        <f t="shared" si="31"/>
        <v>1</v>
      </c>
      <c r="E17" s="748"/>
      <c r="F17" s="749">
        <f t="shared" ref="F17:G17" si="32">CEILING(R17/2,1)</f>
        <v>1</v>
      </c>
      <c r="G17" s="748">
        <f t="shared" si="32"/>
        <v>1</v>
      </c>
      <c r="H17" s="748"/>
      <c r="I17" s="746">
        <f t="shared" ref="I17:J17" si="33">CEILING(U17/2,1)</f>
        <v>1</v>
      </c>
      <c r="J17" s="748">
        <f t="shared" si="33"/>
        <v>1</v>
      </c>
      <c r="K17" s="748"/>
      <c r="L17" s="749">
        <f t="shared" ref="L17:M17" si="34">CEILING(X17/2,1)</f>
        <v>1</v>
      </c>
      <c r="M17" s="748">
        <f t="shared" si="34"/>
        <v>1</v>
      </c>
      <c r="N17" s="748"/>
      <c r="O17" s="754">
        <v>1.0</v>
      </c>
      <c r="P17" s="741">
        <v>1.0</v>
      </c>
      <c r="Q17" s="742"/>
      <c r="R17" s="743">
        <v>1.0</v>
      </c>
      <c r="S17" s="741">
        <v>1.0</v>
      </c>
      <c r="T17" s="741"/>
      <c r="U17" s="740">
        <v>1.0</v>
      </c>
      <c r="V17" s="742">
        <v>1.0</v>
      </c>
      <c r="W17" s="742"/>
      <c r="X17" s="740">
        <v>1.0</v>
      </c>
      <c r="Y17" s="742">
        <v>1.0</v>
      </c>
      <c r="Z17" s="741"/>
    </row>
    <row r="18">
      <c r="A18" s="529"/>
      <c r="B18" s="528"/>
      <c r="C18" s="750">
        <f t="shared" ref="C18:D18" si="35">CEILING(O18/2,1)</f>
        <v>1</v>
      </c>
      <c r="D18" s="751">
        <f t="shared" si="35"/>
        <v>1</v>
      </c>
      <c r="E18" s="752"/>
      <c r="F18" s="753">
        <f t="shared" ref="F18:G18" si="36">CEILING(R18/2,1)</f>
        <v>1</v>
      </c>
      <c r="G18" s="752">
        <f t="shared" si="36"/>
        <v>1</v>
      </c>
      <c r="H18" s="752"/>
      <c r="I18" s="750">
        <f t="shared" ref="I18:J18" si="37">CEILING(U18/2,1)</f>
        <v>1</v>
      </c>
      <c r="J18" s="752">
        <f t="shared" si="37"/>
        <v>1</v>
      </c>
      <c r="K18" s="752"/>
      <c r="L18" s="753">
        <f t="shared" ref="L18:M18" si="38">CEILING(X18/2,1)</f>
        <v>1</v>
      </c>
      <c r="M18" s="752">
        <f t="shared" si="38"/>
        <v>1</v>
      </c>
      <c r="N18" s="752"/>
      <c r="O18" s="745">
        <v>1.0</v>
      </c>
      <c r="P18" s="736">
        <v>1.0</v>
      </c>
      <c r="Q18" s="731"/>
      <c r="R18" s="737">
        <v>1.0</v>
      </c>
      <c r="S18" s="736">
        <v>1.0</v>
      </c>
      <c r="T18" s="736"/>
      <c r="U18" s="737">
        <v>1.0</v>
      </c>
      <c r="V18" s="736">
        <v>1.0</v>
      </c>
      <c r="W18" s="731"/>
      <c r="X18" s="737">
        <v>1.0</v>
      </c>
      <c r="Y18" s="736">
        <v>1.0</v>
      </c>
      <c r="Z18" s="736"/>
    </row>
    <row r="19">
      <c r="A19" s="738" t="s">
        <v>273</v>
      </c>
      <c r="B19" s="739" t="s">
        <v>221</v>
      </c>
      <c r="C19" s="746">
        <f t="shared" ref="C19:G19" si="39">CEILING(O19/2,1)</f>
        <v>1</v>
      </c>
      <c r="D19" s="747">
        <f t="shared" si="39"/>
        <v>1</v>
      </c>
      <c r="E19" s="748">
        <f t="shared" si="39"/>
        <v>1</v>
      </c>
      <c r="F19" s="749">
        <f t="shared" si="39"/>
        <v>1</v>
      </c>
      <c r="G19" s="748">
        <f t="shared" si="39"/>
        <v>1</v>
      </c>
      <c r="H19" s="748"/>
      <c r="I19" s="746">
        <f t="shared" ref="I19:J19" si="40">CEILING(U19/2,1)</f>
        <v>1</v>
      </c>
      <c r="J19" s="748">
        <f t="shared" si="40"/>
        <v>1</v>
      </c>
      <c r="K19" s="748"/>
      <c r="L19" s="749">
        <f t="shared" ref="L19:M19" si="41">CEILING(X19/2,1)</f>
        <v>1</v>
      </c>
      <c r="M19" s="748">
        <f t="shared" si="41"/>
        <v>1</v>
      </c>
      <c r="N19" s="748"/>
      <c r="O19" s="754">
        <v>1.0</v>
      </c>
      <c r="P19" s="741">
        <v>1.0</v>
      </c>
      <c r="Q19" s="741">
        <v>2.0</v>
      </c>
      <c r="R19" s="743">
        <v>1.0</v>
      </c>
      <c r="S19" s="741">
        <v>1.0</v>
      </c>
      <c r="T19" s="741">
        <v>2.0</v>
      </c>
      <c r="U19" s="740">
        <v>1.0</v>
      </c>
      <c r="V19" s="742">
        <v>1.0</v>
      </c>
      <c r="W19" s="741">
        <v>2.0</v>
      </c>
      <c r="X19" s="740">
        <v>1.0</v>
      </c>
      <c r="Y19" s="742">
        <v>1.0</v>
      </c>
      <c r="Z19" s="741">
        <v>2.0</v>
      </c>
    </row>
    <row r="20">
      <c r="A20" s="529"/>
      <c r="B20" s="528"/>
      <c r="C20" s="750">
        <f t="shared" ref="C20:G20" si="42">CEILING(O20/2,1)</f>
        <v>1</v>
      </c>
      <c r="D20" s="751">
        <f t="shared" si="42"/>
        <v>1</v>
      </c>
      <c r="E20" s="752">
        <f t="shared" si="42"/>
        <v>1</v>
      </c>
      <c r="F20" s="753">
        <f t="shared" si="42"/>
        <v>1</v>
      </c>
      <c r="G20" s="752">
        <f t="shared" si="42"/>
        <v>1</v>
      </c>
      <c r="H20" s="752"/>
      <c r="I20" s="750">
        <f t="shared" ref="I20:J20" si="43">CEILING(U20/2,1)</f>
        <v>1</v>
      </c>
      <c r="J20" s="752">
        <f t="shared" si="43"/>
        <v>1</v>
      </c>
      <c r="K20" s="752"/>
      <c r="L20" s="753">
        <f t="shared" ref="L20:M20" si="44">CEILING(X20/2,1)</f>
        <v>1</v>
      </c>
      <c r="M20" s="752">
        <f t="shared" si="44"/>
        <v>1</v>
      </c>
      <c r="N20" s="752"/>
      <c r="O20" s="745">
        <v>1.0</v>
      </c>
      <c r="P20" s="736">
        <v>1.0</v>
      </c>
      <c r="Q20" s="736">
        <v>2.0</v>
      </c>
      <c r="R20" s="737">
        <v>1.0</v>
      </c>
      <c r="S20" s="736">
        <v>1.0</v>
      </c>
      <c r="T20" s="736">
        <v>2.0</v>
      </c>
      <c r="U20" s="737">
        <v>1.0</v>
      </c>
      <c r="V20" s="736">
        <v>1.0</v>
      </c>
      <c r="W20" s="736">
        <v>2.0</v>
      </c>
      <c r="X20" s="737">
        <v>1.0</v>
      </c>
      <c r="Y20" s="736">
        <v>1.0</v>
      </c>
      <c r="Z20" s="736">
        <v>2.0</v>
      </c>
    </row>
    <row r="21">
      <c r="A21" s="738" t="s">
        <v>136</v>
      </c>
      <c r="B21" s="738"/>
      <c r="C21" s="746">
        <f t="shared" ref="C21:D21" si="45">CEILING(O21/2,1)</f>
        <v>1</v>
      </c>
      <c r="D21" s="747">
        <f t="shared" si="45"/>
        <v>1</v>
      </c>
      <c r="E21" s="747">
        <v>2.0</v>
      </c>
      <c r="F21" s="749">
        <f t="shared" ref="F21:G21" si="46">CEILING(R21/2,1)</f>
        <v>1</v>
      </c>
      <c r="G21" s="748">
        <f t="shared" si="46"/>
        <v>1</v>
      </c>
      <c r="H21" s="747">
        <v>2.0</v>
      </c>
      <c r="I21" s="746">
        <f t="shared" ref="I21:J21" si="47">CEILING(U21/2,1)</f>
        <v>1</v>
      </c>
      <c r="J21" s="748">
        <f t="shared" si="47"/>
        <v>1</v>
      </c>
      <c r="K21" s="747">
        <v>2.0</v>
      </c>
      <c r="L21" s="749">
        <f t="shared" ref="L21:M21" si="48">CEILING(X21/2,1)</f>
        <v>1</v>
      </c>
      <c r="M21" s="748">
        <f t="shared" si="48"/>
        <v>1</v>
      </c>
      <c r="N21" s="747">
        <v>2.0</v>
      </c>
      <c r="O21" s="754">
        <v>1.0</v>
      </c>
      <c r="P21" s="741">
        <v>2.0</v>
      </c>
      <c r="Q21" s="742"/>
      <c r="R21" s="743">
        <v>1.0</v>
      </c>
      <c r="S21" s="741">
        <v>2.0</v>
      </c>
      <c r="T21" s="741"/>
      <c r="U21" s="743">
        <v>1.0</v>
      </c>
      <c r="V21" s="741">
        <v>2.0</v>
      </c>
      <c r="W21" s="742"/>
      <c r="X21" s="743">
        <v>1.0</v>
      </c>
      <c r="Y21" s="741">
        <v>2.0</v>
      </c>
      <c r="Z21" s="741"/>
    </row>
    <row r="22">
      <c r="A22" s="738" t="s">
        <v>114</v>
      </c>
      <c r="B22" s="738"/>
      <c r="C22" s="746">
        <f t="shared" ref="C22:D22" si="49">CEILING(O22/2,1)</f>
        <v>1</v>
      </c>
      <c r="D22" s="747">
        <f t="shared" si="49"/>
        <v>1</v>
      </c>
      <c r="E22" s="748"/>
      <c r="F22" s="749">
        <f t="shared" ref="F22:G22" si="50">CEILING(R22/2,1)</f>
        <v>1</v>
      </c>
      <c r="G22" s="748">
        <f t="shared" si="50"/>
        <v>1</v>
      </c>
      <c r="H22" s="748"/>
      <c r="I22" s="746">
        <f t="shared" ref="I22:J22" si="51">CEILING(U22/2,1)</f>
        <v>1</v>
      </c>
      <c r="J22" s="748">
        <f t="shared" si="51"/>
        <v>1</v>
      </c>
      <c r="K22" s="748"/>
      <c r="L22" s="749">
        <f t="shared" ref="L22:M22" si="52">CEILING(X22/2,1)</f>
        <v>1</v>
      </c>
      <c r="M22" s="748">
        <f t="shared" si="52"/>
        <v>1</v>
      </c>
      <c r="N22" s="748"/>
      <c r="O22" s="754">
        <v>1.0</v>
      </c>
      <c r="P22" s="741">
        <v>1.0</v>
      </c>
      <c r="Q22" s="742"/>
      <c r="R22" s="743">
        <v>1.0</v>
      </c>
      <c r="S22" s="741">
        <v>1.0</v>
      </c>
      <c r="T22" s="741"/>
      <c r="U22" s="743">
        <v>1.0</v>
      </c>
      <c r="V22" s="741">
        <v>1.0</v>
      </c>
      <c r="W22" s="742"/>
      <c r="X22" s="743">
        <v>1.0</v>
      </c>
      <c r="Y22" s="741">
        <v>1.0</v>
      </c>
      <c r="Z22" s="741"/>
    </row>
    <row r="23">
      <c r="A23" s="738" t="s">
        <v>60</v>
      </c>
      <c r="B23" s="738" t="s">
        <v>219</v>
      </c>
      <c r="C23" s="746">
        <f t="shared" ref="C23:D23" si="53">CEILING(O23/2,1)</f>
        <v>1</v>
      </c>
      <c r="D23" s="747">
        <f t="shared" si="53"/>
        <v>2</v>
      </c>
      <c r="E23" s="748"/>
      <c r="F23" s="749">
        <f t="shared" ref="F23:G23" si="54">CEILING(R23/2,1)</f>
        <v>1</v>
      </c>
      <c r="G23" s="748">
        <f t="shared" si="54"/>
        <v>2</v>
      </c>
      <c r="H23" s="748"/>
      <c r="I23" s="746">
        <f t="shared" ref="I23:J23" si="55">CEILING(U23/2,1)</f>
        <v>1</v>
      </c>
      <c r="J23" s="748">
        <f t="shared" si="55"/>
        <v>2</v>
      </c>
      <c r="K23" s="748"/>
      <c r="L23" s="749">
        <f t="shared" ref="L23:M23" si="56">CEILING(X23/2,1)</f>
        <v>1</v>
      </c>
      <c r="M23" s="748">
        <f t="shared" si="56"/>
        <v>2</v>
      </c>
      <c r="N23" s="748"/>
      <c r="O23" s="754">
        <v>1.0</v>
      </c>
      <c r="P23" s="741">
        <v>3.0</v>
      </c>
      <c r="Q23" s="742"/>
      <c r="R23" s="743">
        <v>2.0</v>
      </c>
      <c r="S23" s="741">
        <v>4.0</v>
      </c>
      <c r="T23" s="741"/>
      <c r="U23" s="743">
        <v>1.0</v>
      </c>
      <c r="V23" s="741">
        <v>4.0</v>
      </c>
      <c r="W23" s="742"/>
      <c r="X23" s="743">
        <v>2.0</v>
      </c>
      <c r="Y23" s="741">
        <v>4.0</v>
      </c>
      <c r="Z23" s="741"/>
    </row>
    <row r="24">
      <c r="A24" s="755"/>
      <c r="B24" s="756" t="s">
        <v>217</v>
      </c>
      <c r="C24" s="757">
        <f t="shared" ref="C24:D24" si="57">CEILING(O24/2,1)</f>
        <v>1</v>
      </c>
      <c r="D24" s="758">
        <f t="shared" si="57"/>
        <v>2</v>
      </c>
      <c r="E24" s="759"/>
      <c r="F24" s="758">
        <f t="shared" ref="F24:F28" si="60">CEILING(R24/2,1)</f>
        <v>1</v>
      </c>
      <c r="G24" s="760">
        <v>3.0</v>
      </c>
      <c r="H24" s="759"/>
      <c r="I24" s="757">
        <f t="shared" ref="I24:J24" si="58">CEILING(U24/2,1)</f>
        <v>1</v>
      </c>
      <c r="J24" s="757">
        <f t="shared" si="58"/>
        <v>2</v>
      </c>
      <c r="K24" s="759"/>
      <c r="L24" s="758">
        <f t="shared" ref="L24:L25" si="61">CEILING(X24/2,1)</f>
        <v>1</v>
      </c>
      <c r="M24" s="760">
        <v>3.0</v>
      </c>
      <c r="N24" s="761"/>
      <c r="O24" s="762">
        <v>1.0</v>
      </c>
      <c r="P24" s="762">
        <v>3.0</v>
      </c>
      <c r="Q24" s="763"/>
      <c r="R24" s="762">
        <v>2.0</v>
      </c>
      <c r="S24" s="762">
        <v>4.0</v>
      </c>
      <c r="T24" s="764"/>
      <c r="U24" s="762">
        <v>1.0</v>
      </c>
      <c r="V24" s="762">
        <v>4.0</v>
      </c>
      <c r="W24" s="763"/>
      <c r="X24" s="762">
        <v>2.0</v>
      </c>
      <c r="Y24" s="762">
        <v>4.0</v>
      </c>
      <c r="Z24" s="765"/>
    </row>
    <row r="25">
      <c r="A25" s="738" t="s">
        <v>62</v>
      </c>
      <c r="B25" s="738" t="s">
        <v>219</v>
      </c>
      <c r="C25" s="746">
        <f t="shared" ref="C25:D25" si="59">CEILING(O25/2,1)</f>
        <v>1</v>
      </c>
      <c r="D25" s="747">
        <f t="shared" si="59"/>
        <v>2</v>
      </c>
      <c r="E25" s="748"/>
      <c r="F25" s="749">
        <f t="shared" si="60"/>
        <v>1</v>
      </c>
      <c r="G25" s="747">
        <v>3.0</v>
      </c>
      <c r="H25" s="748"/>
      <c r="I25" s="746">
        <f t="shared" ref="I25:I34" si="63">CEILING(U25/2,1)</f>
        <v>1</v>
      </c>
      <c r="J25" s="747">
        <v>3.0</v>
      </c>
      <c r="K25" s="748"/>
      <c r="L25" s="749">
        <f t="shared" si="61"/>
        <v>1</v>
      </c>
      <c r="M25" s="747">
        <v>3.0</v>
      </c>
      <c r="N25" s="748"/>
      <c r="O25" s="754">
        <v>1.0</v>
      </c>
      <c r="P25" s="741">
        <v>3.0</v>
      </c>
      <c r="Q25" s="742"/>
      <c r="R25" s="743">
        <v>2.0</v>
      </c>
      <c r="S25" s="741">
        <v>4.0</v>
      </c>
      <c r="T25" s="741"/>
      <c r="U25" s="743">
        <v>1.0</v>
      </c>
      <c r="V25" s="741">
        <v>4.0</v>
      </c>
      <c r="W25" s="742"/>
      <c r="X25" s="743">
        <v>2.0</v>
      </c>
      <c r="Y25" s="741">
        <v>4.0</v>
      </c>
      <c r="Z25" s="741"/>
    </row>
    <row r="26">
      <c r="A26" s="529"/>
      <c r="B26" s="529" t="s">
        <v>217</v>
      </c>
      <c r="C26" s="750">
        <f t="shared" ref="C26:D26" si="62">CEILING(O26/2,1)</f>
        <v>1</v>
      </c>
      <c r="D26" s="751">
        <f t="shared" si="62"/>
        <v>2</v>
      </c>
      <c r="E26" s="752"/>
      <c r="F26" s="753">
        <f t="shared" si="60"/>
        <v>1</v>
      </c>
      <c r="G26" s="752">
        <f t="shared" ref="G26:G27" si="65">CEILING(S26/2,1)</f>
        <v>3</v>
      </c>
      <c r="H26" s="752"/>
      <c r="I26" s="750">
        <f t="shared" si="63"/>
        <v>1</v>
      </c>
      <c r="J26" s="752">
        <f t="shared" ref="J26:J31" si="66">CEILING(V26/2,1)</f>
        <v>3</v>
      </c>
      <c r="K26" s="752"/>
      <c r="L26" s="753">
        <v>2.0</v>
      </c>
      <c r="M26" s="752">
        <f>CEILING(Y26/2,1)</f>
        <v>3</v>
      </c>
      <c r="N26" s="752"/>
      <c r="O26" s="745">
        <v>1.0</v>
      </c>
      <c r="P26" s="736">
        <v>4.0</v>
      </c>
      <c r="Q26" s="731"/>
      <c r="R26" s="737">
        <v>2.0</v>
      </c>
      <c r="S26" s="736">
        <v>5.0</v>
      </c>
      <c r="T26" s="736"/>
      <c r="U26" s="737">
        <v>1.0</v>
      </c>
      <c r="V26" s="736">
        <v>5.0</v>
      </c>
      <c r="W26" s="731"/>
      <c r="X26" s="737">
        <v>2.0</v>
      </c>
      <c r="Y26" s="736">
        <v>5.0</v>
      </c>
      <c r="Z26" s="736"/>
    </row>
    <row r="27">
      <c r="A27" s="738" t="s">
        <v>63</v>
      </c>
      <c r="B27" s="739" t="s">
        <v>221</v>
      </c>
      <c r="C27" s="746">
        <f t="shared" ref="C27:D27" si="64">CEILING(O27/2,1)</f>
        <v>1</v>
      </c>
      <c r="D27" s="747">
        <f t="shared" si="64"/>
        <v>3</v>
      </c>
      <c r="E27" s="748"/>
      <c r="F27" s="749">
        <f t="shared" si="60"/>
        <v>2</v>
      </c>
      <c r="G27" s="748">
        <f t="shared" si="65"/>
        <v>4</v>
      </c>
      <c r="H27" s="748"/>
      <c r="I27" s="749">
        <f t="shared" si="63"/>
        <v>1</v>
      </c>
      <c r="J27" s="748">
        <f t="shared" si="66"/>
        <v>4</v>
      </c>
      <c r="K27" s="748"/>
      <c r="L27" s="749">
        <f t="shared" ref="L27:M27" si="67">CEILING(X27/2,1)</f>
        <v>2</v>
      </c>
      <c r="M27" s="748">
        <f t="shared" si="67"/>
        <v>4</v>
      </c>
      <c r="N27" s="748"/>
      <c r="O27" s="754">
        <v>1.0</v>
      </c>
      <c r="P27" s="741">
        <v>5.0</v>
      </c>
      <c r="Q27" s="742"/>
      <c r="R27" s="743">
        <v>3.0</v>
      </c>
      <c r="S27" s="741">
        <v>7.0</v>
      </c>
      <c r="T27" s="741"/>
      <c r="U27" s="743">
        <v>2.0</v>
      </c>
      <c r="V27" s="741">
        <v>7.0</v>
      </c>
      <c r="W27" s="742"/>
      <c r="X27" s="743">
        <v>3.0</v>
      </c>
      <c r="Y27" s="741">
        <v>7.0</v>
      </c>
      <c r="Z27" s="741"/>
    </row>
    <row r="28">
      <c r="A28" s="529"/>
      <c r="B28" s="528" t="s">
        <v>219</v>
      </c>
      <c r="C28" s="750">
        <f t="shared" ref="C28:D28" si="68">CEILING(O28/2,1)</f>
        <v>1</v>
      </c>
      <c r="D28" s="751">
        <f t="shared" si="68"/>
        <v>3</v>
      </c>
      <c r="E28" s="752"/>
      <c r="F28" s="753">
        <f t="shared" si="60"/>
        <v>2</v>
      </c>
      <c r="G28" s="751">
        <v>5.0</v>
      </c>
      <c r="H28" s="752"/>
      <c r="I28" s="750">
        <f t="shared" si="63"/>
        <v>1</v>
      </c>
      <c r="J28" s="752">
        <f t="shared" si="66"/>
        <v>4</v>
      </c>
      <c r="K28" s="752"/>
      <c r="L28" s="753">
        <f>CEILING(X28/2,1)</f>
        <v>2</v>
      </c>
      <c r="M28" s="751">
        <v>5.0</v>
      </c>
      <c r="N28" s="752"/>
      <c r="O28" s="745">
        <v>1.0</v>
      </c>
      <c r="P28" s="736">
        <v>6.0</v>
      </c>
      <c r="Q28" s="731"/>
      <c r="R28" s="737">
        <v>3.0</v>
      </c>
      <c r="S28" s="736">
        <v>7.0</v>
      </c>
      <c r="T28" s="736"/>
      <c r="U28" s="737">
        <v>2.0</v>
      </c>
      <c r="V28" s="736">
        <v>7.0</v>
      </c>
      <c r="W28" s="731"/>
      <c r="X28" s="737">
        <v>3.0</v>
      </c>
      <c r="Y28" s="736">
        <v>7.0</v>
      </c>
      <c r="Z28" s="736"/>
    </row>
    <row r="29">
      <c r="A29" s="529" t="s">
        <v>371</v>
      </c>
      <c r="B29" s="528" t="s">
        <v>221</v>
      </c>
      <c r="C29" s="750">
        <f t="shared" ref="C29:D29" si="69">CEILING(O29/2,1)</f>
        <v>1</v>
      </c>
      <c r="D29" s="751">
        <f t="shared" si="69"/>
        <v>4</v>
      </c>
      <c r="E29" s="752"/>
      <c r="F29" s="753"/>
      <c r="G29" s="752">
        <f>CEILING(S29/2,1)</f>
        <v>5</v>
      </c>
      <c r="H29" s="752"/>
      <c r="I29" s="750">
        <f t="shared" si="63"/>
        <v>1</v>
      </c>
      <c r="J29" s="752">
        <f t="shared" si="66"/>
        <v>5</v>
      </c>
      <c r="K29" s="752"/>
      <c r="L29" s="753">
        <v>3.0</v>
      </c>
      <c r="M29" s="752">
        <f>CEILING(Y29/2,1)</f>
        <v>5</v>
      </c>
      <c r="N29" s="752"/>
      <c r="O29" s="745">
        <v>1.0</v>
      </c>
      <c r="P29" s="736">
        <v>7.0</v>
      </c>
      <c r="Q29" s="731"/>
      <c r="R29" s="737">
        <v>4.0</v>
      </c>
      <c r="S29" s="736">
        <v>9.0</v>
      </c>
      <c r="T29" s="736"/>
      <c r="U29" s="737">
        <v>2.0</v>
      </c>
      <c r="V29" s="736">
        <v>9.0</v>
      </c>
      <c r="W29" s="731"/>
      <c r="X29" s="737">
        <v>4.0</v>
      </c>
      <c r="Y29" s="736">
        <v>9.0</v>
      </c>
      <c r="Z29" s="736"/>
    </row>
    <row r="30">
      <c r="A30" s="529"/>
      <c r="B30" s="528" t="s">
        <v>219</v>
      </c>
      <c r="C30" s="750">
        <f t="shared" ref="C30:D30" si="70">CEILING(O30/2,1)</f>
        <v>1</v>
      </c>
      <c r="D30" s="751">
        <f t="shared" si="70"/>
        <v>4</v>
      </c>
      <c r="E30" s="752"/>
      <c r="F30" s="753"/>
      <c r="G30" s="751">
        <v>6.0</v>
      </c>
      <c r="H30" s="752"/>
      <c r="I30" s="750">
        <f t="shared" si="63"/>
        <v>1</v>
      </c>
      <c r="J30" s="752">
        <f t="shared" si="66"/>
        <v>5</v>
      </c>
      <c r="K30" s="752"/>
      <c r="L30" s="753">
        <v>3.0</v>
      </c>
      <c r="M30" s="751">
        <v>6.0</v>
      </c>
      <c r="N30" s="752"/>
      <c r="O30" s="745">
        <v>1.0</v>
      </c>
      <c r="P30" s="736">
        <v>7.0</v>
      </c>
      <c r="Q30" s="731"/>
      <c r="R30" s="737">
        <v>4.0</v>
      </c>
      <c r="S30" s="736">
        <v>9.0</v>
      </c>
      <c r="T30" s="736"/>
      <c r="U30" s="737">
        <v>2.0</v>
      </c>
      <c r="V30" s="736">
        <v>9.0</v>
      </c>
      <c r="W30" s="731"/>
      <c r="X30" s="737">
        <v>4.0</v>
      </c>
      <c r="Y30" s="736">
        <v>9.0</v>
      </c>
      <c r="Z30" s="736"/>
    </row>
    <row r="31">
      <c r="A31" s="738" t="s">
        <v>65</v>
      </c>
      <c r="B31" s="738" t="s">
        <v>221</v>
      </c>
      <c r="C31" s="746">
        <f t="shared" ref="C31:D31" si="71">CEILING(O31/2,1)</f>
        <v>1</v>
      </c>
      <c r="D31" s="747">
        <f t="shared" si="71"/>
        <v>4</v>
      </c>
      <c r="E31" s="748"/>
      <c r="F31" s="749"/>
      <c r="G31" s="748">
        <f>CEILING(S31/2,1)</f>
        <v>5</v>
      </c>
      <c r="H31" s="748"/>
      <c r="I31" s="746">
        <f t="shared" si="63"/>
        <v>1</v>
      </c>
      <c r="J31" s="748">
        <f t="shared" si="66"/>
        <v>5</v>
      </c>
      <c r="K31" s="748"/>
      <c r="L31" s="749">
        <v>3.0</v>
      </c>
      <c r="M31" s="748">
        <f>CEILING(Y31/2,1)</f>
        <v>5</v>
      </c>
      <c r="N31" s="748"/>
      <c r="O31" s="754">
        <v>1.0</v>
      </c>
      <c r="P31" s="741">
        <v>7.0</v>
      </c>
      <c r="Q31" s="742"/>
      <c r="R31" s="743">
        <v>4.0</v>
      </c>
      <c r="S31" s="741">
        <v>9.0</v>
      </c>
      <c r="T31" s="741"/>
      <c r="U31" s="743">
        <v>2.0</v>
      </c>
      <c r="V31" s="741">
        <v>9.0</v>
      </c>
      <c r="W31" s="742"/>
      <c r="X31" s="743">
        <v>4.0</v>
      </c>
      <c r="Y31" s="741">
        <v>9.0</v>
      </c>
      <c r="Z31" s="741"/>
    </row>
    <row r="32">
      <c r="A32" s="529"/>
      <c r="B32" s="529" t="s">
        <v>219</v>
      </c>
      <c r="C32" s="750">
        <f t="shared" ref="C32:D32" si="72">CEILING(O32/2,1)</f>
        <v>1</v>
      </c>
      <c r="D32" s="751">
        <f t="shared" si="72"/>
        <v>4</v>
      </c>
      <c r="E32" s="752"/>
      <c r="F32" s="753"/>
      <c r="G32" s="751">
        <v>6.0</v>
      </c>
      <c r="H32" s="752"/>
      <c r="I32" s="750">
        <f t="shared" si="63"/>
        <v>1</v>
      </c>
      <c r="J32" s="751">
        <v>6.0</v>
      </c>
      <c r="K32" s="752"/>
      <c r="L32" s="753">
        <v>3.0</v>
      </c>
      <c r="M32" s="751">
        <v>6.0</v>
      </c>
      <c r="N32" s="752"/>
      <c r="O32" s="745">
        <v>1.0</v>
      </c>
      <c r="P32" s="736">
        <v>7.0</v>
      </c>
      <c r="Q32" s="731"/>
      <c r="R32" s="737">
        <v>4.0</v>
      </c>
      <c r="S32" s="736">
        <v>10.0</v>
      </c>
      <c r="T32" s="736"/>
      <c r="U32" s="737">
        <v>2.0</v>
      </c>
      <c r="V32" s="736">
        <v>9.0</v>
      </c>
      <c r="W32" s="731"/>
      <c r="X32" s="737">
        <v>4.0</v>
      </c>
      <c r="Y32" s="736">
        <v>10.0</v>
      </c>
      <c r="Z32" s="736"/>
    </row>
    <row r="33">
      <c r="A33" s="738" t="s">
        <v>68</v>
      </c>
      <c r="B33" s="738" t="s">
        <v>221</v>
      </c>
      <c r="C33" s="746">
        <f t="shared" ref="C33:D33" si="73">CEILING(O33/2,1)</f>
        <v>1</v>
      </c>
      <c r="D33" s="747">
        <f t="shared" si="73"/>
        <v>4</v>
      </c>
      <c r="E33" s="748"/>
      <c r="F33" s="749"/>
      <c r="G33" s="748">
        <f>CEILING(S33/2,1)</f>
        <v>5</v>
      </c>
      <c r="H33" s="748"/>
      <c r="I33" s="746">
        <f t="shared" si="63"/>
        <v>1</v>
      </c>
      <c r="J33" s="748">
        <f>CEILING(V33/2,1)</f>
        <v>5</v>
      </c>
      <c r="K33" s="748"/>
      <c r="L33" s="749">
        <v>3.0</v>
      </c>
      <c r="M33" s="748">
        <f>CEILING(Y33/2,1)</f>
        <v>5</v>
      </c>
      <c r="N33" s="748"/>
      <c r="O33" s="754">
        <v>1.0</v>
      </c>
      <c r="P33" s="741">
        <v>7.0</v>
      </c>
      <c r="Q33" s="742"/>
      <c r="R33" s="743">
        <v>4.0</v>
      </c>
      <c r="S33" s="741">
        <v>9.0</v>
      </c>
      <c r="T33" s="741"/>
      <c r="U33" s="743">
        <v>2.0</v>
      </c>
      <c r="V33" s="741">
        <v>9.0</v>
      </c>
      <c r="W33" s="742"/>
      <c r="X33" s="743">
        <v>4.0</v>
      </c>
      <c r="Y33" s="741">
        <v>9.0</v>
      </c>
      <c r="Z33" s="741"/>
    </row>
    <row r="34">
      <c r="A34" s="529"/>
      <c r="B34" s="529" t="s">
        <v>219</v>
      </c>
      <c r="C34" s="750">
        <f t="shared" ref="C34:D34" si="74">CEILING(O34/2,1)</f>
        <v>1</v>
      </c>
      <c r="D34" s="751">
        <f t="shared" si="74"/>
        <v>4</v>
      </c>
      <c r="E34" s="752"/>
      <c r="F34" s="753"/>
      <c r="G34" s="751">
        <v>6.0</v>
      </c>
      <c r="H34" s="752"/>
      <c r="I34" s="750">
        <f t="shared" si="63"/>
        <v>1</v>
      </c>
      <c r="J34" s="751">
        <v>6.0</v>
      </c>
      <c r="K34" s="752"/>
      <c r="L34" s="753">
        <v>3.0</v>
      </c>
      <c r="M34" s="751">
        <v>6.0</v>
      </c>
      <c r="N34" s="752"/>
      <c r="O34" s="745">
        <v>1.0</v>
      </c>
      <c r="P34" s="736">
        <v>7.0</v>
      </c>
      <c r="Q34" s="731"/>
      <c r="R34" s="737">
        <v>4.0</v>
      </c>
      <c r="S34" s="736">
        <v>10.0</v>
      </c>
      <c r="T34" s="736"/>
      <c r="U34" s="737">
        <v>2.0</v>
      </c>
      <c r="V34" s="736">
        <v>9.0</v>
      </c>
      <c r="W34" s="731"/>
      <c r="X34" s="737">
        <v>4.0</v>
      </c>
      <c r="Y34" s="736">
        <v>10.0</v>
      </c>
      <c r="Z34" s="736"/>
    </row>
    <row r="35">
      <c r="A35" s="738"/>
      <c r="B35" s="738" t="s">
        <v>221</v>
      </c>
      <c r="C35" s="740"/>
      <c r="D35" s="741"/>
      <c r="E35" s="742"/>
      <c r="F35" s="743"/>
      <c r="G35" s="742"/>
      <c r="H35" s="742"/>
      <c r="I35" s="740"/>
      <c r="J35" s="742"/>
      <c r="K35" s="742"/>
      <c r="L35" s="743"/>
      <c r="M35" s="742"/>
      <c r="N35" s="742"/>
      <c r="O35" s="754">
        <v>1.0</v>
      </c>
      <c r="P35" s="741">
        <v>4.0</v>
      </c>
      <c r="Q35" s="742"/>
      <c r="R35" s="743">
        <v>2.0</v>
      </c>
      <c r="S35" s="741">
        <v>5.0</v>
      </c>
      <c r="T35" s="741"/>
      <c r="U35" s="743">
        <v>1.0</v>
      </c>
      <c r="V35" s="741">
        <v>5.0</v>
      </c>
      <c r="W35" s="742"/>
      <c r="X35" s="743">
        <v>2.0</v>
      </c>
      <c r="Y35" s="741">
        <v>5.0</v>
      </c>
      <c r="Z35" s="741"/>
    </row>
    <row r="36">
      <c r="A36" s="529">
        <v>416.0</v>
      </c>
      <c r="B36" s="529" t="s">
        <v>219</v>
      </c>
      <c r="C36" s="734"/>
      <c r="D36" s="736"/>
      <c r="E36" s="731"/>
      <c r="F36" s="737"/>
      <c r="G36" s="731"/>
      <c r="H36" s="731"/>
      <c r="I36" s="734"/>
      <c r="J36" s="731"/>
      <c r="K36" s="731"/>
      <c r="L36" s="737"/>
      <c r="M36" s="731"/>
      <c r="N36" s="731"/>
      <c r="O36" s="745">
        <v>1.0</v>
      </c>
      <c r="P36" s="736">
        <v>4.0</v>
      </c>
      <c r="Q36" s="731"/>
      <c r="R36" s="737">
        <v>2.0</v>
      </c>
      <c r="S36" s="736">
        <v>5.0</v>
      </c>
      <c r="T36" s="736"/>
      <c r="U36" s="737">
        <v>1.0</v>
      </c>
      <c r="V36" s="736">
        <v>5.0</v>
      </c>
      <c r="W36" s="731"/>
      <c r="X36" s="737">
        <v>3.0</v>
      </c>
      <c r="Y36" s="736">
        <v>5.0</v>
      </c>
      <c r="Z36" s="736"/>
    </row>
    <row r="37">
      <c r="A37" s="529"/>
      <c r="B37" s="529" t="s">
        <v>217</v>
      </c>
      <c r="C37" s="734"/>
      <c r="D37" s="736"/>
      <c r="E37" s="731"/>
      <c r="F37" s="737"/>
      <c r="G37" s="731"/>
      <c r="H37" s="731"/>
      <c r="I37" s="734"/>
      <c r="J37" s="731"/>
      <c r="K37" s="731"/>
      <c r="L37" s="737"/>
      <c r="M37" s="731"/>
      <c r="N37" s="731"/>
      <c r="O37" s="745">
        <v>1.0</v>
      </c>
      <c r="P37" s="736">
        <v>4.0</v>
      </c>
      <c r="Q37" s="731"/>
      <c r="R37" s="737">
        <v>3.0</v>
      </c>
      <c r="S37" s="736">
        <v>6.0</v>
      </c>
      <c r="T37" s="736"/>
      <c r="U37" s="737">
        <v>1.0</v>
      </c>
      <c r="V37" s="736">
        <v>6.0</v>
      </c>
      <c r="W37" s="731"/>
      <c r="X37" s="737">
        <v>3.0</v>
      </c>
      <c r="Y37" s="736">
        <v>6.0</v>
      </c>
      <c r="Z37" s="736"/>
    </row>
    <row r="38">
      <c r="A38" s="529"/>
      <c r="B38" s="529" t="s">
        <v>221</v>
      </c>
      <c r="C38" s="734"/>
      <c r="D38" s="736"/>
      <c r="E38" s="731"/>
      <c r="F38" s="737"/>
      <c r="G38" s="731"/>
      <c r="H38" s="731"/>
      <c r="I38" s="734"/>
      <c r="J38" s="731"/>
      <c r="K38" s="731"/>
      <c r="L38" s="737"/>
      <c r="M38" s="731"/>
      <c r="N38" s="731"/>
      <c r="O38" s="745">
        <v>1.0</v>
      </c>
      <c r="P38" s="736">
        <v>5.0</v>
      </c>
      <c r="Q38" s="731"/>
      <c r="R38" s="737">
        <v>3.0</v>
      </c>
      <c r="S38" s="736">
        <v>6.0</v>
      </c>
      <c r="T38" s="736"/>
      <c r="U38" s="737">
        <v>1.0</v>
      </c>
      <c r="V38" s="736">
        <v>6.0</v>
      </c>
      <c r="W38" s="731"/>
      <c r="X38" s="737">
        <v>3.0</v>
      </c>
      <c r="Y38" s="736">
        <v>6.0</v>
      </c>
      <c r="Z38" s="736"/>
    </row>
    <row r="39">
      <c r="A39" s="529" t="s">
        <v>372</v>
      </c>
      <c r="B39" s="529" t="s">
        <v>219</v>
      </c>
      <c r="C39" s="734"/>
      <c r="D39" s="736"/>
      <c r="E39" s="731"/>
      <c r="F39" s="737"/>
      <c r="G39" s="731"/>
      <c r="H39" s="731"/>
      <c r="I39" s="734"/>
      <c r="J39" s="731"/>
      <c r="K39" s="731"/>
      <c r="L39" s="737"/>
      <c r="M39" s="731"/>
      <c r="N39" s="731"/>
      <c r="O39" s="745">
        <v>1.0</v>
      </c>
      <c r="P39" s="736">
        <v>5.0</v>
      </c>
      <c r="Q39" s="731"/>
      <c r="R39" s="737">
        <v>3.0</v>
      </c>
      <c r="S39" s="736">
        <v>6.0</v>
      </c>
      <c r="T39" s="736"/>
      <c r="U39" s="737">
        <v>1.0</v>
      </c>
      <c r="V39" s="736">
        <v>6.0</v>
      </c>
      <c r="W39" s="731"/>
      <c r="X39" s="737">
        <v>3.0</v>
      </c>
      <c r="Y39" s="736">
        <v>6.0</v>
      </c>
      <c r="Z39" s="736"/>
    </row>
    <row r="40">
      <c r="A40" s="529"/>
      <c r="B40" s="529" t="s">
        <v>217</v>
      </c>
      <c r="C40" s="734"/>
      <c r="D40" s="736"/>
      <c r="E40" s="731"/>
      <c r="F40" s="737"/>
      <c r="G40" s="731"/>
      <c r="H40" s="731"/>
      <c r="I40" s="734"/>
      <c r="J40" s="731"/>
      <c r="K40" s="731"/>
      <c r="L40" s="737"/>
      <c r="M40" s="731"/>
      <c r="N40" s="731"/>
      <c r="O40" s="745">
        <v>1.0</v>
      </c>
      <c r="P40" s="736">
        <v>5.0</v>
      </c>
      <c r="Q40" s="731"/>
      <c r="R40" s="737">
        <v>3.0</v>
      </c>
      <c r="S40" s="736">
        <v>7.0</v>
      </c>
      <c r="T40" s="736"/>
      <c r="U40" s="737">
        <v>2.0</v>
      </c>
      <c r="V40" s="736">
        <v>7.0</v>
      </c>
      <c r="W40" s="731"/>
      <c r="X40" s="737">
        <v>3.0</v>
      </c>
      <c r="Y40" s="736">
        <v>7.0</v>
      </c>
      <c r="Z40" s="736"/>
    </row>
    <row r="41">
      <c r="A41" s="738"/>
      <c r="B41" s="739" t="s">
        <v>221</v>
      </c>
      <c r="C41" s="740">
        <v>1.0</v>
      </c>
      <c r="D41" s="741">
        <v>3.0</v>
      </c>
      <c r="E41" s="742"/>
      <c r="F41" s="743">
        <v>2.0</v>
      </c>
      <c r="G41" s="741">
        <v>4.0</v>
      </c>
      <c r="H41" s="742"/>
      <c r="I41" s="740">
        <v>1.0</v>
      </c>
      <c r="J41" s="742">
        <v>4.0</v>
      </c>
      <c r="K41" s="742"/>
      <c r="L41" s="743">
        <v>2.0</v>
      </c>
      <c r="M41" s="742">
        <v>4.0</v>
      </c>
      <c r="N41" s="742"/>
      <c r="O41" s="744">
        <v>1.0</v>
      </c>
      <c r="P41" s="742">
        <v>3.0</v>
      </c>
      <c r="Q41" s="742"/>
      <c r="R41" s="743">
        <v>2.0</v>
      </c>
      <c r="S41" s="742">
        <v>4.0</v>
      </c>
      <c r="T41" s="741"/>
      <c r="U41" s="740">
        <v>1.0</v>
      </c>
      <c r="V41" s="742">
        <v>4.0</v>
      </c>
      <c r="W41" s="742"/>
      <c r="X41" s="743">
        <v>2.0</v>
      </c>
      <c r="Y41" s="742">
        <v>4.0</v>
      </c>
      <c r="Z41" s="741"/>
    </row>
    <row r="42">
      <c r="A42" s="529" t="s">
        <v>165</v>
      </c>
      <c r="B42" s="528" t="s">
        <v>219</v>
      </c>
      <c r="C42" s="734">
        <v>1.0</v>
      </c>
      <c r="D42" s="736">
        <v>4.0</v>
      </c>
      <c r="E42" s="731"/>
      <c r="F42" s="737">
        <v>2.0</v>
      </c>
      <c r="G42" s="736">
        <v>5.0</v>
      </c>
      <c r="H42" s="731"/>
      <c r="I42" s="734">
        <v>1.0</v>
      </c>
      <c r="J42" s="731">
        <v>5.0</v>
      </c>
      <c r="K42" s="731"/>
      <c r="L42" s="737">
        <v>2.0</v>
      </c>
      <c r="M42" s="731">
        <v>5.0</v>
      </c>
      <c r="N42" s="731"/>
      <c r="O42" s="730">
        <v>1.0</v>
      </c>
      <c r="P42" s="731">
        <v>3.0</v>
      </c>
      <c r="Q42" s="731"/>
      <c r="R42" s="737">
        <v>2.0</v>
      </c>
      <c r="S42" s="736">
        <v>4.0</v>
      </c>
      <c r="T42" s="736"/>
      <c r="U42" s="734">
        <v>1.0</v>
      </c>
      <c r="V42" s="731">
        <v>4.0</v>
      </c>
      <c r="W42" s="731"/>
      <c r="X42" s="737">
        <v>2.0</v>
      </c>
      <c r="Y42" s="731">
        <v>4.0</v>
      </c>
      <c r="Z42" s="736"/>
    </row>
    <row r="43">
      <c r="A43" s="529"/>
      <c r="B43" s="529" t="s">
        <v>217</v>
      </c>
      <c r="C43" s="734">
        <v>1.0</v>
      </c>
      <c r="D43" s="736">
        <v>4.0</v>
      </c>
      <c r="E43" s="731"/>
      <c r="F43" s="737">
        <v>2.0</v>
      </c>
      <c r="G43" s="736">
        <v>5.0</v>
      </c>
      <c r="H43" s="731"/>
      <c r="I43" s="734">
        <v>1.0</v>
      </c>
      <c r="J43" s="731">
        <v>5.0</v>
      </c>
      <c r="K43" s="731"/>
      <c r="L43" s="737">
        <v>2.0</v>
      </c>
      <c r="M43" s="731">
        <v>5.0</v>
      </c>
      <c r="N43" s="731"/>
      <c r="O43" s="730">
        <v>1.0</v>
      </c>
      <c r="P43" s="731">
        <v>4.0</v>
      </c>
      <c r="Q43" s="731"/>
      <c r="R43" s="737">
        <v>2.0</v>
      </c>
      <c r="S43" s="736">
        <v>5.0</v>
      </c>
      <c r="T43" s="736"/>
      <c r="U43" s="734">
        <v>1.0</v>
      </c>
      <c r="V43" s="731">
        <v>5.0</v>
      </c>
      <c r="W43" s="731"/>
      <c r="X43" s="737">
        <v>2.0</v>
      </c>
      <c r="Y43" s="731">
        <v>5.0</v>
      </c>
      <c r="Z43" s="736"/>
    </row>
    <row r="44">
      <c r="A44" s="529"/>
      <c r="B44" s="529" t="s">
        <v>221</v>
      </c>
      <c r="C44" s="734"/>
      <c r="D44" s="736"/>
      <c r="E44" s="731"/>
      <c r="F44" s="737"/>
      <c r="G44" s="731"/>
      <c r="H44" s="731"/>
      <c r="I44" s="734"/>
      <c r="J44" s="731"/>
      <c r="K44" s="731"/>
      <c r="L44" s="737"/>
      <c r="M44" s="731"/>
      <c r="N44" s="731"/>
      <c r="O44" s="745">
        <v>1.0</v>
      </c>
      <c r="P44" s="736">
        <v>4.0</v>
      </c>
      <c r="Q44" s="731"/>
      <c r="R44" s="737">
        <v>2.0</v>
      </c>
      <c r="S44" s="736">
        <v>5.0</v>
      </c>
      <c r="T44" s="736"/>
      <c r="U44" s="737">
        <v>1.0</v>
      </c>
      <c r="V44" s="736">
        <v>5.0</v>
      </c>
      <c r="W44" s="731"/>
      <c r="X44" s="737">
        <v>2.0</v>
      </c>
      <c r="Y44" s="736">
        <v>5.0</v>
      </c>
      <c r="Z44" s="736"/>
    </row>
    <row r="45">
      <c r="A45" s="529" t="s">
        <v>373</v>
      </c>
      <c r="B45" s="529" t="s">
        <v>219</v>
      </c>
      <c r="C45" s="734"/>
      <c r="D45" s="736"/>
      <c r="E45" s="731"/>
      <c r="F45" s="737"/>
      <c r="G45" s="731"/>
      <c r="H45" s="731"/>
      <c r="I45" s="734"/>
      <c r="J45" s="731"/>
      <c r="K45" s="731"/>
      <c r="L45" s="737"/>
      <c r="M45" s="731"/>
      <c r="N45" s="731"/>
      <c r="O45" s="745">
        <v>1.0</v>
      </c>
      <c r="P45" s="736">
        <v>4.0</v>
      </c>
      <c r="Q45" s="731"/>
      <c r="R45" s="737">
        <v>2.0</v>
      </c>
      <c r="S45" s="736">
        <v>5.0</v>
      </c>
      <c r="T45" s="736"/>
      <c r="U45" s="737">
        <v>1.0</v>
      </c>
      <c r="V45" s="736">
        <v>5.0</v>
      </c>
      <c r="W45" s="731"/>
      <c r="X45" s="737">
        <v>3.0</v>
      </c>
      <c r="Y45" s="736">
        <v>5.0</v>
      </c>
      <c r="Z45" s="736"/>
    </row>
    <row r="46">
      <c r="A46" s="529"/>
      <c r="B46" s="529" t="s">
        <v>217</v>
      </c>
      <c r="C46" s="734"/>
      <c r="D46" s="736"/>
      <c r="E46" s="731"/>
      <c r="F46" s="737"/>
      <c r="G46" s="731"/>
      <c r="H46" s="731"/>
      <c r="I46" s="734"/>
      <c r="J46" s="731"/>
      <c r="K46" s="731"/>
      <c r="L46" s="737"/>
      <c r="M46" s="731"/>
      <c r="N46" s="731"/>
      <c r="O46" s="745">
        <v>1.0</v>
      </c>
      <c r="P46" s="736">
        <v>5.0</v>
      </c>
      <c r="Q46" s="731"/>
      <c r="R46" s="737">
        <v>3.0</v>
      </c>
      <c r="S46" s="736">
        <v>6.0</v>
      </c>
      <c r="T46" s="736"/>
      <c r="U46" s="737">
        <v>1.0</v>
      </c>
      <c r="V46" s="736">
        <v>6.0</v>
      </c>
      <c r="W46" s="731"/>
      <c r="X46" s="737">
        <v>3.0</v>
      </c>
      <c r="Y46" s="736">
        <v>6.0</v>
      </c>
      <c r="Z46" s="736"/>
    </row>
    <row r="47">
      <c r="A47" s="529" t="s">
        <v>174</v>
      </c>
      <c r="B47" s="529" t="s">
        <v>21</v>
      </c>
      <c r="C47" s="734"/>
      <c r="D47" s="736"/>
      <c r="E47" s="731"/>
      <c r="F47" s="737"/>
      <c r="G47" s="731"/>
      <c r="H47" s="731"/>
      <c r="I47" s="737">
        <v>1.0</v>
      </c>
      <c r="J47" s="736">
        <v>5.0</v>
      </c>
      <c r="K47" s="731"/>
      <c r="L47" s="737">
        <v>3.0</v>
      </c>
      <c r="M47" s="736">
        <v>5.0</v>
      </c>
      <c r="N47" s="731"/>
      <c r="O47" s="745">
        <v>1.0</v>
      </c>
      <c r="P47" s="736">
        <v>4.0</v>
      </c>
      <c r="Q47" s="731"/>
      <c r="R47" s="737">
        <v>2.0</v>
      </c>
      <c r="S47" s="736">
        <v>5.0</v>
      </c>
      <c r="T47" s="736"/>
      <c r="U47" s="737">
        <v>1.0</v>
      </c>
      <c r="V47" s="736">
        <v>5.0</v>
      </c>
      <c r="W47" s="731"/>
      <c r="X47" s="737">
        <v>2.0</v>
      </c>
      <c r="Y47" s="736">
        <v>5.0</v>
      </c>
      <c r="Z47" s="736"/>
    </row>
    <row r="48">
      <c r="A48" s="529"/>
      <c r="B48" s="529" t="s">
        <v>22</v>
      </c>
      <c r="C48" s="734"/>
      <c r="D48" s="736"/>
      <c r="E48" s="731"/>
      <c r="F48" s="737"/>
      <c r="G48" s="731"/>
      <c r="H48" s="731"/>
      <c r="I48" s="737">
        <v>1.0</v>
      </c>
      <c r="J48" s="736">
        <v>6.0</v>
      </c>
      <c r="K48" s="731"/>
      <c r="L48" s="737">
        <v>3.0</v>
      </c>
      <c r="M48" s="736">
        <v>6.0</v>
      </c>
      <c r="N48" s="731"/>
      <c r="O48" s="745">
        <v>1.0</v>
      </c>
      <c r="P48" s="736">
        <v>5.0</v>
      </c>
      <c r="Q48" s="731"/>
      <c r="R48" s="737">
        <v>3.0</v>
      </c>
      <c r="S48" s="736">
        <v>6.0</v>
      </c>
      <c r="T48" s="736"/>
      <c r="U48" s="737">
        <v>1.0</v>
      </c>
      <c r="V48" s="736">
        <v>6.0</v>
      </c>
      <c r="W48" s="731"/>
      <c r="X48" s="737">
        <v>3.0</v>
      </c>
      <c r="Y48" s="736">
        <v>6.0</v>
      </c>
      <c r="Z48" s="736"/>
    </row>
    <row r="49">
      <c r="A49" s="529" t="s">
        <v>164</v>
      </c>
      <c r="B49" s="529" t="s">
        <v>221</v>
      </c>
      <c r="C49" s="734"/>
      <c r="D49" s="736"/>
      <c r="E49" s="731"/>
      <c r="F49" s="737"/>
      <c r="G49" s="731"/>
      <c r="H49" s="731"/>
      <c r="I49" s="734"/>
      <c r="J49" s="731"/>
      <c r="K49" s="731"/>
      <c r="L49" s="737"/>
      <c r="M49" s="731"/>
      <c r="N49" s="731"/>
      <c r="O49" s="745">
        <v>1.0</v>
      </c>
      <c r="P49" s="736">
        <v>4.0</v>
      </c>
      <c r="Q49" s="731"/>
      <c r="R49" s="737">
        <v>2.0</v>
      </c>
      <c r="S49" s="736">
        <v>5.0</v>
      </c>
      <c r="T49" s="736"/>
      <c r="U49" s="737">
        <v>1.0</v>
      </c>
      <c r="V49" s="736">
        <v>5.0</v>
      </c>
      <c r="W49" s="731"/>
      <c r="X49" s="737">
        <v>3.0</v>
      </c>
      <c r="Y49" s="736">
        <v>5.0</v>
      </c>
      <c r="Z49" s="736"/>
    </row>
    <row r="50">
      <c r="A50" s="529"/>
      <c r="B50" s="529" t="s">
        <v>219</v>
      </c>
      <c r="C50" s="734"/>
      <c r="D50" s="736"/>
      <c r="E50" s="731"/>
      <c r="F50" s="737"/>
      <c r="G50" s="731"/>
      <c r="H50" s="731"/>
      <c r="I50" s="734"/>
      <c r="J50" s="731"/>
      <c r="K50" s="731"/>
      <c r="L50" s="737"/>
      <c r="M50" s="731"/>
      <c r="N50" s="731"/>
      <c r="O50" s="745">
        <v>1.0</v>
      </c>
      <c r="P50" s="736">
        <v>4.0</v>
      </c>
      <c r="Q50" s="731"/>
      <c r="R50" s="737">
        <v>3.0</v>
      </c>
      <c r="S50" s="736">
        <v>6.0</v>
      </c>
      <c r="T50" s="736"/>
      <c r="U50" s="737">
        <v>1.0</v>
      </c>
      <c r="V50" s="736">
        <v>6.0</v>
      </c>
      <c r="W50" s="731"/>
      <c r="X50" s="737">
        <v>3.0</v>
      </c>
      <c r="Y50" s="736">
        <v>6.0</v>
      </c>
      <c r="Z50" s="736"/>
    </row>
    <row r="51">
      <c r="A51" s="529" t="s">
        <v>374</v>
      </c>
      <c r="B51" s="529" t="s">
        <v>221</v>
      </c>
      <c r="C51" s="734"/>
      <c r="D51" s="736"/>
      <c r="E51" s="731"/>
      <c r="F51" s="737"/>
      <c r="G51" s="731"/>
      <c r="H51" s="731"/>
      <c r="I51" s="734"/>
      <c r="J51" s="731"/>
      <c r="K51" s="731"/>
      <c r="L51" s="737"/>
      <c r="M51" s="731"/>
      <c r="N51" s="731"/>
      <c r="O51" s="745">
        <v>1.0</v>
      </c>
      <c r="P51" s="736">
        <v>5.0</v>
      </c>
      <c r="Q51" s="731"/>
      <c r="R51" s="737">
        <v>3.0</v>
      </c>
      <c r="S51" s="736">
        <v>6.0</v>
      </c>
      <c r="T51" s="736"/>
      <c r="U51" s="737">
        <v>1.0</v>
      </c>
      <c r="V51" s="736">
        <v>6.0</v>
      </c>
      <c r="W51" s="731"/>
      <c r="X51" s="737">
        <v>3.0</v>
      </c>
      <c r="Y51" s="736">
        <v>6.0</v>
      </c>
      <c r="Z51" s="736"/>
    </row>
    <row r="52">
      <c r="A52" s="528"/>
      <c r="B52" s="529" t="s">
        <v>219</v>
      </c>
      <c r="C52" s="737"/>
      <c r="D52" s="736"/>
      <c r="E52" s="736"/>
      <c r="F52" s="737"/>
      <c r="G52" s="736"/>
      <c r="H52" s="736"/>
      <c r="I52" s="737"/>
      <c r="J52" s="736"/>
      <c r="K52" s="736"/>
      <c r="L52" s="737"/>
      <c r="M52" s="736"/>
      <c r="N52" s="736"/>
      <c r="O52" s="745">
        <v>1.0</v>
      </c>
      <c r="P52" s="736">
        <v>5.0</v>
      </c>
      <c r="Q52" s="736"/>
      <c r="R52" s="737">
        <v>3.0</v>
      </c>
      <c r="S52" s="736">
        <v>7.0</v>
      </c>
      <c r="T52" s="736"/>
      <c r="U52" s="737">
        <v>2.0</v>
      </c>
      <c r="V52" s="736">
        <v>7.0</v>
      </c>
      <c r="W52" s="736"/>
      <c r="X52" s="737">
        <v>3.0</v>
      </c>
      <c r="Y52" s="736">
        <v>7.0</v>
      </c>
      <c r="Z52" s="736"/>
    </row>
    <row r="53">
      <c r="A53" s="529" t="s">
        <v>171</v>
      </c>
      <c r="B53" s="529" t="s">
        <v>21</v>
      </c>
      <c r="C53" s="737"/>
      <c r="D53" s="736"/>
      <c r="E53" s="731"/>
      <c r="F53" s="737"/>
      <c r="G53" s="736"/>
      <c r="H53" s="731"/>
      <c r="I53" s="734"/>
      <c r="J53" s="731"/>
      <c r="K53" s="731"/>
      <c r="L53" s="734"/>
      <c r="M53" s="731"/>
      <c r="N53" s="731"/>
      <c r="O53" s="745">
        <v>1.0</v>
      </c>
      <c r="P53" s="736">
        <v>4.0</v>
      </c>
      <c r="Q53" s="731"/>
      <c r="R53" s="737">
        <v>3.0</v>
      </c>
      <c r="S53" s="736">
        <v>6.0</v>
      </c>
      <c r="T53" s="731"/>
      <c r="U53" s="737">
        <v>1.0</v>
      </c>
      <c r="V53" s="736">
        <v>6.0</v>
      </c>
      <c r="W53" s="731"/>
      <c r="X53" s="737">
        <v>3.0</v>
      </c>
      <c r="Y53" s="736">
        <v>6.0</v>
      </c>
      <c r="Z53" s="736"/>
    </row>
    <row r="54">
      <c r="A54" s="528"/>
      <c r="B54" s="529" t="s">
        <v>22</v>
      </c>
      <c r="C54" s="737"/>
      <c r="D54" s="736"/>
      <c r="E54" s="731"/>
      <c r="F54" s="737"/>
      <c r="G54" s="736"/>
      <c r="H54" s="731"/>
      <c r="I54" s="734"/>
      <c r="J54" s="731"/>
      <c r="K54" s="731"/>
      <c r="L54" s="734"/>
      <c r="M54" s="731"/>
      <c r="N54" s="731"/>
      <c r="O54" s="745">
        <v>1.0</v>
      </c>
      <c r="P54" s="736">
        <v>5.0</v>
      </c>
      <c r="Q54" s="731"/>
      <c r="R54" s="737">
        <v>3.0</v>
      </c>
      <c r="S54" s="736">
        <v>7.0</v>
      </c>
      <c r="T54" s="731"/>
      <c r="U54" s="737">
        <v>2.0</v>
      </c>
      <c r="V54" s="736">
        <v>7.0</v>
      </c>
      <c r="W54" s="731"/>
      <c r="X54" s="737">
        <v>3.0</v>
      </c>
      <c r="Y54" s="736">
        <v>7.0</v>
      </c>
      <c r="Z54" s="736"/>
    </row>
    <row r="55">
      <c r="A55" s="528"/>
      <c r="B55" s="529" t="s">
        <v>221</v>
      </c>
      <c r="C55" s="737"/>
      <c r="D55" s="736"/>
      <c r="E55" s="731"/>
      <c r="F55" s="737"/>
      <c r="G55" s="736"/>
      <c r="H55" s="731"/>
      <c r="I55" s="734"/>
      <c r="J55" s="731"/>
      <c r="K55" s="731"/>
      <c r="L55" s="734"/>
      <c r="M55" s="731"/>
      <c r="N55" s="731"/>
      <c r="O55" s="745">
        <v>1.0</v>
      </c>
      <c r="P55" s="736">
        <v>4.0</v>
      </c>
      <c r="Q55" s="731"/>
      <c r="R55" s="737">
        <v>2.0</v>
      </c>
      <c r="S55" s="736">
        <v>5.0</v>
      </c>
      <c r="T55" s="731"/>
      <c r="U55" s="737">
        <v>1.0</v>
      </c>
      <c r="V55" s="736">
        <v>5.0</v>
      </c>
      <c r="W55" s="731"/>
      <c r="X55" s="737">
        <v>3.0</v>
      </c>
      <c r="Y55" s="736">
        <v>5.0</v>
      </c>
      <c r="Z55" s="736"/>
    </row>
    <row r="56">
      <c r="A56" s="529" t="s">
        <v>166</v>
      </c>
      <c r="B56" s="529" t="s">
        <v>219</v>
      </c>
      <c r="C56" s="737"/>
      <c r="D56" s="736"/>
      <c r="E56" s="731"/>
      <c r="F56" s="737"/>
      <c r="G56" s="736"/>
      <c r="H56" s="731"/>
      <c r="I56" s="734"/>
      <c r="J56" s="731"/>
      <c r="K56" s="731"/>
      <c r="L56" s="734"/>
      <c r="M56" s="731"/>
      <c r="N56" s="731"/>
      <c r="O56" s="745">
        <v>1.0</v>
      </c>
      <c r="P56" s="736">
        <v>5.0</v>
      </c>
      <c r="Q56" s="731"/>
      <c r="R56" s="737">
        <v>3.0</v>
      </c>
      <c r="S56" s="736">
        <v>6.0</v>
      </c>
      <c r="T56" s="731"/>
      <c r="U56" s="737">
        <v>1.0</v>
      </c>
      <c r="V56" s="736">
        <v>6.0</v>
      </c>
      <c r="W56" s="731"/>
      <c r="X56" s="737">
        <v>3.0</v>
      </c>
      <c r="Y56" s="736">
        <v>6.0</v>
      </c>
      <c r="Z56" s="736"/>
    </row>
    <row r="57">
      <c r="A57" s="528"/>
      <c r="B57" s="529" t="s">
        <v>217</v>
      </c>
      <c r="C57" s="737"/>
      <c r="D57" s="736"/>
      <c r="E57" s="731"/>
      <c r="F57" s="737"/>
      <c r="G57" s="736"/>
      <c r="H57" s="731"/>
      <c r="I57" s="734"/>
      <c r="J57" s="731"/>
      <c r="K57" s="731"/>
      <c r="L57" s="734"/>
      <c r="M57" s="731"/>
      <c r="N57" s="731"/>
      <c r="O57" s="745">
        <v>1.0</v>
      </c>
      <c r="P57" s="736">
        <v>5.0</v>
      </c>
      <c r="Q57" s="731"/>
      <c r="R57" s="737">
        <v>3.0</v>
      </c>
      <c r="S57" s="736">
        <v>6.0</v>
      </c>
      <c r="T57" s="731"/>
      <c r="U57" s="737">
        <v>1.0</v>
      </c>
      <c r="V57" s="736">
        <v>6.0</v>
      </c>
      <c r="W57" s="731"/>
      <c r="X57" s="737">
        <v>3.0</v>
      </c>
      <c r="Y57" s="736">
        <v>6.0</v>
      </c>
      <c r="Z57" s="736"/>
    </row>
    <row r="58">
      <c r="A58" s="529"/>
      <c r="B58" s="529" t="s">
        <v>221</v>
      </c>
      <c r="C58" s="737"/>
      <c r="D58" s="736"/>
      <c r="E58" s="731"/>
      <c r="F58" s="737"/>
      <c r="G58" s="736"/>
      <c r="H58" s="731"/>
      <c r="I58" s="734"/>
      <c r="J58" s="731"/>
      <c r="K58" s="731"/>
      <c r="L58" s="734"/>
      <c r="M58" s="731"/>
      <c r="N58" s="731"/>
      <c r="O58" s="745">
        <v>1.0</v>
      </c>
      <c r="P58" s="736">
        <v>5.0</v>
      </c>
      <c r="Q58" s="731"/>
      <c r="R58" s="737">
        <v>3.0</v>
      </c>
      <c r="S58" s="736">
        <v>7.0</v>
      </c>
      <c r="T58" s="731"/>
      <c r="U58" s="737">
        <v>1.0</v>
      </c>
      <c r="V58" s="736">
        <v>6.0</v>
      </c>
      <c r="W58" s="731"/>
      <c r="X58" s="737">
        <v>3.0</v>
      </c>
      <c r="Y58" s="736">
        <v>7.0</v>
      </c>
      <c r="Z58" s="736"/>
    </row>
    <row r="59">
      <c r="A59" s="529" t="s">
        <v>375</v>
      </c>
      <c r="B59" s="529" t="s">
        <v>219</v>
      </c>
      <c r="C59" s="737"/>
      <c r="D59" s="736"/>
      <c r="E59" s="731"/>
      <c r="F59" s="737"/>
      <c r="G59" s="736"/>
      <c r="H59" s="731"/>
      <c r="I59" s="734"/>
      <c r="J59" s="731"/>
      <c r="K59" s="731"/>
      <c r="L59" s="734"/>
      <c r="M59" s="731"/>
      <c r="N59" s="731"/>
      <c r="O59" s="745">
        <v>1.0</v>
      </c>
      <c r="P59" s="736">
        <v>5.0</v>
      </c>
      <c r="Q59" s="731"/>
      <c r="R59" s="737">
        <v>3.0</v>
      </c>
      <c r="S59" s="736">
        <v>7.0</v>
      </c>
      <c r="T59" s="731"/>
      <c r="U59" s="737">
        <v>2.0</v>
      </c>
      <c r="V59" s="736">
        <v>7.0</v>
      </c>
      <c r="W59" s="731"/>
      <c r="X59" s="737">
        <v>3.0</v>
      </c>
      <c r="Y59" s="736">
        <v>7.0</v>
      </c>
      <c r="Z59" s="736"/>
    </row>
    <row r="60">
      <c r="A60" s="528"/>
      <c r="B60" s="529" t="s">
        <v>217</v>
      </c>
      <c r="C60" s="737"/>
      <c r="D60" s="736"/>
      <c r="E60" s="731"/>
      <c r="F60" s="737"/>
      <c r="G60" s="736"/>
      <c r="H60" s="731"/>
      <c r="I60" s="734"/>
      <c r="J60" s="731"/>
      <c r="K60" s="731"/>
      <c r="L60" s="734"/>
      <c r="M60" s="731"/>
      <c r="N60" s="731"/>
      <c r="O60" s="745">
        <v>1.0</v>
      </c>
      <c r="P60" s="736">
        <v>6.0</v>
      </c>
      <c r="Q60" s="731"/>
      <c r="R60" s="737">
        <v>3.0</v>
      </c>
      <c r="S60" s="736">
        <v>8.0</v>
      </c>
      <c r="T60" s="731"/>
      <c r="U60" s="737">
        <v>2.0</v>
      </c>
      <c r="V60" s="736">
        <v>8.0</v>
      </c>
      <c r="W60" s="731"/>
      <c r="X60" s="737">
        <v>4.0</v>
      </c>
      <c r="Y60" s="736">
        <v>8.0</v>
      </c>
      <c r="Z60" s="736"/>
    </row>
    <row r="61">
      <c r="A61" s="529" t="s">
        <v>376</v>
      </c>
      <c r="B61" s="529" t="s">
        <v>221</v>
      </c>
      <c r="C61" s="737"/>
      <c r="D61" s="736"/>
      <c r="E61" s="731"/>
      <c r="F61" s="737"/>
      <c r="G61" s="736"/>
      <c r="H61" s="731"/>
      <c r="I61" s="734"/>
      <c r="J61" s="731"/>
      <c r="K61" s="731"/>
      <c r="L61" s="734"/>
      <c r="M61" s="731"/>
      <c r="N61" s="731"/>
      <c r="O61" s="745">
        <v>1.0</v>
      </c>
      <c r="P61" s="736">
        <v>4.0</v>
      </c>
      <c r="Q61" s="731"/>
      <c r="R61" s="737">
        <v>2.0</v>
      </c>
      <c r="S61" s="736">
        <v>5.0</v>
      </c>
      <c r="T61" s="731"/>
      <c r="U61" s="737">
        <v>1.0</v>
      </c>
      <c r="V61" s="736">
        <v>5.0</v>
      </c>
      <c r="W61" s="731"/>
      <c r="X61" s="737">
        <v>2.0</v>
      </c>
      <c r="Y61" s="736">
        <v>5.0</v>
      </c>
      <c r="Z61" s="736"/>
    </row>
    <row r="62">
      <c r="A62" s="529"/>
      <c r="B62" s="529" t="s">
        <v>219</v>
      </c>
      <c r="C62" s="737"/>
      <c r="D62" s="736"/>
      <c r="E62" s="731"/>
      <c r="F62" s="737"/>
      <c r="G62" s="736"/>
      <c r="H62" s="731"/>
      <c r="I62" s="734"/>
      <c r="J62" s="731"/>
      <c r="K62" s="731"/>
      <c r="L62" s="734"/>
      <c r="M62" s="731"/>
      <c r="N62" s="731"/>
      <c r="O62" s="745">
        <v>1.0</v>
      </c>
      <c r="P62" s="736">
        <v>4.0</v>
      </c>
      <c r="Q62" s="731"/>
      <c r="R62" s="737">
        <v>2.0</v>
      </c>
      <c r="S62" s="736">
        <v>5.0</v>
      </c>
      <c r="T62" s="731"/>
      <c r="U62" s="737">
        <v>1.0</v>
      </c>
      <c r="V62" s="736">
        <v>5.0</v>
      </c>
      <c r="W62" s="731"/>
      <c r="X62" s="737">
        <v>3.0</v>
      </c>
      <c r="Y62" s="736">
        <v>5.0</v>
      </c>
      <c r="Z62" s="736"/>
    </row>
    <row r="63">
      <c r="A63" s="529" t="s">
        <v>377</v>
      </c>
      <c r="B63" s="529" t="s">
        <v>221</v>
      </c>
      <c r="C63" s="737"/>
      <c r="D63" s="736"/>
      <c r="E63" s="731"/>
      <c r="F63" s="737"/>
      <c r="G63" s="736"/>
      <c r="H63" s="731"/>
      <c r="I63" s="734"/>
      <c r="J63" s="731"/>
      <c r="K63" s="731"/>
      <c r="L63" s="734"/>
      <c r="M63" s="731"/>
      <c r="N63" s="731"/>
      <c r="O63" s="745">
        <v>1.0</v>
      </c>
      <c r="P63" s="736">
        <v>5.0</v>
      </c>
      <c r="Q63" s="731"/>
      <c r="R63" s="737">
        <v>3.0</v>
      </c>
      <c r="S63" s="736">
        <v>6.0</v>
      </c>
      <c r="T63" s="731"/>
      <c r="U63" s="737">
        <v>1.0</v>
      </c>
      <c r="V63" s="736">
        <v>6.0</v>
      </c>
      <c r="W63" s="731"/>
      <c r="X63" s="737">
        <v>3.0</v>
      </c>
      <c r="Y63" s="736">
        <v>6.0</v>
      </c>
      <c r="Z63" s="736"/>
    </row>
    <row r="64">
      <c r="A64" s="528"/>
      <c r="B64" s="529" t="s">
        <v>219</v>
      </c>
      <c r="C64" s="737"/>
      <c r="D64" s="736"/>
      <c r="E64" s="731"/>
      <c r="F64" s="737"/>
      <c r="G64" s="736"/>
      <c r="H64" s="731"/>
      <c r="I64" s="734"/>
      <c r="J64" s="731"/>
      <c r="K64" s="731"/>
      <c r="L64" s="734"/>
      <c r="M64" s="731"/>
      <c r="N64" s="731"/>
      <c r="O64" s="745">
        <v>1.0</v>
      </c>
      <c r="P64" s="736">
        <v>5.0</v>
      </c>
      <c r="Q64" s="731"/>
      <c r="R64" s="737">
        <v>3.0</v>
      </c>
      <c r="S64" s="736">
        <v>6.0</v>
      </c>
      <c r="T64" s="731"/>
      <c r="U64" s="737">
        <v>1.0</v>
      </c>
      <c r="V64" s="736">
        <v>6.0</v>
      </c>
      <c r="W64" s="731"/>
      <c r="X64" s="737">
        <v>3.0</v>
      </c>
      <c r="Y64" s="736">
        <v>6.0</v>
      </c>
      <c r="Z64" s="736"/>
    </row>
    <row r="65">
      <c r="A65" s="529" t="s">
        <v>38</v>
      </c>
      <c r="B65" s="529" t="s">
        <v>219</v>
      </c>
      <c r="C65" s="737"/>
      <c r="D65" s="736"/>
      <c r="E65" s="731"/>
      <c r="F65" s="737"/>
      <c r="G65" s="736"/>
      <c r="H65" s="731"/>
      <c r="I65" s="737">
        <v>2.0</v>
      </c>
      <c r="J65" s="736">
        <v>7.0</v>
      </c>
      <c r="K65" s="731"/>
      <c r="L65" s="737">
        <v>3.0</v>
      </c>
      <c r="M65" s="736">
        <v>7.0</v>
      </c>
      <c r="N65" s="731"/>
      <c r="O65" s="745">
        <v>1.0</v>
      </c>
      <c r="P65" s="736">
        <v>5.0</v>
      </c>
      <c r="Q65" s="731"/>
      <c r="R65" s="737">
        <v>3.0</v>
      </c>
      <c r="S65" s="736">
        <v>6.0</v>
      </c>
      <c r="T65" s="731"/>
      <c r="U65" s="737">
        <v>1.0</v>
      </c>
      <c r="V65" s="736">
        <v>6.0</v>
      </c>
      <c r="W65" s="731"/>
      <c r="X65" s="737">
        <v>3.0</v>
      </c>
      <c r="Y65" s="736">
        <v>6.0</v>
      </c>
      <c r="Z65" s="736"/>
    </row>
    <row r="66">
      <c r="A66" s="528"/>
      <c r="B66" s="529" t="s">
        <v>217</v>
      </c>
      <c r="C66" s="737"/>
      <c r="D66" s="736"/>
      <c r="E66" s="731"/>
      <c r="F66" s="737"/>
      <c r="G66" s="736"/>
      <c r="H66" s="731"/>
      <c r="I66" s="737">
        <v>2.0</v>
      </c>
      <c r="J66" s="736">
        <v>8.0</v>
      </c>
      <c r="K66" s="731"/>
      <c r="L66" s="737">
        <v>3.0</v>
      </c>
      <c r="M66" s="736">
        <v>7.0</v>
      </c>
      <c r="N66" s="731"/>
      <c r="O66" s="745">
        <v>1.0</v>
      </c>
      <c r="P66" s="736">
        <v>5.0</v>
      </c>
      <c r="Q66" s="731"/>
      <c r="R66" s="737">
        <v>3.0</v>
      </c>
      <c r="S66" s="736">
        <v>7.0</v>
      </c>
      <c r="T66" s="731"/>
      <c r="U66" s="737">
        <v>2.0</v>
      </c>
      <c r="V66" s="736">
        <v>7.0</v>
      </c>
      <c r="W66" s="731"/>
      <c r="X66" s="737">
        <v>3.0</v>
      </c>
      <c r="Y66" s="736">
        <v>7.0</v>
      </c>
      <c r="Z66" s="736"/>
    </row>
    <row r="67">
      <c r="A67" s="529" t="s">
        <v>378</v>
      </c>
      <c r="B67" s="529" t="s">
        <v>219</v>
      </c>
      <c r="C67" s="737"/>
      <c r="D67" s="736"/>
      <c r="E67" s="731"/>
      <c r="F67" s="737"/>
      <c r="G67" s="736"/>
      <c r="H67" s="731"/>
      <c r="I67" s="737">
        <v>2.0</v>
      </c>
      <c r="J67" s="736">
        <v>8.0</v>
      </c>
      <c r="K67" s="731"/>
      <c r="L67" s="737">
        <v>4.0</v>
      </c>
      <c r="M67" s="736">
        <v>9.0</v>
      </c>
      <c r="N67" s="731"/>
      <c r="O67" s="745">
        <v>1.0</v>
      </c>
      <c r="P67" s="736">
        <v>6.0</v>
      </c>
      <c r="Q67" s="731"/>
      <c r="R67" s="737">
        <v>3.0</v>
      </c>
      <c r="S67" s="736">
        <v>8.0</v>
      </c>
      <c r="T67" s="731"/>
      <c r="U67" s="737">
        <v>2.0</v>
      </c>
      <c r="V67" s="736">
        <v>8.0</v>
      </c>
      <c r="W67" s="731"/>
      <c r="X67" s="737">
        <v>4.0</v>
      </c>
      <c r="Y67" s="736">
        <v>8.0</v>
      </c>
      <c r="Z67" s="736"/>
    </row>
    <row r="68">
      <c r="A68" s="528"/>
      <c r="B68" s="529" t="s">
        <v>217</v>
      </c>
      <c r="C68" s="737"/>
      <c r="D68" s="736"/>
      <c r="E68" s="731"/>
      <c r="F68" s="737"/>
      <c r="G68" s="736"/>
      <c r="H68" s="731"/>
      <c r="I68" s="737">
        <v>2.0</v>
      </c>
      <c r="J68" s="736">
        <v>9.0</v>
      </c>
      <c r="K68" s="731"/>
      <c r="L68" s="737">
        <v>4.0</v>
      </c>
      <c r="M68" s="736">
        <v>10.0</v>
      </c>
      <c r="N68" s="731"/>
      <c r="O68" s="745">
        <v>1.0</v>
      </c>
      <c r="P68" s="736">
        <v>7.0</v>
      </c>
      <c r="Q68" s="731"/>
      <c r="R68" s="737">
        <v>4.0</v>
      </c>
      <c r="S68" s="736">
        <v>9.0</v>
      </c>
      <c r="T68" s="731"/>
      <c r="U68" s="737">
        <v>2.0</v>
      </c>
      <c r="V68" s="736">
        <v>9.0</v>
      </c>
      <c r="W68" s="731"/>
      <c r="X68" s="737">
        <v>4.0</v>
      </c>
      <c r="Y68" s="736">
        <v>9.0</v>
      </c>
      <c r="Z68" s="736"/>
    </row>
    <row r="69">
      <c r="A69" s="529" t="s">
        <v>47</v>
      </c>
      <c r="B69" s="529" t="s">
        <v>221</v>
      </c>
      <c r="C69" s="737"/>
      <c r="D69" s="736"/>
      <c r="E69" s="731"/>
      <c r="F69" s="737"/>
      <c r="G69" s="736"/>
      <c r="H69" s="731"/>
      <c r="I69" s="734"/>
      <c r="J69" s="731"/>
      <c r="K69" s="731"/>
      <c r="L69" s="734"/>
      <c r="M69" s="731"/>
      <c r="N69" s="731"/>
      <c r="O69" s="745">
        <v>1.0</v>
      </c>
      <c r="P69" s="736">
        <v>5.0</v>
      </c>
      <c r="Q69" s="731"/>
      <c r="R69" s="737">
        <v>3.0</v>
      </c>
      <c r="S69" s="736">
        <v>6.0</v>
      </c>
      <c r="T69" s="731"/>
      <c r="U69" s="737">
        <v>1.0</v>
      </c>
      <c r="V69" s="736">
        <v>6.0</v>
      </c>
      <c r="W69" s="731"/>
      <c r="X69" s="737">
        <v>3.0</v>
      </c>
      <c r="Y69" s="736">
        <v>6.0</v>
      </c>
      <c r="Z69" s="736"/>
    </row>
    <row r="70">
      <c r="A70" s="528"/>
      <c r="B70" s="529" t="s">
        <v>219</v>
      </c>
      <c r="C70" s="737"/>
      <c r="D70" s="736"/>
      <c r="E70" s="731"/>
      <c r="F70" s="737"/>
      <c r="G70" s="736"/>
      <c r="H70" s="731"/>
      <c r="I70" s="734"/>
      <c r="J70" s="731"/>
      <c r="K70" s="731"/>
      <c r="L70" s="734"/>
      <c r="M70" s="731"/>
      <c r="N70" s="731"/>
      <c r="O70" s="745">
        <v>1.0</v>
      </c>
      <c r="P70" s="736">
        <v>5.0</v>
      </c>
      <c r="Q70" s="731"/>
      <c r="R70" s="737">
        <v>3.0</v>
      </c>
      <c r="S70" s="736">
        <v>7.0</v>
      </c>
      <c r="T70" s="731"/>
      <c r="U70" s="737">
        <v>1.0</v>
      </c>
      <c r="V70" s="736">
        <v>6.0</v>
      </c>
      <c r="W70" s="731"/>
      <c r="X70" s="737">
        <v>3.0</v>
      </c>
      <c r="Y70" s="736">
        <v>7.0</v>
      </c>
      <c r="Z70" s="736"/>
    </row>
    <row r="71">
      <c r="A71" s="529" t="s">
        <v>379</v>
      </c>
      <c r="B71" s="529" t="s">
        <v>221</v>
      </c>
      <c r="C71" s="737"/>
      <c r="D71" s="736"/>
      <c r="E71" s="731"/>
      <c r="F71" s="737"/>
      <c r="G71" s="736"/>
      <c r="H71" s="731"/>
      <c r="I71" s="734"/>
      <c r="J71" s="731"/>
      <c r="K71" s="731"/>
      <c r="L71" s="734"/>
      <c r="M71" s="731"/>
      <c r="N71" s="731"/>
      <c r="O71" s="745">
        <v>1.0</v>
      </c>
      <c r="P71" s="736">
        <v>6.0</v>
      </c>
      <c r="Q71" s="731"/>
      <c r="R71" s="737">
        <v>3.0</v>
      </c>
      <c r="S71" s="736">
        <v>7.0</v>
      </c>
      <c r="T71" s="731"/>
      <c r="U71" s="737">
        <v>2.0</v>
      </c>
      <c r="V71" s="736">
        <v>7.0</v>
      </c>
      <c r="W71" s="731"/>
      <c r="X71" s="737">
        <v>3.0</v>
      </c>
      <c r="Y71" s="736">
        <v>7.0</v>
      </c>
      <c r="Z71" s="736"/>
    </row>
    <row r="72">
      <c r="A72" s="528"/>
      <c r="B72" s="529" t="s">
        <v>219</v>
      </c>
      <c r="C72" s="737"/>
      <c r="D72" s="736"/>
      <c r="E72" s="731"/>
      <c r="F72" s="737"/>
      <c r="G72" s="736"/>
      <c r="H72" s="731"/>
      <c r="I72" s="734"/>
      <c r="J72" s="731"/>
      <c r="K72" s="731"/>
      <c r="L72" s="734"/>
      <c r="M72" s="731"/>
      <c r="N72" s="731"/>
      <c r="O72" s="745">
        <v>1.0</v>
      </c>
      <c r="P72" s="736">
        <v>6.0</v>
      </c>
      <c r="Q72" s="731"/>
      <c r="R72" s="737">
        <v>3.0</v>
      </c>
      <c r="S72" s="736">
        <v>8.0</v>
      </c>
      <c r="T72" s="731"/>
      <c r="U72" s="737">
        <v>2.0</v>
      </c>
      <c r="V72" s="736">
        <v>8.0</v>
      </c>
      <c r="W72" s="731"/>
      <c r="X72" s="737">
        <v>4.0</v>
      </c>
      <c r="Y72" s="736">
        <v>8.0</v>
      </c>
      <c r="Z72" s="736"/>
    </row>
    <row r="73">
      <c r="A73" s="529" t="s">
        <v>59</v>
      </c>
      <c r="B73" s="529" t="s">
        <v>221</v>
      </c>
      <c r="C73" s="737"/>
      <c r="D73" s="736"/>
      <c r="E73" s="731"/>
      <c r="F73" s="737"/>
      <c r="G73" s="736"/>
      <c r="H73" s="731"/>
      <c r="I73" s="734"/>
      <c r="J73" s="731"/>
      <c r="K73" s="731"/>
      <c r="L73" s="734"/>
      <c r="M73" s="731"/>
      <c r="N73" s="731"/>
      <c r="O73" s="745">
        <v>1.0</v>
      </c>
      <c r="P73" s="736">
        <v>4.0</v>
      </c>
      <c r="Q73" s="731"/>
      <c r="R73" s="737">
        <v>2.0</v>
      </c>
      <c r="S73" s="736">
        <v>5.0</v>
      </c>
      <c r="T73" s="731"/>
      <c r="U73" s="737">
        <v>1.0</v>
      </c>
      <c r="V73" s="736">
        <v>5.0</v>
      </c>
      <c r="W73" s="731"/>
      <c r="X73" s="737">
        <v>2.0</v>
      </c>
      <c r="Y73" s="736">
        <v>5.0</v>
      </c>
      <c r="Z73" s="736"/>
    </row>
    <row r="74">
      <c r="A74" s="528"/>
      <c r="B74" s="529" t="s">
        <v>219</v>
      </c>
      <c r="C74" s="737"/>
      <c r="D74" s="736"/>
      <c r="E74" s="731"/>
      <c r="F74" s="737"/>
      <c r="G74" s="736"/>
      <c r="H74" s="731"/>
      <c r="I74" s="734"/>
      <c r="J74" s="731"/>
      <c r="K74" s="731"/>
      <c r="L74" s="734"/>
      <c r="M74" s="731"/>
      <c r="N74" s="731"/>
      <c r="O74" s="745">
        <v>1.0</v>
      </c>
      <c r="P74" s="736">
        <v>4.0</v>
      </c>
      <c r="Q74" s="731"/>
      <c r="R74" s="737">
        <v>2.0</v>
      </c>
      <c r="S74" s="736">
        <v>5.0</v>
      </c>
      <c r="T74" s="731"/>
      <c r="U74" s="737">
        <v>1.0</v>
      </c>
      <c r="V74" s="736">
        <v>5.0</v>
      </c>
      <c r="W74" s="731"/>
      <c r="X74" s="737">
        <v>3.0</v>
      </c>
      <c r="Y74" s="736">
        <v>5.0</v>
      </c>
      <c r="Z74" s="736"/>
    </row>
    <row r="75">
      <c r="A75" s="529" t="s">
        <v>380</v>
      </c>
      <c r="B75" s="529" t="s">
        <v>221</v>
      </c>
      <c r="C75" s="737"/>
      <c r="D75" s="736"/>
      <c r="E75" s="731"/>
      <c r="F75" s="737"/>
      <c r="G75" s="736"/>
      <c r="H75" s="731"/>
      <c r="I75" s="734"/>
      <c r="J75" s="731"/>
      <c r="K75" s="731"/>
      <c r="L75" s="734"/>
      <c r="M75" s="731"/>
      <c r="N75" s="731"/>
      <c r="O75" s="745">
        <v>1.0</v>
      </c>
      <c r="P75" s="736">
        <v>5.0</v>
      </c>
      <c r="Q75" s="731"/>
      <c r="R75" s="737">
        <v>3.0</v>
      </c>
      <c r="S75" s="736">
        <v>6.0</v>
      </c>
      <c r="T75" s="731"/>
      <c r="U75" s="737">
        <v>1.0</v>
      </c>
      <c r="V75" s="736">
        <v>6.0</v>
      </c>
      <c r="W75" s="731"/>
      <c r="X75" s="737">
        <v>3.0</v>
      </c>
      <c r="Y75" s="736">
        <v>6.0</v>
      </c>
      <c r="Z75" s="736"/>
    </row>
    <row r="76">
      <c r="A76" s="528"/>
      <c r="B76" s="529" t="s">
        <v>219</v>
      </c>
      <c r="C76" s="737"/>
      <c r="D76" s="736"/>
      <c r="E76" s="731"/>
      <c r="F76" s="737"/>
      <c r="G76" s="736"/>
      <c r="H76" s="731"/>
      <c r="I76" s="734"/>
      <c r="J76" s="731"/>
      <c r="K76" s="731"/>
      <c r="L76" s="734"/>
      <c r="M76" s="731"/>
      <c r="N76" s="731"/>
      <c r="O76" s="745">
        <v>1.0</v>
      </c>
      <c r="P76" s="736">
        <v>5.0</v>
      </c>
      <c r="Q76" s="731"/>
      <c r="R76" s="737">
        <v>3.0</v>
      </c>
      <c r="S76" s="736">
        <v>7.0</v>
      </c>
      <c r="T76" s="731"/>
      <c r="U76" s="737">
        <v>1.0</v>
      </c>
      <c r="V76" s="736">
        <v>6.0</v>
      </c>
      <c r="W76" s="731"/>
      <c r="X76" s="737">
        <v>3.0</v>
      </c>
      <c r="Y76" s="736">
        <v>7.0</v>
      </c>
      <c r="Z76" s="736"/>
    </row>
    <row r="77">
      <c r="A77" s="529"/>
      <c r="B77" s="529" t="s">
        <v>221</v>
      </c>
      <c r="C77" s="737"/>
      <c r="D77" s="736"/>
      <c r="E77" s="731"/>
      <c r="F77" s="737"/>
      <c r="G77" s="736"/>
      <c r="H77" s="731"/>
      <c r="I77" s="734"/>
      <c r="J77" s="731"/>
      <c r="K77" s="731"/>
      <c r="L77" s="734"/>
      <c r="M77" s="731"/>
      <c r="N77" s="731"/>
      <c r="O77" s="745">
        <v>1.0</v>
      </c>
      <c r="P77" s="736">
        <v>4.0</v>
      </c>
      <c r="Q77" s="731"/>
      <c r="R77" s="737">
        <v>3.0</v>
      </c>
      <c r="S77" s="736">
        <v>6.0</v>
      </c>
      <c r="T77" s="731"/>
      <c r="U77" s="737">
        <v>1.0</v>
      </c>
      <c r="V77" s="736">
        <v>6.0</v>
      </c>
      <c r="W77" s="731"/>
      <c r="X77" s="737">
        <v>3.0</v>
      </c>
      <c r="Y77" s="736">
        <v>6.0</v>
      </c>
      <c r="Z77" s="736"/>
    </row>
    <row r="78">
      <c r="A78" s="529" t="s">
        <v>79</v>
      </c>
      <c r="B78" s="529" t="s">
        <v>219</v>
      </c>
      <c r="C78" s="737"/>
      <c r="D78" s="736"/>
      <c r="E78" s="731"/>
      <c r="F78" s="737"/>
      <c r="G78" s="736"/>
      <c r="H78" s="731"/>
      <c r="I78" s="734"/>
      <c r="J78" s="731"/>
      <c r="K78" s="731"/>
      <c r="L78" s="734"/>
      <c r="M78" s="731"/>
      <c r="N78" s="731"/>
      <c r="O78" s="745">
        <v>1.0</v>
      </c>
      <c r="P78" s="736">
        <v>5.0</v>
      </c>
      <c r="Q78" s="731"/>
      <c r="R78" s="737">
        <v>3.0</v>
      </c>
      <c r="S78" s="736">
        <v>6.0</v>
      </c>
      <c r="T78" s="731"/>
      <c r="U78" s="737">
        <v>1.0</v>
      </c>
      <c r="V78" s="736">
        <v>6.0</v>
      </c>
      <c r="W78" s="731"/>
      <c r="X78" s="737">
        <v>3.0</v>
      </c>
      <c r="Y78" s="736">
        <v>6.0</v>
      </c>
      <c r="Z78" s="736"/>
    </row>
    <row r="79">
      <c r="A79" s="529"/>
      <c r="B79" s="529" t="s">
        <v>217</v>
      </c>
      <c r="C79" s="737"/>
      <c r="D79" s="736"/>
      <c r="E79" s="731"/>
      <c r="F79" s="737"/>
      <c r="G79" s="736"/>
      <c r="H79" s="731"/>
      <c r="I79" s="734"/>
      <c r="J79" s="731"/>
      <c r="K79" s="731"/>
      <c r="L79" s="734"/>
      <c r="M79" s="731"/>
      <c r="N79" s="731"/>
      <c r="O79" s="745">
        <v>1.0</v>
      </c>
      <c r="P79" s="736">
        <v>5.0</v>
      </c>
      <c r="Q79" s="731"/>
      <c r="R79" s="737">
        <v>3.0</v>
      </c>
      <c r="S79" s="736">
        <v>7.0</v>
      </c>
      <c r="T79" s="731"/>
      <c r="U79" s="737">
        <v>2.0</v>
      </c>
      <c r="V79" s="736">
        <v>7.0</v>
      </c>
      <c r="W79" s="731"/>
      <c r="X79" s="737">
        <v>3.0</v>
      </c>
      <c r="Y79" s="736">
        <v>7.0</v>
      </c>
      <c r="Z79" s="736"/>
    </row>
    <row r="80">
      <c r="B80" s="529" t="s">
        <v>221</v>
      </c>
      <c r="C80" s="737"/>
      <c r="D80" s="736"/>
      <c r="E80" s="731"/>
      <c r="F80" s="737"/>
      <c r="G80" s="736"/>
      <c r="H80" s="731"/>
      <c r="I80" s="734"/>
      <c r="J80" s="731"/>
      <c r="K80" s="731"/>
      <c r="L80" s="734"/>
      <c r="M80" s="731"/>
      <c r="N80" s="731"/>
      <c r="O80" s="745">
        <v>1.0</v>
      </c>
      <c r="P80" s="736">
        <v>5.0</v>
      </c>
      <c r="Q80" s="731"/>
      <c r="R80" s="737">
        <v>3.0</v>
      </c>
      <c r="S80" s="736">
        <v>7.0</v>
      </c>
      <c r="T80" s="731"/>
      <c r="U80" s="737">
        <v>2.0</v>
      </c>
      <c r="V80" s="736">
        <v>7.0</v>
      </c>
      <c r="W80" s="731"/>
      <c r="X80" s="737">
        <v>3.0</v>
      </c>
      <c r="Y80" s="736">
        <v>7.0</v>
      </c>
      <c r="Z80" s="736"/>
    </row>
    <row r="81">
      <c r="A81" s="529" t="s">
        <v>381</v>
      </c>
      <c r="B81" s="529" t="s">
        <v>219</v>
      </c>
      <c r="C81" s="737"/>
      <c r="D81" s="736"/>
      <c r="E81" s="731"/>
      <c r="F81" s="737"/>
      <c r="G81" s="736"/>
      <c r="H81" s="731"/>
      <c r="I81" s="734"/>
      <c r="J81" s="731"/>
      <c r="K81" s="731"/>
      <c r="L81" s="734"/>
      <c r="M81" s="731"/>
      <c r="N81" s="731"/>
      <c r="O81" s="745">
        <v>1.0</v>
      </c>
      <c r="P81" s="736">
        <v>6.0</v>
      </c>
      <c r="Q81" s="731"/>
      <c r="R81" s="737">
        <v>3.0</v>
      </c>
      <c r="S81" s="736">
        <v>7.0</v>
      </c>
      <c r="T81" s="731"/>
      <c r="U81" s="737">
        <v>2.0</v>
      </c>
      <c r="V81" s="736">
        <v>7.0</v>
      </c>
      <c r="W81" s="731"/>
      <c r="X81" s="737">
        <v>3.0</v>
      </c>
      <c r="Y81" s="736">
        <v>7.0</v>
      </c>
      <c r="Z81" s="736"/>
    </row>
    <row r="82">
      <c r="A82" s="528"/>
      <c r="B82" s="529" t="s">
        <v>217</v>
      </c>
      <c r="C82" s="737"/>
      <c r="D82" s="736"/>
      <c r="E82" s="731"/>
      <c r="F82" s="737"/>
      <c r="G82" s="736"/>
      <c r="H82" s="731"/>
      <c r="I82" s="734"/>
      <c r="J82" s="731"/>
      <c r="K82" s="731"/>
      <c r="L82" s="734"/>
      <c r="M82" s="731"/>
      <c r="N82" s="731"/>
      <c r="O82" s="745">
        <v>1.0</v>
      </c>
      <c r="P82" s="736">
        <v>7.0</v>
      </c>
      <c r="Q82" s="731"/>
      <c r="R82" s="737">
        <v>4.0</v>
      </c>
      <c r="S82" s="736">
        <v>8.0</v>
      </c>
      <c r="T82" s="731"/>
      <c r="U82" s="737">
        <v>2.0</v>
      </c>
      <c r="V82" s="736">
        <v>8.0</v>
      </c>
      <c r="W82" s="731"/>
      <c r="X82" s="737">
        <v>4.0</v>
      </c>
      <c r="Y82" s="736">
        <v>8.0</v>
      </c>
      <c r="Z82" s="736"/>
    </row>
    <row r="83">
      <c r="A83" s="529" t="s">
        <v>169</v>
      </c>
      <c r="B83" s="529" t="s">
        <v>221</v>
      </c>
      <c r="C83" s="737"/>
      <c r="D83" s="736"/>
      <c r="E83" s="731"/>
      <c r="F83" s="737"/>
      <c r="G83" s="736"/>
      <c r="H83" s="731"/>
      <c r="I83" s="734"/>
      <c r="J83" s="731"/>
      <c r="K83" s="731"/>
      <c r="L83" s="734"/>
      <c r="M83" s="731"/>
      <c r="N83" s="731"/>
      <c r="O83" s="745">
        <v>1.0</v>
      </c>
      <c r="P83" s="736">
        <v>4.0</v>
      </c>
      <c r="Q83" s="731"/>
      <c r="R83" s="737">
        <v>2.0</v>
      </c>
      <c r="S83" s="736">
        <v>5.0</v>
      </c>
      <c r="T83" s="731"/>
      <c r="U83" s="737">
        <v>1.0</v>
      </c>
      <c r="V83" s="736">
        <v>5.0</v>
      </c>
      <c r="W83" s="731"/>
      <c r="X83" s="737">
        <v>2.0</v>
      </c>
      <c r="Y83" s="736">
        <v>5.0</v>
      </c>
      <c r="Z83" s="736"/>
    </row>
    <row r="84">
      <c r="A84" s="528"/>
      <c r="B84" s="529" t="s">
        <v>219</v>
      </c>
      <c r="C84" s="737"/>
      <c r="D84" s="736"/>
      <c r="E84" s="731"/>
      <c r="F84" s="737"/>
      <c r="G84" s="736"/>
      <c r="H84" s="731"/>
      <c r="I84" s="734"/>
      <c r="J84" s="731"/>
      <c r="K84" s="731"/>
      <c r="L84" s="734"/>
      <c r="M84" s="731"/>
      <c r="N84" s="731"/>
      <c r="O84" s="745">
        <v>1.0</v>
      </c>
      <c r="P84" s="736">
        <v>4.0</v>
      </c>
      <c r="Q84" s="731"/>
      <c r="R84" s="737">
        <v>2.0</v>
      </c>
      <c r="S84" s="736">
        <v>5.0</v>
      </c>
      <c r="T84" s="731"/>
      <c r="U84" s="737">
        <v>1.0</v>
      </c>
      <c r="V84" s="736">
        <v>5.0</v>
      </c>
      <c r="W84" s="731"/>
      <c r="X84" s="737">
        <v>3.0</v>
      </c>
      <c r="Y84" s="736">
        <v>5.0</v>
      </c>
      <c r="Z84" s="736"/>
    </row>
    <row r="85">
      <c r="A85" s="529" t="s">
        <v>382</v>
      </c>
      <c r="B85" s="529" t="s">
        <v>221</v>
      </c>
      <c r="C85" s="737"/>
      <c r="D85" s="736"/>
      <c r="E85" s="731"/>
      <c r="F85" s="737"/>
      <c r="G85" s="736"/>
      <c r="H85" s="731"/>
      <c r="I85" s="734"/>
      <c r="J85" s="731"/>
      <c r="K85" s="731"/>
      <c r="L85" s="734"/>
      <c r="M85" s="731"/>
      <c r="N85" s="731"/>
      <c r="O85" s="745">
        <v>1.0</v>
      </c>
      <c r="P85" s="736">
        <v>5.0</v>
      </c>
      <c r="Q85" s="731"/>
      <c r="R85" s="737">
        <v>3.0</v>
      </c>
      <c r="S85" s="736">
        <v>6.0</v>
      </c>
      <c r="T85" s="731"/>
      <c r="U85" s="737">
        <v>1.0</v>
      </c>
      <c r="V85" s="736">
        <v>6.0</v>
      </c>
      <c r="W85" s="731"/>
      <c r="X85" s="737">
        <v>3.0</v>
      </c>
      <c r="Y85" s="736">
        <v>6.0</v>
      </c>
      <c r="Z85" s="736"/>
    </row>
    <row r="86">
      <c r="A86" s="528"/>
      <c r="B86" s="529" t="s">
        <v>219</v>
      </c>
      <c r="C86" s="737"/>
      <c r="D86" s="736"/>
      <c r="E86" s="731"/>
      <c r="F86" s="737"/>
      <c r="G86" s="736"/>
      <c r="H86" s="731"/>
      <c r="I86" s="734"/>
      <c r="J86" s="731"/>
      <c r="K86" s="731"/>
      <c r="L86" s="734"/>
      <c r="M86" s="731"/>
      <c r="N86" s="731"/>
      <c r="O86" s="745">
        <v>1.0</v>
      </c>
      <c r="P86" s="736">
        <v>5.0</v>
      </c>
      <c r="Q86" s="731"/>
      <c r="R86" s="737">
        <v>3.0</v>
      </c>
      <c r="S86" s="736">
        <v>7.0</v>
      </c>
      <c r="T86" s="731"/>
      <c r="U86" s="737">
        <v>1.0</v>
      </c>
      <c r="V86" s="736">
        <v>6.0</v>
      </c>
      <c r="W86" s="731"/>
      <c r="X86" s="737">
        <v>3.0</v>
      </c>
      <c r="Y86" s="736">
        <v>7.0</v>
      </c>
      <c r="Z86" s="736"/>
    </row>
    <row r="87">
      <c r="A87" s="528"/>
      <c r="B87" s="529" t="s">
        <v>221</v>
      </c>
      <c r="C87" s="737"/>
      <c r="D87" s="736"/>
      <c r="E87" s="731"/>
      <c r="F87" s="737"/>
      <c r="G87" s="736"/>
      <c r="H87" s="731"/>
      <c r="I87" s="734"/>
      <c r="J87" s="731"/>
      <c r="K87" s="731"/>
      <c r="L87" s="734"/>
      <c r="M87" s="731"/>
      <c r="N87" s="731"/>
      <c r="O87" s="745">
        <v>1.0</v>
      </c>
      <c r="P87" s="736">
        <v>4.0</v>
      </c>
      <c r="Q87" s="731"/>
      <c r="R87" s="737">
        <v>2.0</v>
      </c>
      <c r="S87" s="736">
        <v>5.0</v>
      </c>
      <c r="T87" s="731"/>
      <c r="U87" s="737">
        <v>1.0</v>
      </c>
      <c r="V87" s="736">
        <v>5.0</v>
      </c>
      <c r="W87" s="731"/>
      <c r="X87" s="737">
        <v>2.0</v>
      </c>
      <c r="Y87" s="736">
        <v>5.0</v>
      </c>
      <c r="Z87" s="736"/>
    </row>
    <row r="88">
      <c r="A88" s="529" t="s">
        <v>102</v>
      </c>
      <c r="B88" s="529" t="s">
        <v>219</v>
      </c>
      <c r="C88" s="737"/>
      <c r="D88" s="736"/>
      <c r="E88" s="731"/>
      <c r="F88" s="737"/>
      <c r="G88" s="736"/>
      <c r="H88" s="731"/>
      <c r="I88" s="734"/>
      <c r="J88" s="731"/>
      <c r="K88" s="731"/>
      <c r="L88" s="734"/>
      <c r="M88" s="731"/>
      <c r="N88" s="731"/>
      <c r="O88" s="745">
        <v>1.0</v>
      </c>
      <c r="P88" s="736">
        <v>4.0</v>
      </c>
      <c r="Q88" s="731"/>
      <c r="R88" s="737">
        <v>2.0</v>
      </c>
      <c r="S88" s="736">
        <v>5.0</v>
      </c>
      <c r="T88" s="731"/>
      <c r="U88" s="737">
        <v>1.0</v>
      </c>
      <c r="V88" s="736">
        <v>5.0</v>
      </c>
      <c r="W88" s="731"/>
      <c r="X88" s="737">
        <v>3.0</v>
      </c>
      <c r="Y88" s="736">
        <v>5.0</v>
      </c>
      <c r="Z88" s="736"/>
    </row>
    <row r="89">
      <c r="A89" s="528"/>
      <c r="B89" s="529" t="s">
        <v>217</v>
      </c>
      <c r="C89" s="737"/>
      <c r="D89" s="736"/>
      <c r="E89" s="731"/>
      <c r="F89" s="737"/>
      <c r="G89" s="736"/>
      <c r="H89" s="731"/>
      <c r="I89" s="734"/>
      <c r="J89" s="731"/>
      <c r="K89" s="731"/>
      <c r="L89" s="734"/>
      <c r="M89" s="731"/>
      <c r="N89" s="731"/>
      <c r="O89" s="745">
        <v>1.0</v>
      </c>
      <c r="P89" s="736">
        <v>4.0</v>
      </c>
      <c r="Q89" s="731"/>
      <c r="R89" s="737">
        <v>3.0</v>
      </c>
      <c r="S89" s="736">
        <v>6.0</v>
      </c>
      <c r="T89" s="731"/>
      <c r="U89" s="737">
        <v>1.0</v>
      </c>
      <c r="V89" s="736">
        <v>6.0</v>
      </c>
      <c r="W89" s="731"/>
      <c r="X89" s="737">
        <v>3.0</v>
      </c>
      <c r="Y89" s="736">
        <v>6.0</v>
      </c>
      <c r="Z89" s="736"/>
    </row>
    <row r="90">
      <c r="A90" s="528"/>
      <c r="B90" s="529" t="s">
        <v>221</v>
      </c>
      <c r="C90" s="737"/>
      <c r="D90" s="736"/>
      <c r="E90" s="731"/>
      <c r="F90" s="737"/>
      <c r="G90" s="736"/>
      <c r="H90" s="731"/>
      <c r="I90" s="734"/>
      <c r="J90" s="731"/>
      <c r="K90" s="731"/>
      <c r="L90" s="734"/>
      <c r="M90" s="731"/>
      <c r="N90" s="731"/>
      <c r="O90" s="745">
        <v>1.0</v>
      </c>
      <c r="P90" s="736">
        <v>5.0</v>
      </c>
      <c r="Q90" s="731"/>
      <c r="R90" s="737">
        <v>3.0</v>
      </c>
      <c r="S90" s="736">
        <v>6.0</v>
      </c>
      <c r="T90" s="731"/>
      <c r="U90" s="737">
        <v>1.0</v>
      </c>
      <c r="V90" s="736">
        <v>6.0</v>
      </c>
      <c r="W90" s="731"/>
      <c r="X90" s="737">
        <v>3.0</v>
      </c>
      <c r="Y90" s="736">
        <v>6.0</v>
      </c>
      <c r="Z90" s="736"/>
    </row>
    <row r="91">
      <c r="A91" s="529" t="s">
        <v>383</v>
      </c>
      <c r="B91" s="529" t="s">
        <v>219</v>
      </c>
      <c r="C91" s="737"/>
      <c r="D91" s="736"/>
      <c r="E91" s="731"/>
      <c r="F91" s="737"/>
      <c r="G91" s="736"/>
      <c r="H91" s="731"/>
      <c r="I91" s="734"/>
      <c r="J91" s="731"/>
      <c r="K91" s="731"/>
      <c r="L91" s="734"/>
      <c r="M91" s="731"/>
      <c r="N91" s="731"/>
      <c r="O91" s="745">
        <v>1.0</v>
      </c>
      <c r="P91" s="736">
        <v>5.0</v>
      </c>
      <c r="Q91" s="731"/>
      <c r="R91" s="737">
        <v>3.0</v>
      </c>
      <c r="S91" s="736">
        <v>6.0</v>
      </c>
      <c r="T91" s="731"/>
      <c r="U91" s="737">
        <v>1.0</v>
      </c>
      <c r="V91" s="736">
        <v>6.0</v>
      </c>
      <c r="W91" s="731"/>
      <c r="X91" s="737">
        <v>3.0</v>
      </c>
      <c r="Y91" s="736">
        <v>6.0</v>
      </c>
      <c r="Z91" s="736"/>
    </row>
    <row r="92">
      <c r="A92" s="528"/>
      <c r="B92" s="529" t="s">
        <v>217</v>
      </c>
      <c r="C92" s="737"/>
      <c r="D92" s="736"/>
      <c r="E92" s="731"/>
      <c r="F92" s="737"/>
      <c r="G92" s="736"/>
      <c r="H92" s="731"/>
      <c r="I92" s="734"/>
      <c r="J92" s="731"/>
      <c r="K92" s="731"/>
      <c r="L92" s="734"/>
      <c r="M92" s="731"/>
      <c r="N92" s="731"/>
      <c r="O92" s="745">
        <v>1.0</v>
      </c>
      <c r="P92" s="736">
        <v>5.0</v>
      </c>
      <c r="Q92" s="731"/>
      <c r="R92" s="737">
        <v>3.0</v>
      </c>
      <c r="S92" s="736">
        <v>7.0</v>
      </c>
      <c r="T92" s="731"/>
      <c r="U92" s="737">
        <v>2.0</v>
      </c>
      <c r="V92" s="736">
        <v>7.0</v>
      </c>
      <c r="W92" s="731"/>
      <c r="X92" s="737">
        <v>3.0</v>
      </c>
      <c r="Y92" s="736">
        <v>7.0</v>
      </c>
      <c r="Z92" s="736"/>
    </row>
    <row r="93">
      <c r="A93" s="529" t="s">
        <v>128</v>
      </c>
      <c r="B93" s="529" t="s">
        <v>219</v>
      </c>
      <c r="C93" s="737"/>
      <c r="D93" s="736"/>
      <c r="E93" s="731"/>
      <c r="F93" s="737"/>
      <c r="G93" s="736"/>
      <c r="H93" s="731"/>
      <c r="I93" s="734"/>
      <c r="J93" s="731"/>
      <c r="K93" s="731"/>
      <c r="L93" s="734"/>
      <c r="M93" s="731"/>
      <c r="N93" s="731"/>
      <c r="O93" s="745">
        <v>1.0</v>
      </c>
      <c r="P93" s="736">
        <v>5.0</v>
      </c>
      <c r="Q93" s="731"/>
      <c r="R93" s="737">
        <v>3.0</v>
      </c>
      <c r="S93" s="736">
        <v>6.0</v>
      </c>
      <c r="T93" s="731"/>
      <c r="U93" s="737">
        <v>1.0</v>
      </c>
      <c r="V93" s="736">
        <v>6.0</v>
      </c>
      <c r="W93" s="731"/>
      <c r="X93" s="737">
        <v>3.0</v>
      </c>
      <c r="Y93" s="736">
        <v>6.0</v>
      </c>
      <c r="Z93" s="736"/>
    </row>
    <row r="94">
      <c r="A94" s="528"/>
      <c r="B94" s="529" t="s">
        <v>217</v>
      </c>
      <c r="C94" s="737"/>
      <c r="D94" s="736"/>
      <c r="E94" s="731"/>
      <c r="F94" s="737"/>
      <c r="G94" s="736"/>
      <c r="H94" s="731"/>
      <c r="I94" s="734"/>
      <c r="J94" s="731"/>
      <c r="K94" s="731"/>
      <c r="L94" s="734"/>
      <c r="M94" s="731"/>
      <c r="N94" s="731"/>
      <c r="O94" s="745">
        <v>1.0</v>
      </c>
      <c r="P94" s="736">
        <v>5.0</v>
      </c>
      <c r="Q94" s="731"/>
      <c r="R94" s="737">
        <v>3.0</v>
      </c>
      <c r="S94" s="736">
        <v>7.0</v>
      </c>
      <c r="T94" s="731"/>
      <c r="U94" s="737">
        <v>2.0</v>
      </c>
      <c r="V94" s="736">
        <v>7.0</v>
      </c>
      <c r="W94" s="731"/>
      <c r="X94" s="737">
        <v>3.0</v>
      </c>
      <c r="Y94" s="736">
        <v>7.0</v>
      </c>
      <c r="Z94" s="736"/>
    </row>
    <row r="95">
      <c r="A95" s="529" t="s">
        <v>384</v>
      </c>
      <c r="B95" s="529" t="s">
        <v>219</v>
      </c>
      <c r="C95" s="737"/>
      <c r="D95" s="736"/>
      <c r="E95" s="731"/>
      <c r="F95" s="737"/>
      <c r="G95" s="736"/>
      <c r="H95" s="731"/>
      <c r="I95" s="734"/>
      <c r="J95" s="731"/>
      <c r="K95" s="731"/>
      <c r="L95" s="734"/>
      <c r="M95" s="731"/>
      <c r="N95" s="731"/>
      <c r="O95" s="745">
        <v>1.0</v>
      </c>
      <c r="P95" s="736">
        <v>6.0</v>
      </c>
      <c r="Q95" s="731"/>
      <c r="R95" s="737">
        <v>3.0</v>
      </c>
      <c r="S95" s="736">
        <v>8.0</v>
      </c>
      <c r="T95" s="731"/>
      <c r="U95" s="737">
        <v>2.0</v>
      </c>
      <c r="V95" s="736">
        <v>8.0</v>
      </c>
      <c r="W95" s="731"/>
      <c r="X95" s="737">
        <v>4.0</v>
      </c>
      <c r="Y95" s="736">
        <v>8.0</v>
      </c>
      <c r="Z95" s="736"/>
    </row>
    <row r="96">
      <c r="A96" s="528"/>
      <c r="B96" s="529" t="s">
        <v>217</v>
      </c>
      <c r="C96" s="737"/>
      <c r="D96" s="736"/>
      <c r="E96" s="731"/>
      <c r="F96" s="737"/>
      <c r="G96" s="736"/>
      <c r="H96" s="731"/>
      <c r="I96" s="734"/>
      <c r="J96" s="731"/>
      <c r="K96" s="731"/>
      <c r="L96" s="734"/>
      <c r="M96" s="731"/>
      <c r="N96" s="731"/>
      <c r="O96" s="745">
        <v>1.0</v>
      </c>
      <c r="P96" s="736">
        <v>7.0</v>
      </c>
      <c r="Q96" s="731"/>
      <c r="R96" s="737">
        <v>4.0</v>
      </c>
      <c r="S96" s="736">
        <v>9.0</v>
      </c>
      <c r="T96" s="731"/>
      <c r="U96" s="737">
        <v>2.0</v>
      </c>
      <c r="V96" s="736">
        <v>9.0</v>
      </c>
      <c r="W96" s="731"/>
      <c r="X96" s="737">
        <v>4.0</v>
      </c>
      <c r="Y96" s="736">
        <v>9.0</v>
      </c>
      <c r="Z96" s="736"/>
    </row>
    <row r="97">
      <c r="A97" s="529" t="s">
        <v>138</v>
      </c>
      <c r="B97" s="529" t="s">
        <v>219</v>
      </c>
      <c r="C97" s="737"/>
      <c r="D97" s="736"/>
      <c r="E97" s="731"/>
      <c r="F97" s="737"/>
      <c r="G97" s="736"/>
      <c r="H97" s="731"/>
      <c r="I97" s="734"/>
      <c r="J97" s="731"/>
      <c r="K97" s="731"/>
      <c r="L97" s="734"/>
      <c r="M97" s="731"/>
      <c r="N97" s="731"/>
      <c r="O97" s="745">
        <v>1.0</v>
      </c>
      <c r="P97" s="736">
        <v>4.0</v>
      </c>
      <c r="Q97" s="731"/>
      <c r="R97" s="737">
        <v>2.0</v>
      </c>
      <c r="S97" s="736">
        <v>5.0</v>
      </c>
      <c r="T97" s="731"/>
      <c r="U97" s="737">
        <v>1.0</v>
      </c>
      <c r="V97" s="736">
        <v>5.0</v>
      </c>
      <c r="W97" s="731"/>
      <c r="X97" s="737">
        <v>2.0</v>
      </c>
      <c r="Y97" s="736">
        <v>5.0</v>
      </c>
      <c r="Z97" s="736"/>
    </row>
    <row r="98">
      <c r="A98" s="528"/>
      <c r="B98" s="529" t="s">
        <v>217</v>
      </c>
      <c r="C98" s="737"/>
      <c r="D98" s="736"/>
      <c r="E98" s="731"/>
      <c r="F98" s="737"/>
      <c r="G98" s="736"/>
      <c r="H98" s="731"/>
      <c r="I98" s="734"/>
      <c r="J98" s="731"/>
      <c r="K98" s="731"/>
      <c r="L98" s="734"/>
      <c r="M98" s="731"/>
      <c r="N98" s="731"/>
      <c r="O98" s="745">
        <v>1.0</v>
      </c>
      <c r="P98" s="736">
        <v>4.0</v>
      </c>
      <c r="Q98" s="731"/>
      <c r="R98" s="737">
        <v>3.0</v>
      </c>
      <c r="S98" s="736">
        <v>6.0</v>
      </c>
      <c r="T98" s="731"/>
      <c r="U98" s="737">
        <v>1.0</v>
      </c>
      <c r="V98" s="736">
        <v>5.0</v>
      </c>
      <c r="W98" s="731"/>
      <c r="X98" s="737">
        <v>3.0</v>
      </c>
      <c r="Y98" s="736">
        <v>6.0</v>
      </c>
      <c r="Z98" s="736"/>
    </row>
    <row r="99">
      <c r="A99" s="529" t="s">
        <v>385</v>
      </c>
      <c r="B99" s="529" t="s">
        <v>219</v>
      </c>
      <c r="C99" s="737"/>
      <c r="D99" s="736"/>
      <c r="E99" s="731"/>
      <c r="F99" s="737"/>
      <c r="G99" s="736"/>
      <c r="H99" s="731"/>
      <c r="I99" s="734"/>
      <c r="J99" s="731"/>
      <c r="K99" s="731"/>
      <c r="L99" s="734"/>
      <c r="M99" s="731"/>
      <c r="N99" s="731"/>
      <c r="O99" s="745">
        <v>1.0</v>
      </c>
      <c r="P99" s="736">
        <v>5.0</v>
      </c>
      <c r="Q99" s="731"/>
      <c r="R99" s="737">
        <v>3.0</v>
      </c>
      <c r="S99" s="736">
        <v>6.0</v>
      </c>
      <c r="T99" s="731"/>
      <c r="U99" s="737">
        <v>1.0</v>
      </c>
      <c r="V99" s="736">
        <v>6.0</v>
      </c>
      <c r="W99" s="731"/>
      <c r="X99" s="737">
        <v>3.0</v>
      </c>
      <c r="Y99" s="736">
        <v>6.0</v>
      </c>
      <c r="Z99" s="736"/>
    </row>
    <row r="100">
      <c r="A100" s="528"/>
      <c r="B100" s="529" t="s">
        <v>217</v>
      </c>
      <c r="C100" s="737"/>
      <c r="D100" s="736"/>
      <c r="E100" s="731"/>
      <c r="F100" s="737"/>
      <c r="G100" s="736"/>
      <c r="H100" s="731"/>
      <c r="I100" s="734"/>
      <c r="J100" s="731"/>
      <c r="K100" s="731"/>
      <c r="L100" s="734"/>
      <c r="M100" s="731"/>
      <c r="N100" s="731"/>
      <c r="O100" s="745">
        <v>1.0</v>
      </c>
      <c r="P100" s="736">
        <v>5.0</v>
      </c>
      <c r="Q100" s="731"/>
      <c r="R100" s="737">
        <v>3.0</v>
      </c>
      <c r="S100" s="736">
        <v>7.0</v>
      </c>
      <c r="T100" s="731"/>
      <c r="U100" s="737">
        <v>2.0</v>
      </c>
      <c r="V100" s="736">
        <v>7.0</v>
      </c>
      <c r="W100" s="731"/>
      <c r="X100" s="737">
        <v>3.0</v>
      </c>
      <c r="Y100" s="736">
        <v>7.0</v>
      </c>
      <c r="Z100" s="736"/>
    </row>
    <row r="101">
      <c r="A101" s="529" t="s">
        <v>140</v>
      </c>
      <c r="B101" s="529" t="s">
        <v>221</v>
      </c>
      <c r="C101" s="737"/>
      <c r="D101" s="736"/>
      <c r="E101" s="731"/>
      <c r="F101" s="737"/>
      <c r="G101" s="736"/>
      <c r="H101" s="731"/>
      <c r="I101" s="734"/>
      <c r="J101" s="731"/>
      <c r="K101" s="731"/>
      <c r="L101" s="734"/>
      <c r="M101" s="731"/>
      <c r="N101" s="731"/>
      <c r="O101" s="745">
        <v>1.0</v>
      </c>
      <c r="P101" s="736">
        <v>4.0</v>
      </c>
      <c r="Q101" s="731"/>
      <c r="R101" s="737">
        <v>2.0</v>
      </c>
      <c r="S101" s="736">
        <v>5.0</v>
      </c>
      <c r="T101" s="731"/>
      <c r="U101" s="737">
        <v>1.0</v>
      </c>
      <c r="V101" s="736">
        <v>5.0</v>
      </c>
      <c r="W101" s="731"/>
      <c r="X101" s="737">
        <v>3.0</v>
      </c>
      <c r="Y101" s="736">
        <v>5.0</v>
      </c>
      <c r="Z101" s="736"/>
    </row>
    <row r="102">
      <c r="A102" s="528"/>
      <c r="B102" s="529" t="s">
        <v>219</v>
      </c>
      <c r="C102" s="737"/>
      <c r="D102" s="736"/>
      <c r="E102" s="731"/>
      <c r="F102" s="737"/>
      <c r="G102" s="736"/>
      <c r="H102" s="731"/>
      <c r="I102" s="734"/>
      <c r="J102" s="731"/>
      <c r="K102" s="731"/>
      <c r="L102" s="734"/>
      <c r="M102" s="731"/>
      <c r="N102" s="731"/>
      <c r="O102" s="745">
        <v>1.0</v>
      </c>
      <c r="P102" s="736">
        <v>5.0</v>
      </c>
      <c r="Q102" s="731"/>
      <c r="R102" s="737">
        <v>3.0</v>
      </c>
      <c r="S102" s="736">
        <v>6.0</v>
      </c>
      <c r="T102" s="731"/>
      <c r="U102" s="737">
        <v>1.0</v>
      </c>
      <c r="V102" s="736">
        <v>6.0</v>
      </c>
      <c r="W102" s="731"/>
      <c r="X102" s="737">
        <v>3.0</v>
      </c>
      <c r="Y102" s="736">
        <v>6.0</v>
      </c>
      <c r="Z102" s="736"/>
    </row>
    <row r="103">
      <c r="A103" s="528"/>
      <c r="B103" s="529" t="s">
        <v>221</v>
      </c>
      <c r="C103" s="737"/>
      <c r="D103" s="736"/>
      <c r="E103" s="731"/>
      <c r="F103" s="737"/>
      <c r="G103" s="736"/>
      <c r="H103" s="731"/>
      <c r="I103" s="734"/>
      <c r="J103" s="731"/>
      <c r="K103" s="731"/>
      <c r="L103" s="734"/>
      <c r="M103" s="731"/>
      <c r="N103" s="731"/>
      <c r="O103" s="745">
        <v>1.0</v>
      </c>
      <c r="P103" s="736">
        <v>4.0</v>
      </c>
      <c r="Q103" s="731"/>
      <c r="R103" s="737">
        <v>2.0</v>
      </c>
      <c r="S103" s="736">
        <v>5.0</v>
      </c>
      <c r="T103" s="731"/>
      <c r="U103" s="737">
        <v>1.0</v>
      </c>
      <c r="V103" s="736">
        <v>5.0</v>
      </c>
      <c r="W103" s="731"/>
      <c r="X103" s="737">
        <v>2.0</v>
      </c>
      <c r="Y103" s="736">
        <v>5.0</v>
      </c>
      <c r="Z103" s="736"/>
    </row>
    <row r="104">
      <c r="A104" s="529" t="s">
        <v>148</v>
      </c>
      <c r="B104" s="529" t="s">
        <v>219</v>
      </c>
      <c r="C104" s="737"/>
      <c r="D104" s="736"/>
      <c r="E104" s="731"/>
      <c r="F104" s="737"/>
      <c r="G104" s="736"/>
      <c r="H104" s="731"/>
      <c r="I104" s="734"/>
      <c r="J104" s="731"/>
      <c r="K104" s="731"/>
      <c r="L104" s="734"/>
      <c r="M104" s="731"/>
      <c r="N104" s="731"/>
      <c r="O104" s="745">
        <v>1.0</v>
      </c>
      <c r="P104" s="736">
        <v>4.0</v>
      </c>
      <c r="Q104" s="731"/>
      <c r="R104" s="737">
        <v>2.0</v>
      </c>
      <c r="S104" s="736">
        <v>5.0</v>
      </c>
      <c r="T104" s="731"/>
      <c r="U104" s="737">
        <v>1.0</v>
      </c>
      <c r="V104" s="736">
        <v>5.0</v>
      </c>
      <c r="W104" s="731"/>
      <c r="X104" s="737">
        <v>2.0</v>
      </c>
      <c r="Y104" s="736">
        <v>5.0</v>
      </c>
      <c r="Z104" s="736"/>
    </row>
    <row r="105">
      <c r="A105" s="528"/>
      <c r="B105" s="529" t="s">
        <v>217</v>
      </c>
      <c r="C105" s="737"/>
      <c r="D105" s="736"/>
      <c r="E105" s="731"/>
      <c r="F105" s="737"/>
      <c r="G105" s="736"/>
      <c r="H105" s="731"/>
      <c r="I105" s="734"/>
      <c r="J105" s="731"/>
      <c r="K105" s="731"/>
      <c r="L105" s="734"/>
      <c r="M105" s="731"/>
      <c r="N105" s="731"/>
      <c r="O105" s="745">
        <v>1.0</v>
      </c>
      <c r="P105" s="736">
        <v>4.0</v>
      </c>
      <c r="Q105" s="731"/>
      <c r="R105" s="737">
        <v>2.0</v>
      </c>
      <c r="S105" s="736">
        <v>5.0</v>
      </c>
      <c r="T105" s="731"/>
      <c r="U105" s="737">
        <v>1.0</v>
      </c>
      <c r="V105" s="736">
        <v>5.0</v>
      </c>
      <c r="W105" s="731"/>
      <c r="X105" s="737">
        <v>3.0</v>
      </c>
      <c r="Y105" s="736">
        <v>5.0</v>
      </c>
      <c r="Z105" s="736"/>
    </row>
    <row r="106">
      <c r="A106" s="528"/>
      <c r="B106" s="529" t="s">
        <v>221</v>
      </c>
      <c r="C106" s="737"/>
      <c r="D106" s="736"/>
      <c r="E106" s="731"/>
      <c r="F106" s="737"/>
      <c r="G106" s="736"/>
      <c r="H106" s="731"/>
      <c r="I106" s="734"/>
      <c r="J106" s="731"/>
      <c r="K106" s="731"/>
      <c r="L106" s="734"/>
      <c r="M106" s="731"/>
      <c r="N106" s="731"/>
      <c r="O106" s="745">
        <v>1.0</v>
      </c>
      <c r="P106" s="736">
        <v>4.0</v>
      </c>
      <c r="Q106" s="731"/>
      <c r="R106" s="737">
        <v>3.0</v>
      </c>
      <c r="S106" s="736">
        <v>6.0</v>
      </c>
      <c r="T106" s="731"/>
      <c r="U106" s="737">
        <v>1.0</v>
      </c>
      <c r="V106" s="736">
        <v>5.0</v>
      </c>
      <c r="W106" s="731"/>
      <c r="X106" s="737">
        <v>3.0</v>
      </c>
      <c r="Y106" s="736">
        <v>6.0</v>
      </c>
      <c r="Z106" s="736"/>
    </row>
    <row r="107">
      <c r="A107" s="529" t="s">
        <v>386</v>
      </c>
      <c r="B107" s="529" t="s">
        <v>219</v>
      </c>
      <c r="C107" s="737"/>
      <c r="D107" s="736"/>
      <c r="E107" s="731"/>
      <c r="F107" s="737"/>
      <c r="G107" s="736"/>
      <c r="H107" s="731"/>
      <c r="I107" s="734"/>
      <c r="J107" s="731"/>
      <c r="K107" s="731"/>
      <c r="L107" s="734"/>
      <c r="M107" s="731"/>
      <c r="N107" s="731"/>
      <c r="O107" s="745">
        <v>1.0</v>
      </c>
      <c r="P107" s="736">
        <v>5.0</v>
      </c>
      <c r="Q107" s="731"/>
      <c r="R107" s="737">
        <v>3.0</v>
      </c>
      <c r="S107" s="736">
        <v>6.0</v>
      </c>
      <c r="T107" s="731"/>
      <c r="U107" s="737">
        <v>1.0</v>
      </c>
      <c r="V107" s="736">
        <v>6.0</v>
      </c>
      <c r="W107" s="731"/>
      <c r="X107" s="737">
        <v>3.0</v>
      </c>
      <c r="Y107" s="736">
        <v>6.0</v>
      </c>
      <c r="Z107" s="736"/>
    </row>
    <row r="108">
      <c r="A108" s="528"/>
      <c r="B108" s="529" t="s">
        <v>217</v>
      </c>
      <c r="C108" s="737"/>
      <c r="D108" s="736"/>
      <c r="E108" s="731"/>
      <c r="F108" s="737"/>
      <c r="G108" s="736"/>
      <c r="H108" s="731"/>
      <c r="I108" s="734"/>
      <c r="J108" s="731"/>
      <c r="K108" s="731"/>
      <c r="L108" s="734"/>
      <c r="M108" s="731"/>
      <c r="N108" s="731"/>
      <c r="O108" s="745">
        <v>1.0</v>
      </c>
      <c r="P108" s="736">
        <v>5.0</v>
      </c>
      <c r="Q108" s="731"/>
      <c r="R108" s="737">
        <v>3.0</v>
      </c>
      <c r="S108" s="736">
        <v>7.0</v>
      </c>
      <c r="T108" s="731"/>
      <c r="U108" s="737">
        <v>2.0</v>
      </c>
      <c r="V108" s="736">
        <v>7.0</v>
      </c>
      <c r="W108" s="731"/>
      <c r="X108" s="737">
        <v>3.0</v>
      </c>
      <c r="Y108" s="736">
        <v>7.0</v>
      </c>
      <c r="Z108" s="736"/>
    </row>
    <row r="109">
      <c r="A109" s="528"/>
      <c r="B109" s="529" t="s">
        <v>221</v>
      </c>
      <c r="C109" s="737"/>
      <c r="D109" s="736"/>
      <c r="E109" s="731"/>
      <c r="F109" s="737"/>
      <c r="G109" s="736"/>
      <c r="H109" s="731"/>
      <c r="I109" s="734"/>
      <c r="J109" s="731"/>
      <c r="K109" s="731"/>
      <c r="L109" s="734"/>
      <c r="M109" s="731"/>
      <c r="N109" s="731"/>
      <c r="O109" s="745">
        <v>1.0</v>
      </c>
      <c r="P109" s="736">
        <v>9.0</v>
      </c>
      <c r="Q109" s="731"/>
      <c r="R109" s="737">
        <v>5.0</v>
      </c>
      <c r="S109" s="736">
        <v>12.0</v>
      </c>
      <c r="T109" s="731"/>
      <c r="U109" s="737">
        <v>2.0</v>
      </c>
      <c r="V109" s="736">
        <v>12.0</v>
      </c>
      <c r="W109" s="731"/>
      <c r="X109" s="737">
        <v>5.0</v>
      </c>
      <c r="Y109" s="736">
        <v>12.0</v>
      </c>
      <c r="Z109" s="736"/>
    </row>
    <row r="110">
      <c r="A110" s="529" t="s">
        <v>387</v>
      </c>
      <c r="B110" s="529" t="s">
        <v>219</v>
      </c>
      <c r="C110" s="737"/>
      <c r="D110" s="736"/>
      <c r="E110" s="731"/>
      <c r="F110" s="737"/>
      <c r="G110" s="736"/>
      <c r="H110" s="731"/>
      <c r="I110" s="734"/>
      <c r="J110" s="731"/>
      <c r="K110" s="731"/>
      <c r="L110" s="734"/>
      <c r="M110" s="731"/>
      <c r="N110" s="731"/>
      <c r="O110" s="745">
        <v>1.0</v>
      </c>
      <c r="P110" s="736">
        <v>10.0</v>
      </c>
      <c r="Q110" s="731"/>
      <c r="R110" s="737">
        <v>6.0</v>
      </c>
      <c r="S110" s="736">
        <v>13.0</v>
      </c>
      <c r="T110" s="731"/>
      <c r="U110" s="737">
        <v>3.0</v>
      </c>
      <c r="V110" s="736">
        <v>13.0</v>
      </c>
      <c r="W110" s="731"/>
      <c r="X110" s="737">
        <v>6.0</v>
      </c>
      <c r="Y110" s="736">
        <v>13.0</v>
      </c>
      <c r="Z110" s="736"/>
    </row>
    <row r="111">
      <c r="A111" s="528"/>
      <c r="B111" s="529" t="s">
        <v>217</v>
      </c>
      <c r="C111" s="737"/>
      <c r="D111" s="736"/>
      <c r="E111" s="731"/>
      <c r="F111" s="737"/>
      <c r="G111" s="736"/>
      <c r="H111" s="731"/>
      <c r="I111" s="734"/>
      <c r="J111" s="731"/>
      <c r="K111" s="731"/>
      <c r="L111" s="734"/>
      <c r="M111" s="731"/>
      <c r="N111" s="731"/>
      <c r="O111" s="745">
        <v>1.0</v>
      </c>
      <c r="P111" s="736">
        <v>11.0</v>
      </c>
      <c r="Q111" s="731"/>
      <c r="R111" s="737">
        <v>6.0</v>
      </c>
      <c r="S111" s="736">
        <v>14.0</v>
      </c>
      <c r="T111" s="731"/>
      <c r="U111" s="737">
        <v>3.0</v>
      </c>
      <c r="V111" s="736">
        <v>14.0</v>
      </c>
      <c r="W111" s="731"/>
      <c r="X111" s="737">
        <v>6.0</v>
      </c>
      <c r="Y111" s="736">
        <v>14.0</v>
      </c>
      <c r="Z111" s="736"/>
    </row>
    <row r="112">
      <c r="A112" s="528"/>
      <c r="B112" s="529" t="s">
        <v>221</v>
      </c>
      <c r="C112" s="737"/>
      <c r="D112" s="736"/>
      <c r="E112" s="731"/>
      <c r="F112" s="737"/>
      <c r="G112" s="736"/>
      <c r="H112" s="731"/>
      <c r="I112" s="734"/>
      <c r="J112" s="731"/>
      <c r="K112" s="731"/>
      <c r="L112" s="734"/>
      <c r="M112" s="731"/>
      <c r="N112" s="731"/>
      <c r="O112" s="745">
        <v>1.0</v>
      </c>
      <c r="P112" s="736">
        <v>11.0</v>
      </c>
      <c r="Q112" s="731"/>
      <c r="R112" s="737">
        <v>6.0</v>
      </c>
      <c r="S112" s="736">
        <v>15.0</v>
      </c>
      <c r="T112" s="731"/>
      <c r="U112" s="737">
        <v>3.0</v>
      </c>
      <c r="V112" s="736">
        <v>15.0</v>
      </c>
      <c r="W112" s="731"/>
      <c r="X112" s="737">
        <v>7.0</v>
      </c>
      <c r="Y112" s="736">
        <v>15.0</v>
      </c>
      <c r="Z112" s="736"/>
    </row>
    <row r="113">
      <c r="A113" s="529" t="s">
        <v>388</v>
      </c>
      <c r="B113" s="529" t="s">
        <v>219</v>
      </c>
      <c r="C113" s="737"/>
      <c r="D113" s="736"/>
      <c r="E113" s="731"/>
      <c r="F113" s="737"/>
      <c r="G113" s="736"/>
      <c r="H113" s="731"/>
      <c r="I113" s="734"/>
      <c r="J113" s="731"/>
      <c r="K113" s="731"/>
      <c r="L113" s="734"/>
      <c r="M113" s="731"/>
      <c r="N113" s="731"/>
      <c r="O113" s="745">
        <v>1.0</v>
      </c>
      <c r="P113" s="736">
        <v>13.0</v>
      </c>
      <c r="Q113" s="731"/>
      <c r="R113" s="737">
        <v>7.0</v>
      </c>
      <c r="S113" s="736">
        <v>16.0</v>
      </c>
      <c r="T113" s="731"/>
      <c r="U113" s="737">
        <v>3.0</v>
      </c>
      <c r="V113" s="736">
        <v>16.0</v>
      </c>
      <c r="W113" s="731"/>
      <c r="X113" s="737">
        <v>7.0</v>
      </c>
      <c r="Y113" s="736">
        <v>16.0</v>
      </c>
      <c r="Z113" s="736"/>
    </row>
    <row r="114">
      <c r="A114" s="528"/>
      <c r="B114" s="529" t="s">
        <v>217</v>
      </c>
      <c r="C114" s="737"/>
      <c r="D114" s="736"/>
      <c r="E114" s="731"/>
      <c r="F114" s="737"/>
      <c r="G114" s="736"/>
      <c r="H114" s="731"/>
      <c r="I114" s="734"/>
      <c r="J114" s="731"/>
      <c r="K114" s="731"/>
      <c r="L114" s="734"/>
      <c r="M114" s="731"/>
      <c r="N114" s="731"/>
      <c r="O114" s="745">
        <v>1.0</v>
      </c>
      <c r="P114" s="736">
        <v>14.0</v>
      </c>
      <c r="Q114" s="731"/>
      <c r="R114" s="737">
        <v>7.0</v>
      </c>
      <c r="S114" s="736">
        <v>19.0</v>
      </c>
      <c r="T114" s="731"/>
      <c r="U114" s="737">
        <v>3.0</v>
      </c>
      <c r="V114" s="736">
        <v>18.0</v>
      </c>
      <c r="W114" s="731"/>
      <c r="X114" s="737">
        <v>8.0</v>
      </c>
      <c r="Y114" s="736">
        <v>19.0</v>
      </c>
      <c r="Z114" s="731"/>
    </row>
    <row r="115">
      <c r="A115" s="529" t="s">
        <v>167</v>
      </c>
      <c r="B115" s="529" t="s">
        <v>221</v>
      </c>
      <c r="C115" s="737"/>
      <c r="D115" s="736"/>
      <c r="E115" s="731"/>
      <c r="F115" s="737"/>
      <c r="G115" s="736"/>
      <c r="H115" s="731"/>
      <c r="I115" s="734"/>
      <c r="J115" s="731"/>
      <c r="K115" s="731"/>
      <c r="L115" s="734"/>
      <c r="M115" s="731"/>
      <c r="N115" s="731"/>
      <c r="O115" s="745">
        <v>1.0</v>
      </c>
      <c r="P115" s="736">
        <v>4.0</v>
      </c>
      <c r="Q115" s="731"/>
      <c r="R115" s="737">
        <v>2.0</v>
      </c>
      <c r="S115" s="736">
        <v>5.0</v>
      </c>
      <c r="T115" s="731"/>
      <c r="U115" s="737">
        <v>1.0</v>
      </c>
      <c r="V115" s="736">
        <v>5.0</v>
      </c>
      <c r="W115" s="731"/>
      <c r="X115" s="737">
        <v>3.0</v>
      </c>
      <c r="Y115" s="736">
        <v>5.0</v>
      </c>
      <c r="Z115" s="731"/>
    </row>
    <row r="116">
      <c r="A116" s="528"/>
      <c r="B116" s="529" t="s">
        <v>219</v>
      </c>
      <c r="C116" s="737"/>
      <c r="D116" s="736"/>
      <c r="E116" s="731"/>
      <c r="F116" s="737"/>
      <c r="G116" s="736"/>
      <c r="H116" s="731"/>
      <c r="I116" s="734"/>
      <c r="J116" s="731"/>
      <c r="K116" s="731"/>
      <c r="L116" s="734"/>
      <c r="M116" s="731"/>
      <c r="N116" s="731"/>
      <c r="O116" s="745">
        <v>1.0</v>
      </c>
      <c r="P116" s="736">
        <v>5.0</v>
      </c>
      <c r="Q116" s="731"/>
      <c r="R116" s="737">
        <v>3.0</v>
      </c>
      <c r="S116" s="736">
        <v>6.0</v>
      </c>
      <c r="T116" s="731"/>
      <c r="U116" s="737">
        <v>1.0</v>
      </c>
      <c r="V116" s="736">
        <v>6.0</v>
      </c>
      <c r="W116" s="731"/>
      <c r="X116" s="737">
        <v>3.0</v>
      </c>
      <c r="Y116" s="736">
        <v>6.0</v>
      </c>
      <c r="Z116" s="731"/>
    </row>
    <row r="117">
      <c r="A117" s="529" t="s">
        <v>389</v>
      </c>
      <c r="B117" s="529" t="s">
        <v>221</v>
      </c>
      <c r="C117" s="737"/>
      <c r="D117" s="736"/>
      <c r="E117" s="731"/>
      <c r="F117" s="737"/>
      <c r="G117" s="736"/>
      <c r="H117" s="731"/>
      <c r="I117" s="734"/>
      <c r="J117" s="731"/>
      <c r="K117" s="731"/>
      <c r="L117" s="734"/>
      <c r="M117" s="731"/>
      <c r="N117" s="731"/>
      <c r="O117" s="745">
        <v>1.0</v>
      </c>
      <c r="P117" s="736">
        <v>5.0</v>
      </c>
      <c r="Q117" s="731"/>
      <c r="R117" s="737">
        <v>3.0</v>
      </c>
      <c r="S117" s="736">
        <v>7.0</v>
      </c>
      <c r="T117" s="731"/>
      <c r="U117" s="737">
        <v>1.0</v>
      </c>
      <c r="V117" s="736">
        <v>6.0</v>
      </c>
      <c r="W117" s="731"/>
      <c r="X117" s="737">
        <v>3.0</v>
      </c>
      <c r="Y117" s="736">
        <v>7.0</v>
      </c>
      <c r="Z117" s="731"/>
    </row>
    <row r="118">
      <c r="A118" s="528"/>
      <c r="B118" s="529" t="s">
        <v>219</v>
      </c>
      <c r="C118" s="737"/>
      <c r="D118" s="736"/>
      <c r="E118" s="731"/>
      <c r="F118" s="737"/>
      <c r="G118" s="736"/>
      <c r="H118" s="731"/>
      <c r="I118" s="734"/>
      <c r="J118" s="731"/>
      <c r="K118" s="731"/>
      <c r="L118" s="734"/>
      <c r="M118" s="731"/>
      <c r="N118" s="731"/>
      <c r="O118" s="745">
        <v>1.0</v>
      </c>
      <c r="P118" s="736">
        <v>5.0</v>
      </c>
      <c r="Q118" s="731"/>
      <c r="R118" s="737">
        <v>3.0</v>
      </c>
      <c r="S118" s="736">
        <v>7.0</v>
      </c>
      <c r="T118" s="731"/>
      <c r="U118" s="737">
        <v>2.0</v>
      </c>
      <c r="V118" s="736">
        <v>7.0</v>
      </c>
      <c r="W118" s="731"/>
      <c r="X118" s="737">
        <v>3.0</v>
      </c>
      <c r="Y118" s="736">
        <v>7.0</v>
      </c>
      <c r="Z118" s="731"/>
    </row>
    <row r="119">
      <c r="A119" s="529" t="s">
        <v>294</v>
      </c>
      <c r="B119" s="529" t="s">
        <v>221</v>
      </c>
      <c r="C119" s="737"/>
      <c r="D119" s="736"/>
      <c r="E119" s="731"/>
      <c r="F119" s="737"/>
      <c r="G119" s="736"/>
      <c r="H119" s="731"/>
      <c r="I119" s="734"/>
      <c r="J119" s="731"/>
      <c r="K119" s="731"/>
      <c r="L119" s="734"/>
      <c r="M119" s="731"/>
      <c r="N119" s="731"/>
      <c r="O119" s="745">
        <v>1.0</v>
      </c>
      <c r="P119" s="736">
        <v>4.0</v>
      </c>
      <c r="Q119" s="731"/>
      <c r="R119" s="737">
        <v>2.0</v>
      </c>
      <c r="S119" s="736">
        <v>5.0</v>
      </c>
      <c r="T119" s="731"/>
      <c r="U119" s="737">
        <v>1.0</v>
      </c>
      <c r="V119" s="736">
        <v>5.0</v>
      </c>
      <c r="W119" s="731"/>
      <c r="X119" s="737">
        <v>3.0</v>
      </c>
      <c r="Y119" s="736">
        <v>5.0</v>
      </c>
      <c r="Z119" s="731"/>
    </row>
    <row r="120">
      <c r="A120" s="528"/>
      <c r="B120" s="529" t="s">
        <v>219</v>
      </c>
      <c r="C120" s="737"/>
      <c r="D120" s="736"/>
      <c r="E120" s="731"/>
      <c r="F120" s="737"/>
      <c r="G120" s="736"/>
      <c r="H120" s="731"/>
      <c r="I120" s="734"/>
      <c r="J120" s="731"/>
      <c r="K120" s="731"/>
      <c r="L120" s="734"/>
      <c r="M120" s="731"/>
      <c r="N120" s="731"/>
      <c r="O120" s="745">
        <v>1.0</v>
      </c>
      <c r="P120" s="736">
        <v>4.0</v>
      </c>
      <c r="Q120" s="731"/>
      <c r="R120" s="737">
        <v>3.0</v>
      </c>
      <c r="S120" s="736">
        <v>6.0</v>
      </c>
      <c r="T120" s="731"/>
      <c r="U120" s="737">
        <v>1.0</v>
      </c>
      <c r="V120" s="736">
        <v>6.0</v>
      </c>
      <c r="W120" s="731"/>
      <c r="X120" s="737">
        <v>3.0</v>
      </c>
      <c r="Y120" s="736">
        <v>6.0</v>
      </c>
      <c r="Z120" s="731"/>
    </row>
    <row r="121">
      <c r="A121" s="529" t="s">
        <v>390</v>
      </c>
      <c r="B121" s="529" t="s">
        <v>221</v>
      </c>
      <c r="C121" s="737"/>
      <c r="D121" s="736"/>
      <c r="E121" s="731"/>
      <c r="F121" s="737"/>
      <c r="G121" s="736"/>
      <c r="H121" s="731"/>
      <c r="I121" s="734"/>
      <c r="J121" s="731"/>
      <c r="K121" s="731"/>
      <c r="L121" s="734"/>
      <c r="M121" s="731"/>
      <c r="N121" s="731"/>
      <c r="O121" s="745">
        <v>1.0</v>
      </c>
      <c r="P121" s="736">
        <v>5.0</v>
      </c>
      <c r="Q121" s="731"/>
      <c r="R121" s="737">
        <v>3.0</v>
      </c>
      <c r="S121" s="736">
        <v>6.0</v>
      </c>
      <c r="T121" s="731"/>
      <c r="U121" s="737">
        <v>1.0</v>
      </c>
      <c r="V121" s="736">
        <v>6.0</v>
      </c>
      <c r="W121" s="731"/>
      <c r="X121" s="737">
        <v>3.0</v>
      </c>
      <c r="Y121" s="736">
        <v>6.0</v>
      </c>
      <c r="Z121" s="731"/>
    </row>
    <row r="122">
      <c r="A122" s="528"/>
      <c r="B122" s="529" t="s">
        <v>219</v>
      </c>
      <c r="C122" s="737"/>
      <c r="D122" s="736"/>
      <c r="E122" s="731"/>
      <c r="F122" s="737"/>
      <c r="G122" s="736"/>
      <c r="H122" s="731"/>
      <c r="I122" s="734"/>
      <c r="J122" s="731"/>
      <c r="K122" s="731"/>
      <c r="L122" s="734"/>
      <c r="M122" s="731"/>
      <c r="N122" s="731"/>
      <c r="O122" s="745">
        <v>1.0</v>
      </c>
      <c r="P122" s="736">
        <v>5.0</v>
      </c>
      <c r="Q122" s="731"/>
      <c r="R122" s="737">
        <v>3.0</v>
      </c>
      <c r="S122" s="736">
        <v>7.0</v>
      </c>
      <c r="T122" s="731"/>
      <c r="U122" s="737">
        <v>2.0</v>
      </c>
      <c r="V122" s="736">
        <v>7.0</v>
      </c>
      <c r="W122" s="731"/>
      <c r="X122" s="737">
        <v>3.0</v>
      </c>
      <c r="Y122" s="736">
        <v>7.0</v>
      </c>
      <c r="Z122" s="731"/>
    </row>
    <row r="123">
      <c r="A123" s="529" t="s">
        <v>170</v>
      </c>
      <c r="B123" s="529" t="s">
        <v>221</v>
      </c>
      <c r="C123" s="737"/>
      <c r="D123" s="736"/>
      <c r="E123" s="731"/>
      <c r="F123" s="737"/>
      <c r="G123" s="736"/>
      <c r="H123" s="731"/>
      <c r="I123" s="734"/>
      <c r="J123" s="731"/>
      <c r="K123" s="731"/>
      <c r="L123" s="734"/>
      <c r="M123" s="731"/>
      <c r="N123" s="731"/>
      <c r="O123" s="745">
        <v>1.0</v>
      </c>
      <c r="P123" s="736">
        <v>4.0</v>
      </c>
      <c r="Q123" s="731"/>
      <c r="R123" s="737">
        <v>2.0</v>
      </c>
      <c r="S123" s="736">
        <v>5.0</v>
      </c>
      <c r="T123" s="731"/>
      <c r="U123" s="737">
        <v>1.0</v>
      </c>
      <c r="V123" s="736">
        <v>5.0</v>
      </c>
      <c r="W123" s="731"/>
      <c r="X123" s="737">
        <v>3.0</v>
      </c>
      <c r="Y123" s="736">
        <v>5.0</v>
      </c>
      <c r="Z123" s="731"/>
    </row>
    <row r="124">
      <c r="A124" s="528"/>
      <c r="B124" s="529" t="s">
        <v>219</v>
      </c>
      <c r="C124" s="737"/>
      <c r="D124" s="736"/>
      <c r="E124" s="731"/>
      <c r="F124" s="737"/>
      <c r="G124" s="736"/>
      <c r="H124" s="731"/>
      <c r="I124" s="734"/>
      <c r="J124" s="731"/>
      <c r="K124" s="731"/>
      <c r="L124" s="734"/>
      <c r="M124" s="731"/>
      <c r="N124" s="731"/>
      <c r="O124" s="745">
        <v>1.0</v>
      </c>
      <c r="P124" s="736">
        <v>5.0</v>
      </c>
      <c r="Q124" s="731"/>
      <c r="R124" s="737">
        <v>3.0</v>
      </c>
      <c r="S124" s="736">
        <v>6.0</v>
      </c>
      <c r="T124" s="731"/>
      <c r="U124" s="737">
        <v>1.0</v>
      </c>
      <c r="V124" s="736">
        <v>6.0</v>
      </c>
      <c r="W124" s="731"/>
      <c r="X124" s="737">
        <v>3.0</v>
      </c>
      <c r="Y124" s="736">
        <v>6.0</v>
      </c>
      <c r="Z124" s="731"/>
    </row>
    <row r="125">
      <c r="A125" s="529" t="s">
        <v>170</v>
      </c>
      <c r="B125" s="529" t="s">
        <v>221</v>
      </c>
      <c r="C125" s="737"/>
      <c r="D125" s="736"/>
      <c r="E125" s="731"/>
      <c r="F125" s="737"/>
      <c r="G125" s="736"/>
      <c r="H125" s="731"/>
      <c r="I125" s="734"/>
      <c r="J125" s="731"/>
      <c r="K125" s="731"/>
      <c r="L125" s="734"/>
      <c r="M125" s="731"/>
      <c r="N125" s="731"/>
      <c r="O125" s="745">
        <v>1.0</v>
      </c>
      <c r="P125" s="736">
        <v>5.0</v>
      </c>
      <c r="Q125" s="731"/>
      <c r="R125" s="737">
        <v>3.0</v>
      </c>
      <c r="S125" s="736">
        <v>7.0</v>
      </c>
      <c r="T125" s="731"/>
      <c r="U125" s="737">
        <v>1.0</v>
      </c>
      <c r="V125" s="736">
        <v>6.0</v>
      </c>
      <c r="W125" s="731"/>
      <c r="X125" s="737">
        <v>3.0</v>
      </c>
      <c r="Y125" s="736">
        <v>7.0</v>
      </c>
      <c r="Z125" s="731"/>
    </row>
    <row r="126">
      <c r="A126" s="528"/>
      <c r="B126" s="529" t="s">
        <v>219</v>
      </c>
      <c r="C126" s="737"/>
      <c r="D126" s="736"/>
      <c r="E126" s="731"/>
      <c r="F126" s="737"/>
      <c r="G126" s="736"/>
      <c r="H126" s="731"/>
      <c r="I126" s="734"/>
      <c r="J126" s="731"/>
      <c r="K126" s="731"/>
      <c r="L126" s="734"/>
      <c r="M126" s="731"/>
      <c r="N126" s="731"/>
      <c r="O126" s="745">
        <v>1.0</v>
      </c>
      <c r="P126" s="736">
        <v>5.0</v>
      </c>
      <c r="Q126" s="731"/>
      <c r="R126" s="737">
        <v>3.0</v>
      </c>
      <c r="S126" s="736">
        <v>7.0</v>
      </c>
      <c r="T126" s="731"/>
      <c r="U126" s="737">
        <v>2.0</v>
      </c>
      <c r="V126" s="736">
        <v>7.0</v>
      </c>
      <c r="W126" s="731"/>
      <c r="X126" s="737">
        <v>3.0</v>
      </c>
      <c r="Y126" s="736">
        <v>7.0</v>
      </c>
      <c r="Z126" s="731"/>
    </row>
    <row r="127">
      <c r="A127" s="529" t="s">
        <v>391</v>
      </c>
      <c r="B127" s="529" t="s">
        <v>219</v>
      </c>
      <c r="C127" s="737"/>
      <c r="D127" s="736"/>
      <c r="E127" s="731"/>
      <c r="F127" s="737"/>
      <c r="G127" s="736"/>
      <c r="H127" s="731"/>
      <c r="I127" s="737">
        <v>1.0</v>
      </c>
      <c r="J127" s="736">
        <v>6.0</v>
      </c>
      <c r="K127" s="731"/>
      <c r="L127" s="737">
        <v>3.0</v>
      </c>
      <c r="M127" s="736">
        <v>6.0</v>
      </c>
      <c r="N127" s="731"/>
      <c r="O127" s="745"/>
      <c r="P127" s="736"/>
      <c r="Q127" s="731"/>
      <c r="R127" s="737"/>
      <c r="S127" s="736"/>
      <c r="T127" s="731"/>
      <c r="U127" s="737">
        <v>1.0</v>
      </c>
      <c r="V127" s="736">
        <v>6.0</v>
      </c>
      <c r="W127" s="731"/>
      <c r="X127" s="737">
        <v>3.0</v>
      </c>
      <c r="Y127" s="736">
        <v>6.0</v>
      </c>
      <c r="Z127" s="736"/>
    </row>
    <row r="128">
      <c r="A128" s="529" t="s">
        <v>392</v>
      </c>
      <c r="B128" s="529" t="s">
        <v>219</v>
      </c>
      <c r="C128" s="737"/>
      <c r="D128" s="736"/>
      <c r="E128" s="731"/>
      <c r="F128" s="737"/>
      <c r="G128" s="736"/>
      <c r="H128" s="731"/>
      <c r="I128" s="737">
        <v>2.0</v>
      </c>
      <c r="J128" s="736">
        <v>8.0</v>
      </c>
      <c r="K128" s="731"/>
      <c r="L128" s="737">
        <v>3.0</v>
      </c>
      <c r="M128" s="736">
        <v>8.0</v>
      </c>
      <c r="N128" s="731"/>
      <c r="O128" s="745"/>
      <c r="P128" s="736"/>
      <c r="Q128" s="731"/>
      <c r="R128" s="737"/>
      <c r="S128" s="736">
        <v>7.0</v>
      </c>
      <c r="T128" s="731"/>
      <c r="U128" s="737">
        <v>2.0</v>
      </c>
      <c r="V128" s="736">
        <v>7.0</v>
      </c>
      <c r="W128" s="731"/>
      <c r="X128" s="737">
        <v>3.0</v>
      </c>
      <c r="Y128" s="736">
        <v>7.0</v>
      </c>
      <c r="Z128" s="736"/>
    </row>
    <row r="129">
      <c r="A129" s="529" t="s">
        <v>393</v>
      </c>
      <c r="B129" s="529" t="s">
        <v>217</v>
      </c>
      <c r="C129" s="737"/>
      <c r="D129" s="736"/>
      <c r="E129" s="731"/>
      <c r="F129" s="737"/>
      <c r="G129" s="736"/>
      <c r="H129" s="731"/>
      <c r="I129" s="737"/>
      <c r="J129" s="736"/>
      <c r="K129" s="731"/>
      <c r="L129" s="737"/>
      <c r="M129" s="736"/>
      <c r="N129" s="731"/>
      <c r="O129" s="745"/>
      <c r="P129" s="736"/>
      <c r="Q129" s="731"/>
      <c r="R129" s="737"/>
      <c r="S129" s="736"/>
      <c r="T129" s="731"/>
      <c r="U129" s="737"/>
      <c r="V129" s="736"/>
      <c r="W129" s="731"/>
      <c r="X129" s="737"/>
      <c r="Y129" s="736"/>
      <c r="Z129" s="736"/>
    </row>
    <row r="130">
      <c r="A130" s="529"/>
      <c r="B130" s="529" t="s">
        <v>219</v>
      </c>
      <c r="C130" s="737"/>
      <c r="D130" s="736"/>
      <c r="E130" s="731"/>
      <c r="F130" s="737"/>
      <c r="G130" s="736"/>
      <c r="H130" s="731"/>
      <c r="I130" s="737"/>
      <c r="J130" s="736"/>
      <c r="K130" s="731"/>
      <c r="L130" s="737"/>
      <c r="M130" s="736"/>
      <c r="N130" s="731"/>
      <c r="O130" s="745"/>
      <c r="P130" s="736"/>
      <c r="Q130" s="731"/>
      <c r="R130" s="737"/>
      <c r="S130" s="736"/>
      <c r="T130" s="731"/>
      <c r="U130" s="737"/>
      <c r="V130" s="736"/>
      <c r="W130" s="731"/>
      <c r="X130" s="737"/>
      <c r="Y130" s="736"/>
      <c r="Z130" s="736"/>
    </row>
    <row r="131">
      <c r="A131" s="529" t="s">
        <v>394</v>
      </c>
      <c r="B131" s="529" t="s">
        <v>217</v>
      </c>
      <c r="C131" s="737"/>
      <c r="D131" s="736"/>
      <c r="E131" s="731"/>
      <c r="F131" s="737"/>
      <c r="G131" s="736"/>
      <c r="H131" s="731"/>
      <c r="I131" s="737"/>
      <c r="J131" s="736"/>
      <c r="K131" s="731"/>
      <c r="L131" s="737"/>
      <c r="M131" s="736"/>
      <c r="N131" s="731"/>
      <c r="O131" s="745"/>
      <c r="P131" s="736"/>
      <c r="Q131" s="731"/>
      <c r="R131" s="737"/>
      <c r="S131" s="736"/>
      <c r="T131" s="731"/>
      <c r="U131" s="737"/>
      <c r="V131" s="736"/>
      <c r="W131" s="731"/>
      <c r="X131" s="737"/>
      <c r="Y131" s="736"/>
      <c r="Z131" s="736"/>
    </row>
    <row r="132">
      <c r="A132" s="529"/>
      <c r="B132" s="529" t="s">
        <v>219</v>
      </c>
      <c r="C132" s="737">
        <v>1.0</v>
      </c>
      <c r="D132" s="736">
        <v>6.0</v>
      </c>
      <c r="E132" s="731"/>
      <c r="F132" s="737"/>
      <c r="G132" s="736">
        <v>8.0</v>
      </c>
      <c r="H132" s="731"/>
      <c r="I132" s="737"/>
      <c r="J132" s="736"/>
      <c r="K132" s="731"/>
      <c r="L132" s="737"/>
      <c r="M132" s="736"/>
      <c r="N132" s="731"/>
      <c r="O132" s="745"/>
      <c r="P132" s="736"/>
      <c r="Q132" s="731"/>
      <c r="R132" s="737"/>
      <c r="S132" s="736"/>
      <c r="T132" s="731"/>
      <c r="U132" s="737"/>
      <c r="V132" s="736"/>
      <c r="W132" s="731"/>
      <c r="X132" s="737"/>
      <c r="Y132" s="736"/>
      <c r="Z132" s="736"/>
    </row>
    <row r="133">
      <c r="A133" s="529" t="s">
        <v>176</v>
      </c>
      <c r="B133" s="529" t="s">
        <v>219</v>
      </c>
      <c r="C133" s="737">
        <v>1.0</v>
      </c>
      <c r="D133" s="736"/>
      <c r="E133" s="731"/>
      <c r="F133" s="737"/>
      <c r="G133" s="736"/>
      <c r="H133" s="731"/>
      <c r="I133" s="737">
        <v>1.0</v>
      </c>
      <c r="J133" s="736">
        <v>5.0</v>
      </c>
      <c r="K133" s="731"/>
      <c r="L133" s="737">
        <v>3.0</v>
      </c>
      <c r="M133" s="736">
        <v>5.0</v>
      </c>
      <c r="N133" s="731"/>
      <c r="O133" s="745"/>
      <c r="P133" s="736"/>
      <c r="Q133" s="731"/>
      <c r="R133" s="737"/>
      <c r="S133" s="736"/>
      <c r="T133" s="731"/>
      <c r="U133" s="737">
        <v>1.0</v>
      </c>
      <c r="V133" s="736">
        <v>5.0</v>
      </c>
      <c r="W133" s="731"/>
      <c r="X133" s="737">
        <v>2.0</v>
      </c>
      <c r="Y133" s="736">
        <v>5.0</v>
      </c>
      <c r="Z133" s="736"/>
    </row>
    <row r="134">
      <c r="A134" s="529" t="s">
        <v>395</v>
      </c>
      <c r="B134" s="529" t="s">
        <v>219</v>
      </c>
      <c r="C134" s="737">
        <v>1.0</v>
      </c>
      <c r="D134" s="736"/>
      <c r="E134" s="731"/>
      <c r="F134" s="737"/>
      <c r="G134" s="736"/>
      <c r="H134" s="731"/>
      <c r="I134" s="737">
        <v>1.0</v>
      </c>
      <c r="J134" s="736">
        <v>6.0</v>
      </c>
      <c r="K134" s="731"/>
      <c r="L134" s="737">
        <v>3.0</v>
      </c>
      <c r="M134" s="736">
        <v>6.0</v>
      </c>
      <c r="N134" s="731"/>
      <c r="O134" s="745"/>
      <c r="P134" s="736"/>
      <c r="Q134" s="731"/>
      <c r="R134" s="737"/>
      <c r="S134" s="736"/>
      <c r="T134" s="731"/>
      <c r="U134" s="737">
        <v>1.0</v>
      </c>
      <c r="V134" s="736">
        <v>6.0</v>
      </c>
      <c r="W134" s="731"/>
      <c r="X134" s="737">
        <v>3.0</v>
      </c>
      <c r="Y134" s="736">
        <v>6.0</v>
      </c>
      <c r="Z134" s="736"/>
    </row>
    <row r="135">
      <c r="A135" s="529" t="s">
        <v>98</v>
      </c>
      <c r="B135" s="529" t="s">
        <v>219</v>
      </c>
      <c r="C135" s="737">
        <v>1.0</v>
      </c>
      <c r="D135" s="736">
        <v>3.0</v>
      </c>
      <c r="E135" s="731"/>
      <c r="F135" s="737"/>
      <c r="G135" s="736"/>
      <c r="H135" s="731"/>
      <c r="I135" s="737">
        <v>1.0</v>
      </c>
      <c r="J135" s="736">
        <v>4.0</v>
      </c>
      <c r="K135" s="731"/>
      <c r="L135" s="737">
        <v>2.0</v>
      </c>
      <c r="M135" s="736">
        <v>4.0</v>
      </c>
      <c r="N135" s="731"/>
      <c r="O135" s="745"/>
      <c r="P135" s="736"/>
      <c r="Q135" s="731"/>
      <c r="R135" s="737"/>
      <c r="S135" s="736"/>
      <c r="T135" s="731"/>
      <c r="U135" s="737"/>
      <c r="V135" s="736"/>
      <c r="W135" s="731"/>
      <c r="X135" s="737"/>
      <c r="Y135" s="736"/>
      <c r="Z135" s="736"/>
    </row>
    <row r="136">
      <c r="A136" s="529" t="s">
        <v>37</v>
      </c>
      <c r="B136" s="529" t="s">
        <v>219</v>
      </c>
      <c r="C136" s="737"/>
      <c r="D136" s="736"/>
      <c r="E136" s="731"/>
      <c r="F136" s="737"/>
      <c r="G136" s="736"/>
      <c r="H136" s="731"/>
      <c r="I136" s="737">
        <v>2.0</v>
      </c>
      <c r="J136" s="736">
        <v>7.0</v>
      </c>
      <c r="K136" s="731"/>
      <c r="L136" s="737">
        <v>3.0</v>
      </c>
      <c r="M136" s="736">
        <v>7.0</v>
      </c>
      <c r="N136" s="731"/>
      <c r="O136" s="745">
        <v>1.0</v>
      </c>
      <c r="P136" s="736">
        <v>8.0</v>
      </c>
      <c r="Q136" s="731"/>
      <c r="R136" s="737">
        <v>4.0</v>
      </c>
      <c r="S136" s="736">
        <v>10.0</v>
      </c>
      <c r="T136" s="731"/>
      <c r="U136" s="737">
        <v>2.0</v>
      </c>
      <c r="V136" s="736">
        <v>10.0</v>
      </c>
      <c r="W136" s="731"/>
      <c r="X136" s="737">
        <v>5.0</v>
      </c>
      <c r="Y136" s="736">
        <v>10.0</v>
      </c>
      <c r="Z136" s="736"/>
    </row>
    <row r="137">
      <c r="A137" s="528"/>
      <c r="B137" s="529" t="s">
        <v>217</v>
      </c>
      <c r="C137" s="737"/>
      <c r="D137" s="736"/>
      <c r="E137" s="731"/>
      <c r="F137" s="737"/>
      <c r="G137" s="736"/>
      <c r="H137" s="731"/>
      <c r="I137" s="737">
        <v>2.0</v>
      </c>
      <c r="J137" s="736">
        <v>8.0</v>
      </c>
      <c r="K137" s="731"/>
      <c r="L137" s="737">
        <v>3.0</v>
      </c>
      <c r="M137" s="736">
        <v>8.0</v>
      </c>
      <c r="N137" s="731"/>
      <c r="O137" s="745">
        <v>1.0</v>
      </c>
      <c r="P137" s="736">
        <v>8.0</v>
      </c>
      <c r="Q137" s="731"/>
      <c r="R137" s="737">
        <v>5.0</v>
      </c>
      <c r="S137" s="736">
        <v>11.0</v>
      </c>
      <c r="T137" s="731"/>
      <c r="U137" s="737">
        <v>2.0</v>
      </c>
      <c r="V137" s="736">
        <v>11.0</v>
      </c>
      <c r="W137" s="731"/>
      <c r="X137" s="737">
        <v>5.0</v>
      </c>
      <c r="Y137" s="736">
        <v>11.0</v>
      </c>
      <c r="Z137" s="731"/>
    </row>
    <row r="138">
      <c r="A138" s="529" t="s">
        <v>396</v>
      </c>
      <c r="B138" s="529" t="s">
        <v>221</v>
      </c>
      <c r="C138" s="737"/>
      <c r="D138" s="731"/>
      <c r="E138" s="731"/>
      <c r="F138" s="737"/>
      <c r="G138" s="736"/>
      <c r="H138" s="731"/>
      <c r="I138" s="737">
        <v>1.0</v>
      </c>
      <c r="J138" s="736">
        <v>5.0</v>
      </c>
      <c r="K138" s="731"/>
      <c r="L138" s="737">
        <v>2.0</v>
      </c>
      <c r="M138" s="736">
        <v>5.0</v>
      </c>
      <c r="N138" s="731"/>
      <c r="O138" s="745">
        <v>1.0</v>
      </c>
      <c r="P138" s="736">
        <v>6.0</v>
      </c>
      <c r="Q138" s="731"/>
      <c r="R138" s="737">
        <v>3.0</v>
      </c>
      <c r="S138" s="736">
        <v>7.0</v>
      </c>
      <c r="T138" s="731"/>
      <c r="U138" s="737">
        <v>2.0</v>
      </c>
      <c r="V138" s="736">
        <v>7.0</v>
      </c>
      <c r="W138" s="731"/>
      <c r="X138" s="737">
        <v>3.0</v>
      </c>
      <c r="Y138" s="736">
        <v>7.0</v>
      </c>
      <c r="Z138" s="731"/>
    </row>
    <row r="139">
      <c r="A139" s="529"/>
      <c r="B139" s="529" t="s">
        <v>219</v>
      </c>
      <c r="C139" s="737"/>
      <c r="D139" s="736"/>
      <c r="E139" s="731"/>
      <c r="F139" s="737"/>
      <c r="G139" s="736"/>
      <c r="H139" s="731"/>
      <c r="I139" s="737">
        <v>1.0</v>
      </c>
      <c r="J139" s="736">
        <v>5.0</v>
      </c>
      <c r="K139" s="731"/>
      <c r="L139" s="737">
        <v>3.0</v>
      </c>
      <c r="M139" s="736">
        <v>5.0</v>
      </c>
      <c r="N139" s="731"/>
      <c r="O139" s="745">
        <v>1.0</v>
      </c>
      <c r="P139" s="736">
        <v>6.0</v>
      </c>
      <c r="Q139" s="731"/>
      <c r="R139" s="737">
        <v>3.0</v>
      </c>
      <c r="S139" s="736">
        <v>8.0</v>
      </c>
      <c r="T139" s="731"/>
      <c r="U139" s="737">
        <v>2.0</v>
      </c>
      <c r="V139" s="736">
        <v>8.0</v>
      </c>
      <c r="W139" s="731"/>
      <c r="X139" s="737">
        <v>4.0</v>
      </c>
      <c r="Y139" s="736">
        <v>8.0</v>
      </c>
      <c r="Z139" s="736"/>
    </row>
    <row r="140">
      <c r="A140" s="529" t="s">
        <v>397</v>
      </c>
      <c r="B140" s="529" t="s">
        <v>221</v>
      </c>
      <c r="C140" s="737"/>
      <c r="D140" s="731"/>
      <c r="E140" s="731"/>
      <c r="F140" s="737"/>
      <c r="G140" s="736"/>
      <c r="H140" s="731"/>
      <c r="I140" s="737">
        <v>1.0</v>
      </c>
      <c r="J140" s="736">
        <v>5.0</v>
      </c>
      <c r="K140" s="731"/>
      <c r="L140" s="737">
        <v>3.0</v>
      </c>
      <c r="M140" s="736">
        <v>5.0</v>
      </c>
      <c r="N140" s="731"/>
      <c r="O140" s="745">
        <v>1.0</v>
      </c>
      <c r="P140" s="736">
        <v>6.0</v>
      </c>
      <c r="Q140" s="731"/>
      <c r="R140" s="737">
        <v>3.0</v>
      </c>
      <c r="S140" s="736">
        <v>7.0</v>
      </c>
      <c r="T140" s="731"/>
      <c r="U140" s="737">
        <v>2.0</v>
      </c>
      <c r="V140" s="736">
        <v>7.0</v>
      </c>
      <c r="W140" s="731"/>
      <c r="X140" s="737">
        <v>3.0</v>
      </c>
      <c r="Y140" s="736">
        <v>7.0</v>
      </c>
      <c r="Z140" s="736"/>
    </row>
    <row r="141">
      <c r="A141" s="528"/>
      <c r="B141" s="529" t="s">
        <v>219</v>
      </c>
      <c r="C141" s="737"/>
      <c r="D141" s="731"/>
      <c r="E141" s="731"/>
      <c r="F141" s="737"/>
      <c r="G141" s="736"/>
      <c r="H141" s="731"/>
      <c r="I141" s="737">
        <v>1.0</v>
      </c>
      <c r="J141" s="736">
        <v>5.0</v>
      </c>
      <c r="K141" s="731"/>
      <c r="L141" s="737">
        <v>3.0</v>
      </c>
      <c r="M141" s="736">
        <v>6.0</v>
      </c>
      <c r="N141" s="731"/>
      <c r="O141" s="745">
        <v>1.0</v>
      </c>
      <c r="P141" s="736">
        <v>6.0</v>
      </c>
      <c r="Q141" s="731"/>
      <c r="R141" s="737">
        <v>3.0</v>
      </c>
      <c r="S141" s="736">
        <v>8.0</v>
      </c>
      <c r="T141" s="731"/>
      <c r="U141" s="737">
        <v>2.0</v>
      </c>
      <c r="V141" s="736">
        <v>8.0</v>
      </c>
      <c r="W141" s="731"/>
      <c r="X141" s="737">
        <v>4.0</v>
      </c>
      <c r="Y141" s="736">
        <v>8.0</v>
      </c>
      <c r="Z141" s="731"/>
    </row>
    <row r="142">
      <c r="A142" s="529" t="s">
        <v>64</v>
      </c>
      <c r="B142" s="529" t="s">
        <v>219</v>
      </c>
      <c r="C142" s="737"/>
      <c r="D142" s="736"/>
      <c r="E142" s="731"/>
      <c r="F142" s="737"/>
      <c r="G142" s="736"/>
      <c r="H142" s="731"/>
      <c r="I142" s="737">
        <v>1.0</v>
      </c>
      <c r="J142" s="736">
        <v>6.0</v>
      </c>
      <c r="K142" s="731"/>
      <c r="L142" s="734"/>
      <c r="M142" s="736">
        <v>6.0</v>
      </c>
      <c r="N142" s="731"/>
      <c r="O142" s="745">
        <v>1.0</v>
      </c>
      <c r="P142" s="736">
        <v>7.0</v>
      </c>
      <c r="Q142" s="731"/>
      <c r="R142" s="737">
        <v>4.0</v>
      </c>
      <c r="S142" s="736">
        <v>8.0</v>
      </c>
      <c r="T142" s="731"/>
      <c r="U142" s="737">
        <v>2.0</v>
      </c>
      <c r="V142" s="736">
        <v>8.0</v>
      </c>
      <c r="W142" s="731"/>
      <c r="X142" s="737">
        <v>4.0</v>
      </c>
      <c r="Y142" s="736">
        <v>8.0</v>
      </c>
      <c r="Z142" s="736"/>
    </row>
    <row r="143">
      <c r="A143" s="528"/>
      <c r="B143" s="529" t="s">
        <v>217</v>
      </c>
      <c r="C143" s="737"/>
      <c r="D143" s="731"/>
      <c r="E143" s="731"/>
      <c r="F143" s="737"/>
      <c r="G143" s="736"/>
      <c r="H143" s="731"/>
      <c r="I143" s="737">
        <v>1.0</v>
      </c>
      <c r="J143" s="736">
        <v>6.0</v>
      </c>
      <c r="K143" s="731"/>
      <c r="L143" s="734"/>
      <c r="M143" s="736">
        <v>7.0</v>
      </c>
      <c r="N143" s="731"/>
      <c r="O143" s="745">
        <v>1.0</v>
      </c>
      <c r="P143" s="736">
        <v>7.0</v>
      </c>
      <c r="Q143" s="731"/>
      <c r="R143" s="737">
        <v>4.0</v>
      </c>
      <c r="S143" s="736">
        <v>9.0</v>
      </c>
      <c r="T143" s="731"/>
      <c r="U143" s="737">
        <v>2.0</v>
      </c>
      <c r="V143" s="736">
        <v>9.0</v>
      </c>
      <c r="W143" s="731"/>
      <c r="X143" s="737">
        <v>4.0</v>
      </c>
      <c r="Y143" s="736">
        <v>9.0</v>
      </c>
      <c r="Z143" s="736"/>
    </row>
    <row r="144">
      <c r="A144" s="529" t="s">
        <v>70</v>
      </c>
      <c r="B144" s="529" t="s">
        <v>221</v>
      </c>
      <c r="C144" s="737"/>
      <c r="D144" s="731"/>
      <c r="E144" s="731"/>
      <c r="F144" s="737"/>
      <c r="G144" s="736"/>
      <c r="H144" s="731"/>
      <c r="I144" s="737">
        <v>1.0</v>
      </c>
      <c r="J144" s="736">
        <v>4.0</v>
      </c>
      <c r="K144" s="731"/>
      <c r="L144" s="734"/>
      <c r="M144" s="736">
        <v>4.0</v>
      </c>
      <c r="N144" s="731"/>
      <c r="O144" s="745">
        <v>1.0</v>
      </c>
      <c r="P144" s="736">
        <v>5.0</v>
      </c>
      <c r="Q144" s="731"/>
      <c r="R144" s="737">
        <v>3.0</v>
      </c>
      <c r="S144" s="736">
        <v>6.0</v>
      </c>
      <c r="T144" s="731"/>
      <c r="U144" s="737">
        <v>1.0</v>
      </c>
      <c r="V144" s="736">
        <v>6.0</v>
      </c>
      <c r="W144" s="731"/>
      <c r="X144" s="737">
        <v>3.0</v>
      </c>
      <c r="Y144" s="736">
        <v>6.0</v>
      </c>
      <c r="Z144" s="736"/>
    </row>
    <row r="145">
      <c r="A145" s="528"/>
      <c r="B145" s="529" t="s">
        <v>219</v>
      </c>
      <c r="C145" s="737"/>
      <c r="D145" s="731"/>
      <c r="E145" s="731"/>
      <c r="F145" s="737"/>
      <c r="G145" s="736"/>
      <c r="H145" s="731"/>
      <c r="I145" s="737">
        <v>1.0</v>
      </c>
      <c r="J145" s="736">
        <v>4.0</v>
      </c>
      <c r="K145" s="731"/>
      <c r="L145" s="734"/>
      <c r="M145" s="736">
        <v>5.0</v>
      </c>
      <c r="N145" s="731"/>
      <c r="O145" s="745">
        <v>1.0</v>
      </c>
      <c r="P145" s="736">
        <v>5.0</v>
      </c>
      <c r="Q145" s="731"/>
      <c r="R145" s="737">
        <v>3.0</v>
      </c>
      <c r="S145" s="736">
        <v>6.0</v>
      </c>
      <c r="T145" s="731"/>
      <c r="U145" s="737">
        <v>1.0</v>
      </c>
      <c r="V145" s="736">
        <v>6.0</v>
      </c>
      <c r="W145" s="731"/>
      <c r="X145" s="737">
        <v>3.0</v>
      </c>
      <c r="Y145" s="736">
        <v>6.0</v>
      </c>
      <c r="Z145" s="736"/>
    </row>
    <row r="146">
      <c r="A146" s="529" t="s">
        <v>76</v>
      </c>
      <c r="B146" s="529" t="s">
        <v>221</v>
      </c>
      <c r="C146" s="737"/>
      <c r="D146" s="731"/>
      <c r="E146" s="731"/>
      <c r="F146" s="737"/>
      <c r="G146" s="736"/>
      <c r="H146" s="731"/>
      <c r="I146" s="737">
        <v>2.0</v>
      </c>
      <c r="J146" s="736">
        <v>7.0</v>
      </c>
      <c r="K146" s="731"/>
      <c r="L146" s="737">
        <v>3.0</v>
      </c>
      <c r="M146" s="736">
        <v>7.0</v>
      </c>
      <c r="N146" s="731"/>
      <c r="O146" s="745">
        <v>1.0</v>
      </c>
      <c r="P146" s="736">
        <v>8.0</v>
      </c>
      <c r="Q146" s="731"/>
      <c r="R146" s="737">
        <v>4.0</v>
      </c>
      <c r="S146" s="736">
        <v>10.0</v>
      </c>
      <c r="T146" s="731"/>
      <c r="U146" s="737">
        <v>2.0</v>
      </c>
      <c r="V146" s="736">
        <v>10.0</v>
      </c>
      <c r="W146" s="731"/>
      <c r="X146" s="737">
        <v>4.0</v>
      </c>
      <c r="Y146" s="736">
        <v>10.0</v>
      </c>
      <c r="Z146" s="736"/>
    </row>
    <row r="147">
      <c r="A147" s="528"/>
      <c r="B147" s="529" t="s">
        <v>219</v>
      </c>
      <c r="C147" s="737"/>
      <c r="D147" s="731"/>
      <c r="E147" s="731"/>
      <c r="F147" s="737"/>
      <c r="G147" s="736"/>
      <c r="H147" s="731"/>
      <c r="I147" s="737">
        <v>2.0</v>
      </c>
      <c r="J147" s="736">
        <v>7.0</v>
      </c>
      <c r="K147" s="731"/>
      <c r="L147" s="737">
        <v>3.0</v>
      </c>
      <c r="M147" s="736">
        <v>7.0</v>
      </c>
      <c r="N147" s="731"/>
      <c r="O147" s="745">
        <v>1.0</v>
      </c>
      <c r="P147" s="736">
        <v>8.0</v>
      </c>
      <c r="Q147" s="731"/>
      <c r="R147" s="737">
        <v>4.0</v>
      </c>
      <c r="S147" s="736">
        <v>10.0</v>
      </c>
      <c r="T147" s="731"/>
      <c r="U147" s="737">
        <v>2.0</v>
      </c>
      <c r="V147" s="736">
        <v>10.0</v>
      </c>
      <c r="W147" s="731"/>
      <c r="X147" s="737">
        <v>5.0</v>
      </c>
      <c r="Y147" s="736">
        <v>10.0</v>
      </c>
      <c r="Z147" s="736"/>
    </row>
    <row r="148">
      <c r="A148" s="529" t="s">
        <v>39</v>
      </c>
      <c r="B148" s="529" t="s">
        <v>221</v>
      </c>
      <c r="C148" s="737"/>
      <c r="D148" s="731"/>
      <c r="E148" s="731"/>
      <c r="F148" s="737"/>
      <c r="G148" s="736"/>
      <c r="H148" s="731"/>
      <c r="I148" s="734"/>
      <c r="J148" s="736">
        <v>7.0</v>
      </c>
      <c r="K148" s="731"/>
      <c r="L148" s="734"/>
      <c r="M148" s="731"/>
      <c r="N148" s="731"/>
      <c r="O148" s="745">
        <v>1.0</v>
      </c>
      <c r="P148" s="736">
        <v>5.0</v>
      </c>
      <c r="Q148" s="731"/>
      <c r="R148" s="737">
        <v>3.0</v>
      </c>
      <c r="S148" s="736">
        <v>6.0</v>
      </c>
      <c r="T148" s="731"/>
      <c r="U148" s="737">
        <v>1.0</v>
      </c>
      <c r="V148" s="736">
        <v>6.0</v>
      </c>
      <c r="W148" s="731"/>
      <c r="X148" s="737">
        <v>3.0</v>
      </c>
      <c r="Y148" s="736">
        <v>6.0</v>
      </c>
      <c r="Z148" s="736"/>
    </row>
    <row r="149">
      <c r="A149" s="529"/>
      <c r="B149" s="529" t="s">
        <v>219</v>
      </c>
      <c r="C149" s="737"/>
      <c r="D149" s="731"/>
      <c r="E149" s="731"/>
      <c r="F149" s="737"/>
      <c r="G149" s="736"/>
      <c r="H149" s="731"/>
      <c r="I149" s="734"/>
      <c r="J149" s="731"/>
      <c r="K149" s="731"/>
      <c r="L149" s="734"/>
      <c r="M149" s="731"/>
      <c r="N149" s="731"/>
      <c r="O149" s="745">
        <v>1.0</v>
      </c>
      <c r="P149" s="736">
        <v>5.0</v>
      </c>
      <c r="Q149" s="731"/>
      <c r="R149" s="737">
        <v>3.0</v>
      </c>
      <c r="S149" s="736">
        <v>7.0</v>
      </c>
      <c r="T149" s="731"/>
      <c r="U149" s="737">
        <v>1.0</v>
      </c>
      <c r="V149" s="736">
        <v>7.0</v>
      </c>
      <c r="W149" s="731"/>
      <c r="X149" s="737">
        <v>3.0</v>
      </c>
      <c r="Y149" s="736">
        <v>7.0</v>
      </c>
      <c r="Z149" s="736"/>
    </row>
    <row r="150">
      <c r="A150" s="529" t="s">
        <v>398</v>
      </c>
      <c r="B150" s="529" t="s">
        <v>221</v>
      </c>
      <c r="C150" s="737"/>
      <c r="D150" s="731"/>
      <c r="E150" s="731"/>
      <c r="F150" s="737"/>
      <c r="G150" s="736"/>
      <c r="H150" s="731"/>
      <c r="I150" s="734"/>
      <c r="J150" s="731"/>
      <c r="K150" s="731"/>
      <c r="L150" s="734"/>
      <c r="M150" s="731"/>
      <c r="N150" s="731"/>
      <c r="O150" s="745">
        <v>1.0</v>
      </c>
      <c r="P150" s="736">
        <v>6.0</v>
      </c>
      <c r="Q150" s="731"/>
      <c r="R150" s="737">
        <v>3.0</v>
      </c>
      <c r="S150" s="736">
        <v>8.0</v>
      </c>
      <c r="T150" s="731"/>
      <c r="U150" s="737">
        <v>2.0</v>
      </c>
      <c r="V150" s="736">
        <v>8.0</v>
      </c>
      <c r="W150" s="731"/>
      <c r="X150" s="737">
        <v>4.0</v>
      </c>
      <c r="Y150" s="736">
        <v>8.0</v>
      </c>
      <c r="Z150" s="736"/>
    </row>
    <row r="151">
      <c r="A151" s="528"/>
      <c r="B151" s="529" t="s">
        <v>219</v>
      </c>
      <c r="C151" s="737"/>
      <c r="D151" s="731"/>
      <c r="E151" s="731"/>
      <c r="F151" s="737"/>
      <c r="G151" s="736"/>
      <c r="H151" s="731"/>
      <c r="I151" s="734"/>
      <c r="J151" s="731"/>
      <c r="K151" s="731"/>
      <c r="L151" s="734"/>
      <c r="M151" s="731"/>
      <c r="N151" s="731"/>
      <c r="O151" s="745">
        <v>1.0</v>
      </c>
      <c r="P151" s="736">
        <v>6.0</v>
      </c>
      <c r="Q151" s="731"/>
      <c r="R151" s="737">
        <v>4.0</v>
      </c>
      <c r="S151" s="736">
        <v>8.0</v>
      </c>
      <c r="T151" s="731"/>
      <c r="U151" s="737">
        <v>2.0</v>
      </c>
      <c r="V151" s="736">
        <v>8.0</v>
      </c>
      <c r="W151" s="731"/>
      <c r="X151" s="737">
        <v>4.0</v>
      </c>
      <c r="Y151" s="736">
        <v>8.0</v>
      </c>
      <c r="Z151" s="736"/>
    </row>
    <row r="152">
      <c r="A152" s="529" t="s">
        <v>49</v>
      </c>
      <c r="B152" s="529" t="s">
        <v>219</v>
      </c>
      <c r="C152" s="737"/>
      <c r="D152" s="731"/>
      <c r="E152" s="731"/>
      <c r="F152" s="737"/>
      <c r="G152" s="736"/>
      <c r="H152" s="731"/>
      <c r="I152" s="737">
        <v>1.0</v>
      </c>
      <c r="J152" s="736">
        <v>4.0</v>
      </c>
      <c r="K152" s="731"/>
      <c r="L152" s="734"/>
      <c r="M152" s="731"/>
      <c r="N152" s="731"/>
      <c r="O152" s="745">
        <v>1.0</v>
      </c>
      <c r="P152" s="736">
        <v>3.0</v>
      </c>
      <c r="Q152" s="731"/>
      <c r="R152" s="737">
        <v>2.0</v>
      </c>
      <c r="S152" s="736">
        <v>4.0</v>
      </c>
      <c r="T152" s="731"/>
      <c r="U152" s="737">
        <v>1.0</v>
      </c>
      <c r="V152" s="736">
        <v>4.0</v>
      </c>
      <c r="W152" s="731"/>
      <c r="X152" s="737">
        <v>2.0</v>
      </c>
      <c r="Y152" s="736">
        <v>4.0</v>
      </c>
      <c r="Z152" s="736"/>
    </row>
    <row r="153">
      <c r="A153" s="529"/>
      <c r="B153" s="529" t="s">
        <v>217</v>
      </c>
      <c r="C153" s="737"/>
      <c r="D153" s="731"/>
      <c r="E153" s="731"/>
      <c r="F153" s="737"/>
      <c r="G153" s="736"/>
      <c r="H153" s="731"/>
      <c r="I153" s="737">
        <v>1.0</v>
      </c>
      <c r="J153" s="736">
        <v>5.0</v>
      </c>
      <c r="K153" s="731"/>
      <c r="L153" s="734"/>
      <c r="M153" s="731"/>
      <c r="N153" s="731"/>
      <c r="O153" s="745">
        <v>1.0</v>
      </c>
      <c r="P153" s="736">
        <v>3.0</v>
      </c>
      <c r="Q153" s="731"/>
      <c r="R153" s="737">
        <v>2.0</v>
      </c>
      <c r="S153" s="736">
        <v>4.0</v>
      </c>
      <c r="T153" s="731"/>
      <c r="U153" s="737">
        <v>1.0</v>
      </c>
      <c r="V153" s="736">
        <v>4.0</v>
      </c>
      <c r="W153" s="731"/>
      <c r="X153" s="737">
        <v>2.0</v>
      </c>
      <c r="Y153" s="736">
        <v>4.0</v>
      </c>
      <c r="Z153" s="736"/>
    </row>
    <row r="154">
      <c r="A154" s="529" t="s">
        <v>399</v>
      </c>
      <c r="B154" s="529" t="s">
        <v>219</v>
      </c>
      <c r="C154" s="737"/>
      <c r="D154" s="731"/>
      <c r="E154" s="731"/>
      <c r="F154" s="737"/>
      <c r="G154" s="736"/>
      <c r="H154" s="731"/>
      <c r="I154" s="737">
        <v>1.0</v>
      </c>
      <c r="J154" s="736">
        <v>5.0</v>
      </c>
      <c r="K154" s="731"/>
      <c r="L154" s="734"/>
      <c r="M154" s="731"/>
      <c r="N154" s="731"/>
      <c r="O154" s="745">
        <v>1.0</v>
      </c>
      <c r="P154" s="736">
        <v>4.0</v>
      </c>
      <c r="Q154" s="731"/>
      <c r="R154" s="737">
        <v>2.0</v>
      </c>
      <c r="S154" s="736">
        <v>5.0</v>
      </c>
      <c r="T154" s="731"/>
      <c r="U154" s="737">
        <v>1.0</v>
      </c>
      <c r="V154" s="736">
        <v>5.0</v>
      </c>
      <c r="W154" s="731"/>
      <c r="X154" s="737">
        <v>2.0</v>
      </c>
      <c r="Y154" s="736">
        <v>5.0</v>
      </c>
      <c r="Z154" s="736"/>
    </row>
    <row r="155">
      <c r="A155" s="528"/>
      <c r="B155" s="529" t="s">
        <v>217</v>
      </c>
      <c r="C155" s="737"/>
      <c r="D155" s="731"/>
      <c r="E155" s="731"/>
      <c r="F155" s="737"/>
      <c r="G155" s="736"/>
      <c r="H155" s="731"/>
      <c r="I155" s="737">
        <v>1.0</v>
      </c>
      <c r="J155" s="736">
        <v>6.0</v>
      </c>
      <c r="K155" s="731"/>
      <c r="L155" s="734"/>
      <c r="M155" s="731"/>
      <c r="N155" s="731"/>
      <c r="O155" s="745">
        <v>1.0</v>
      </c>
      <c r="P155" s="736">
        <v>4.0</v>
      </c>
      <c r="Q155" s="731"/>
      <c r="R155" s="737">
        <v>2.0</v>
      </c>
      <c r="S155" s="736">
        <v>5.0</v>
      </c>
      <c r="T155" s="731"/>
      <c r="U155" s="737">
        <v>1.0</v>
      </c>
      <c r="V155" s="736">
        <v>5.0</v>
      </c>
      <c r="W155" s="731"/>
      <c r="X155" s="737">
        <v>3.0</v>
      </c>
      <c r="Y155" s="736">
        <v>5.0</v>
      </c>
      <c r="Z155" s="736"/>
    </row>
    <row r="156">
      <c r="A156" s="529" t="s">
        <v>61</v>
      </c>
      <c r="B156" s="529" t="s">
        <v>221</v>
      </c>
      <c r="C156" s="737"/>
      <c r="D156" s="731"/>
      <c r="E156" s="731"/>
      <c r="F156" s="737"/>
      <c r="G156" s="736"/>
      <c r="H156" s="731"/>
      <c r="I156" s="734"/>
      <c r="J156" s="731"/>
      <c r="K156" s="731"/>
      <c r="L156" s="734"/>
      <c r="M156" s="731"/>
      <c r="N156" s="731"/>
      <c r="O156" s="745">
        <v>1.0</v>
      </c>
      <c r="P156" s="736">
        <v>4.0</v>
      </c>
      <c r="Q156" s="731"/>
      <c r="R156" s="737">
        <v>2.0</v>
      </c>
      <c r="S156" s="736">
        <v>5.0</v>
      </c>
      <c r="T156" s="731"/>
      <c r="U156" s="737">
        <v>1.0</v>
      </c>
      <c r="V156" s="736">
        <v>5.0</v>
      </c>
      <c r="W156" s="731"/>
      <c r="X156" s="737">
        <v>3.0</v>
      </c>
      <c r="Y156" s="736">
        <v>5.0</v>
      </c>
      <c r="Z156" s="736"/>
    </row>
    <row r="157">
      <c r="A157" s="528"/>
      <c r="B157" s="529" t="s">
        <v>219</v>
      </c>
      <c r="C157" s="737"/>
      <c r="D157" s="731"/>
      <c r="E157" s="731"/>
      <c r="F157" s="737"/>
      <c r="G157" s="736"/>
      <c r="H157" s="731"/>
      <c r="I157" s="734"/>
      <c r="J157" s="731"/>
      <c r="K157" s="731"/>
      <c r="L157" s="734"/>
      <c r="M157" s="731"/>
      <c r="N157" s="731"/>
      <c r="O157" s="745">
        <v>1.0</v>
      </c>
      <c r="P157" s="736">
        <v>4.0</v>
      </c>
      <c r="Q157" s="731"/>
      <c r="R157" s="737">
        <v>3.0</v>
      </c>
      <c r="S157" s="736">
        <v>6.0</v>
      </c>
      <c r="T157" s="731"/>
      <c r="U157" s="737">
        <v>1.0</v>
      </c>
      <c r="V157" s="736">
        <v>6.0</v>
      </c>
      <c r="W157" s="731"/>
      <c r="X157" s="737">
        <v>3.0</v>
      </c>
      <c r="Y157" s="736">
        <v>6.0</v>
      </c>
      <c r="Z157" s="736"/>
    </row>
    <row r="158">
      <c r="A158" s="529" t="s">
        <v>400</v>
      </c>
      <c r="B158" s="529" t="s">
        <v>221</v>
      </c>
      <c r="C158" s="737"/>
      <c r="D158" s="731"/>
      <c r="E158" s="731"/>
      <c r="F158" s="737"/>
      <c r="G158" s="736"/>
      <c r="H158" s="731"/>
      <c r="I158" s="734"/>
      <c r="J158" s="731"/>
      <c r="K158" s="731"/>
      <c r="L158" s="734"/>
      <c r="M158" s="731"/>
      <c r="N158" s="731"/>
      <c r="O158" s="745">
        <v>1.0</v>
      </c>
      <c r="P158" s="736">
        <v>5.0</v>
      </c>
      <c r="Q158" s="731"/>
      <c r="R158" s="737">
        <v>3.0</v>
      </c>
      <c r="S158" s="736">
        <v>6.0</v>
      </c>
      <c r="T158" s="731"/>
      <c r="U158" s="737">
        <v>1.0</v>
      </c>
      <c r="V158" s="736">
        <v>6.0</v>
      </c>
      <c r="W158" s="731"/>
      <c r="X158" s="737">
        <v>3.0</v>
      </c>
      <c r="Y158" s="736">
        <v>6.0</v>
      </c>
      <c r="Z158" s="736"/>
    </row>
    <row r="159">
      <c r="A159" s="528"/>
      <c r="B159" s="529" t="s">
        <v>219</v>
      </c>
      <c r="C159" s="737"/>
      <c r="D159" s="731"/>
      <c r="E159" s="731"/>
      <c r="F159" s="737"/>
      <c r="G159" s="736"/>
      <c r="H159" s="731"/>
      <c r="I159" s="734"/>
      <c r="J159" s="731"/>
      <c r="K159" s="731"/>
      <c r="L159" s="734"/>
      <c r="M159" s="731"/>
      <c r="N159" s="731"/>
      <c r="O159" s="745">
        <v>1.0</v>
      </c>
      <c r="P159" s="736">
        <v>5.0</v>
      </c>
      <c r="Q159" s="731"/>
      <c r="R159" s="737">
        <v>3.0</v>
      </c>
      <c r="S159" s="736">
        <v>7.0</v>
      </c>
      <c r="T159" s="731"/>
      <c r="U159" s="737">
        <v>2.0</v>
      </c>
      <c r="V159" s="736">
        <v>7.0</v>
      </c>
      <c r="W159" s="731"/>
      <c r="X159" s="737">
        <v>3.0</v>
      </c>
      <c r="Y159" s="736">
        <v>7.0</v>
      </c>
      <c r="Z159" s="736"/>
    </row>
    <row r="160">
      <c r="A160" s="529" t="s">
        <v>66</v>
      </c>
      <c r="B160" s="529" t="s">
        <v>221</v>
      </c>
      <c r="C160" s="737"/>
      <c r="D160" s="731"/>
      <c r="E160" s="731"/>
      <c r="F160" s="737"/>
      <c r="G160" s="736"/>
      <c r="H160" s="731"/>
      <c r="I160" s="734"/>
      <c r="J160" s="731"/>
      <c r="K160" s="731"/>
      <c r="L160" s="734"/>
      <c r="M160" s="731"/>
      <c r="N160" s="731"/>
      <c r="O160" s="745">
        <v>1.0</v>
      </c>
      <c r="P160" s="736">
        <v>4.0</v>
      </c>
      <c r="Q160" s="731"/>
      <c r="R160" s="737">
        <v>2.0</v>
      </c>
      <c r="S160" s="736">
        <v>5.0</v>
      </c>
      <c r="T160" s="731"/>
      <c r="U160" s="737">
        <v>1.0</v>
      </c>
      <c r="V160" s="736">
        <v>5.0</v>
      </c>
      <c r="W160" s="731"/>
      <c r="X160" s="737">
        <v>3.0</v>
      </c>
      <c r="Y160" s="736">
        <v>5.0</v>
      </c>
      <c r="Z160" s="736"/>
    </row>
    <row r="161">
      <c r="A161" s="528"/>
      <c r="B161" s="529" t="s">
        <v>219</v>
      </c>
      <c r="C161" s="737"/>
      <c r="D161" s="731"/>
      <c r="E161" s="731"/>
      <c r="F161" s="737"/>
      <c r="G161" s="736"/>
      <c r="H161" s="731"/>
      <c r="I161" s="734"/>
      <c r="J161" s="731"/>
      <c r="K161" s="731"/>
      <c r="L161" s="734"/>
      <c r="M161" s="731"/>
      <c r="N161" s="731"/>
      <c r="O161" s="745">
        <v>1.0</v>
      </c>
      <c r="P161" s="736">
        <v>4.0</v>
      </c>
      <c r="Q161" s="731"/>
      <c r="R161" s="737">
        <v>3.0</v>
      </c>
      <c r="S161" s="736">
        <v>6.0</v>
      </c>
      <c r="T161" s="731"/>
      <c r="U161" s="737">
        <v>1.0</v>
      </c>
      <c r="V161" s="736">
        <v>6.0</v>
      </c>
      <c r="W161" s="731"/>
      <c r="X161" s="737">
        <v>3.0</v>
      </c>
      <c r="Y161" s="736">
        <v>6.0</v>
      </c>
      <c r="Z161" s="736"/>
    </row>
    <row r="162">
      <c r="A162" s="529" t="s">
        <v>401</v>
      </c>
      <c r="B162" s="529" t="s">
        <v>221</v>
      </c>
      <c r="C162" s="737"/>
      <c r="D162" s="731"/>
      <c r="E162" s="731"/>
      <c r="F162" s="737"/>
      <c r="G162" s="736"/>
      <c r="H162" s="731"/>
      <c r="I162" s="734"/>
      <c r="J162" s="731"/>
      <c r="K162" s="731"/>
      <c r="L162" s="734"/>
      <c r="M162" s="731"/>
      <c r="N162" s="731"/>
      <c r="O162" s="745">
        <v>1.0</v>
      </c>
      <c r="P162" s="736">
        <v>5.0</v>
      </c>
      <c r="Q162" s="731"/>
      <c r="R162" s="737">
        <v>3.0</v>
      </c>
      <c r="S162" s="736">
        <v>6.0</v>
      </c>
      <c r="T162" s="731"/>
      <c r="U162" s="737">
        <v>1.0</v>
      </c>
      <c r="V162" s="736">
        <v>6.0</v>
      </c>
      <c r="W162" s="731"/>
      <c r="X162" s="737">
        <v>3.0</v>
      </c>
      <c r="Y162" s="736">
        <v>6.0</v>
      </c>
      <c r="Z162" s="736"/>
    </row>
    <row r="163">
      <c r="A163" s="528"/>
      <c r="B163" s="529" t="s">
        <v>219</v>
      </c>
      <c r="C163" s="737"/>
      <c r="D163" s="731"/>
      <c r="E163" s="731"/>
      <c r="F163" s="737"/>
      <c r="G163" s="736"/>
      <c r="H163" s="731"/>
      <c r="I163" s="734"/>
      <c r="J163" s="731"/>
      <c r="K163" s="731"/>
      <c r="L163" s="734"/>
      <c r="M163" s="731"/>
      <c r="N163" s="731"/>
      <c r="O163" s="745">
        <v>1.0</v>
      </c>
      <c r="P163" s="736">
        <v>5.0</v>
      </c>
      <c r="Q163" s="731"/>
      <c r="R163" s="737">
        <v>3.0</v>
      </c>
      <c r="S163" s="736">
        <v>7.0</v>
      </c>
      <c r="T163" s="731"/>
      <c r="U163" s="737">
        <v>2.0</v>
      </c>
      <c r="V163" s="736">
        <v>7.0</v>
      </c>
      <c r="W163" s="731"/>
      <c r="X163" s="737">
        <v>3.0</v>
      </c>
      <c r="Y163" s="736">
        <v>7.0</v>
      </c>
      <c r="Z163" s="736"/>
    </row>
    <row r="164">
      <c r="A164" s="529" t="s">
        <v>139</v>
      </c>
      <c r="B164" s="529" t="s">
        <v>219</v>
      </c>
      <c r="C164" s="737"/>
      <c r="D164" s="731"/>
      <c r="E164" s="731"/>
      <c r="F164" s="737"/>
      <c r="G164" s="736"/>
      <c r="H164" s="731"/>
      <c r="I164" s="734"/>
      <c r="J164" s="731"/>
      <c r="K164" s="731"/>
      <c r="L164" s="734"/>
      <c r="M164" s="731"/>
      <c r="N164" s="731"/>
      <c r="O164" s="745">
        <v>1.0</v>
      </c>
      <c r="P164" s="736">
        <v>5.0</v>
      </c>
      <c r="Q164" s="731"/>
      <c r="R164" s="737">
        <v>3.0</v>
      </c>
      <c r="S164" s="736">
        <v>6.0</v>
      </c>
      <c r="T164" s="731"/>
      <c r="U164" s="737">
        <v>1.0</v>
      </c>
      <c r="V164" s="736">
        <v>6.0</v>
      </c>
      <c r="W164" s="731"/>
      <c r="X164" s="737">
        <v>3.0</v>
      </c>
      <c r="Y164" s="736">
        <v>6.0</v>
      </c>
      <c r="Z164" s="736"/>
    </row>
    <row r="165">
      <c r="A165" s="528"/>
      <c r="B165" s="529" t="s">
        <v>217</v>
      </c>
      <c r="C165" s="737"/>
      <c r="D165" s="731"/>
      <c r="E165" s="731"/>
      <c r="F165" s="737"/>
      <c r="G165" s="736"/>
      <c r="H165" s="731"/>
      <c r="I165" s="734"/>
      <c r="J165" s="731"/>
      <c r="K165" s="731"/>
      <c r="L165" s="734"/>
      <c r="M165" s="731"/>
      <c r="N165" s="731"/>
      <c r="O165" s="745">
        <v>1.0</v>
      </c>
      <c r="P165" s="736">
        <v>5.0</v>
      </c>
      <c r="Q165" s="731"/>
      <c r="R165" s="737">
        <v>3.0</v>
      </c>
      <c r="S165" s="736">
        <v>7.0</v>
      </c>
      <c r="T165" s="731"/>
      <c r="U165" s="737">
        <v>2.0</v>
      </c>
      <c r="V165" s="736">
        <v>7.0</v>
      </c>
      <c r="W165" s="731"/>
      <c r="X165" s="737">
        <v>3.0</v>
      </c>
      <c r="Y165" s="736">
        <v>7.0</v>
      </c>
      <c r="Z165" s="736"/>
    </row>
    <row r="166">
      <c r="A166" s="529" t="s">
        <v>402</v>
      </c>
      <c r="B166" s="529" t="s">
        <v>219</v>
      </c>
      <c r="C166" s="737"/>
      <c r="D166" s="731"/>
      <c r="E166" s="731"/>
      <c r="F166" s="737"/>
      <c r="G166" s="736"/>
      <c r="H166" s="731"/>
      <c r="I166" s="734"/>
      <c r="J166" s="731"/>
      <c r="K166" s="731"/>
      <c r="L166" s="734"/>
      <c r="M166" s="731"/>
      <c r="N166" s="731"/>
      <c r="O166" s="745">
        <v>1.0</v>
      </c>
      <c r="P166" s="736">
        <v>6.0</v>
      </c>
      <c r="Q166" s="731"/>
      <c r="R166" s="737">
        <v>3.0</v>
      </c>
      <c r="S166" s="736">
        <v>8.0</v>
      </c>
      <c r="T166" s="731"/>
      <c r="U166" s="737">
        <v>2.0</v>
      </c>
      <c r="V166" s="736">
        <v>8.0</v>
      </c>
      <c r="W166" s="731"/>
      <c r="X166" s="737">
        <v>4.0</v>
      </c>
      <c r="Y166" s="736">
        <v>8.0</v>
      </c>
      <c r="Z166" s="736"/>
    </row>
    <row r="167">
      <c r="A167" s="528"/>
      <c r="B167" s="529" t="s">
        <v>217</v>
      </c>
      <c r="C167" s="737"/>
      <c r="D167" s="731"/>
      <c r="E167" s="731"/>
      <c r="F167" s="737"/>
      <c r="G167" s="736"/>
      <c r="H167" s="731"/>
      <c r="I167" s="734"/>
      <c r="J167" s="731"/>
      <c r="K167" s="731"/>
      <c r="L167" s="734"/>
      <c r="M167" s="731"/>
      <c r="N167" s="731"/>
      <c r="O167" s="745">
        <v>1.0</v>
      </c>
      <c r="P167" s="736">
        <v>7.0</v>
      </c>
      <c r="Q167" s="731"/>
      <c r="R167" s="737">
        <v>4.0</v>
      </c>
      <c r="S167" s="736">
        <v>8.0</v>
      </c>
      <c r="T167" s="731"/>
      <c r="U167" s="737">
        <v>2.0</v>
      </c>
      <c r="V167" s="736">
        <v>8.0</v>
      </c>
      <c r="W167" s="731"/>
      <c r="X167" s="737">
        <v>4.0</v>
      </c>
      <c r="Y167" s="736">
        <v>8.0</v>
      </c>
      <c r="Z167" s="736"/>
    </row>
    <row r="168">
      <c r="A168" s="529" t="s">
        <v>303</v>
      </c>
      <c r="B168" s="529" t="s">
        <v>221</v>
      </c>
      <c r="C168" s="737"/>
      <c r="D168" s="731"/>
      <c r="E168" s="731"/>
      <c r="F168" s="737"/>
      <c r="G168" s="736"/>
      <c r="H168" s="731"/>
      <c r="I168" s="734"/>
      <c r="J168" s="731"/>
      <c r="K168" s="731"/>
      <c r="L168" s="734"/>
      <c r="M168" s="731"/>
      <c r="N168" s="731"/>
      <c r="O168" s="745">
        <v>1.0</v>
      </c>
      <c r="P168" s="736">
        <v>5.0</v>
      </c>
      <c r="Q168" s="731"/>
      <c r="R168" s="737">
        <v>3.0</v>
      </c>
      <c r="S168" s="736">
        <v>7.0</v>
      </c>
      <c r="T168" s="731"/>
      <c r="U168" s="737">
        <v>2.0</v>
      </c>
      <c r="V168" s="736">
        <v>7.0</v>
      </c>
      <c r="W168" s="731"/>
      <c r="X168" s="737">
        <v>3.0</v>
      </c>
      <c r="Y168" s="736">
        <v>7.0</v>
      </c>
      <c r="Z168" s="731"/>
    </row>
    <row r="169">
      <c r="A169" s="529"/>
      <c r="B169" s="529" t="s">
        <v>219</v>
      </c>
      <c r="C169" s="737"/>
      <c r="D169" s="731"/>
      <c r="E169" s="731"/>
      <c r="F169" s="737"/>
      <c r="G169" s="736"/>
      <c r="H169" s="731"/>
      <c r="I169" s="734"/>
      <c r="J169" s="731"/>
      <c r="K169" s="731"/>
      <c r="L169" s="734"/>
      <c r="M169" s="731"/>
      <c r="N169" s="731"/>
      <c r="O169" s="745">
        <v>1.0</v>
      </c>
      <c r="P169" s="736">
        <v>6.0</v>
      </c>
      <c r="Q169" s="731"/>
      <c r="R169" s="737">
        <v>3.0</v>
      </c>
      <c r="S169" s="736">
        <v>7.0</v>
      </c>
      <c r="T169" s="731"/>
      <c r="U169" s="737">
        <v>2.0</v>
      </c>
      <c r="V169" s="736">
        <v>7.0</v>
      </c>
      <c r="W169" s="731"/>
      <c r="X169" s="737">
        <v>3.0</v>
      </c>
      <c r="Y169" s="736">
        <v>7.0</v>
      </c>
      <c r="Z169" s="736"/>
    </row>
    <row r="170">
      <c r="A170" s="529" t="s">
        <v>403</v>
      </c>
      <c r="B170" s="529" t="s">
        <v>221</v>
      </c>
      <c r="C170" s="737"/>
      <c r="D170" s="731"/>
      <c r="E170" s="731"/>
      <c r="F170" s="737"/>
      <c r="G170" s="736"/>
      <c r="H170" s="731"/>
      <c r="I170" s="734"/>
      <c r="J170" s="731"/>
      <c r="K170" s="731"/>
      <c r="L170" s="734"/>
      <c r="M170" s="731"/>
      <c r="N170" s="731"/>
      <c r="O170" s="745">
        <v>1.0</v>
      </c>
      <c r="P170" s="736">
        <v>6.0</v>
      </c>
      <c r="Q170" s="731"/>
      <c r="R170" s="737">
        <v>4.0</v>
      </c>
      <c r="S170" s="736">
        <v>8.0</v>
      </c>
      <c r="T170" s="731"/>
      <c r="U170" s="737">
        <v>2.0</v>
      </c>
      <c r="V170" s="736">
        <v>8.0</v>
      </c>
      <c r="W170" s="731"/>
      <c r="X170" s="737">
        <v>4.0</v>
      </c>
      <c r="Y170" s="736">
        <v>8.0</v>
      </c>
      <c r="Z170" s="736"/>
    </row>
    <row r="171">
      <c r="A171" s="528"/>
      <c r="B171" s="529" t="s">
        <v>219</v>
      </c>
      <c r="C171" s="737"/>
      <c r="D171" s="731"/>
      <c r="E171" s="731"/>
      <c r="F171" s="737"/>
      <c r="G171" s="736"/>
      <c r="H171" s="731"/>
      <c r="I171" s="734"/>
      <c r="J171" s="731"/>
      <c r="K171" s="731"/>
      <c r="L171" s="734"/>
      <c r="M171" s="731"/>
      <c r="N171" s="731"/>
      <c r="O171" s="745">
        <v>1.0</v>
      </c>
      <c r="P171" s="736">
        <v>7.0</v>
      </c>
      <c r="Q171" s="731"/>
      <c r="R171" s="737">
        <v>4.0</v>
      </c>
      <c r="S171" s="736">
        <v>9.0</v>
      </c>
      <c r="T171" s="731"/>
      <c r="U171" s="737">
        <v>2.0</v>
      </c>
      <c r="V171" s="736">
        <v>9.0</v>
      </c>
      <c r="W171" s="731"/>
      <c r="X171" s="737">
        <v>4.0</v>
      </c>
      <c r="Y171" s="736">
        <v>9.0</v>
      </c>
      <c r="Z171" s="731"/>
    </row>
    <row r="172">
      <c r="A172" s="529" t="s">
        <v>77</v>
      </c>
      <c r="B172" s="529" t="s">
        <v>221</v>
      </c>
      <c r="C172" s="737"/>
      <c r="D172" s="731"/>
      <c r="E172" s="731"/>
      <c r="F172" s="737"/>
      <c r="G172" s="736"/>
      <c r="H172" s="731"/>
      <c r="I172" s="734"/>
      <c r="J172" s="731"/>
      <c r="K172" s="731"/>
      <c r="L172" s="734"/>
      <c r="M172" s="731"/>
      <c r="N172" s="731"/>
      <c r="O172" s="745">
        <v>1.0</v>
      </c>
      <c r="P172" s="736">
        <v>4.0</v>
      </c>
      <c r="Q172" s="731"/>
      <c r="R172" s="737">
        <v>2.0</v>
      </c>
      <c r="S172" s="736">
        <v>6.0</v>
      </c>
      <c r="T172" s="731"/>
      <c r="U172" s="737">
        <v>1.0</v>
      </c>
      <c r="V172" s="736">
        <v>5.0</v>
      </c>
      <c r="W172" s="731"/>
      <c r="X172" s="737">
        <v>3.0</v>
      </c>
      <c r="Y172" s="736">
        <v>6.0</v>
      </c>
      <c r="Z172" s="731"/>
    </row>
    <row r="173">
      <c r="A173" s="528"/>
      <c r="B173" s="529" t="s">
        <v>219</v>
      </c>
      <c r="C173" s="737"/>
      <c r="D173" s="731"/>
      <c r="E173" s="731"/>
      <c r="F173" s="737"/>
      <c r="G173" s="736"/>
      <c r="H173" s="731"/>
      <c r="I173" s="734"/>
      <c r="J173" s="731"/>
      <c r="K173" s="731"/>
      <c r="L173" s="734"/>
      <c r="M173" s="731"/>
      <c r="N173" s="731"/>
      <c r="O173" s="745">
        <v>1.0</v>
      </c>
      <c r="P173" s="736">
        <v>5.0</v>
      </c>
      <c r="Q173" s="731"/>
      <c r="R173" s="737">
        <v>3.0</v>
      </c>
      <c r="S173" s="736">
        <v>6.0</v>
      </c>
      <c r="T173" s="731"/>
      <c r="U173" s="737">
        <v>1.0</v>
      </c>
      <c r="V173" s="736">
        <v>6.0</v>
      </c>
      <c r="W173" s="731"/>
      <c r="X173" s="737">
        <v>3.0</v>
      </c>
      <c r="Y173" s="736">
        <v>6.0</v>
      </c>
      <c r="Z173" s="731"/>
    </row>
    <row r="174">
      <c r="A174" s="529" t="s">
        <v>404</v>
      </c>
      <c r="B174" s="529" t="s">
        <v>221</v>
      </c>
      <c r="C174" s="737"/>
      <c r="D174" s="731"/>
      <c r="E174" s="731"/>
      <c r="F174" s="737"/>
      <c r="G174" s="736"/>
      <c r="H174" s="731"/>
      <c r="I174" s="734"/>
      <c r="J174" s="731"/>
      <c r="K174" s="731"/>
      <c r="L174" s="734"/>
      <c r="M174" s="731"/>
      <c r="N174" s="731"/>
      <c r="O174" s="745">
        <v>1.0</v>
      </c>
      <c r="P174" s="736">
        <v>5.0</v>
      </c>
      <c r="Q174" s="731"/>
      <c r="R174" s="737">
        <v>3.0</v>
      </c>
      <c r="S174" s="736">
        <v>7.0</v>
      </c>
      <c r="T174" s="731"/>
      <c r="U174" s="737">
        <v>2.0</v>
      </c>
      <c r="V174" s="736">
        <v>7.0</v>
      </c>
      <c r="W174" s="731"/>
      <c r="X174" s="737">
        <v>3.0</v>
      </c>
      <c r="Y174" s="736">
        <v>7.0</v>
      </c>
      <c r="Z174" s="731"/>
    </row>
    <row r="175">
      <c r="A175" s="528"/>
      <c r="B175" s="529" t="s">
        <v>219</v>
      </c>
      <c r="C175" s="737"/>
      <c r="D175" s="731"/>
      <c r="E175" s="731"/>
      <c r="F175" s="737"/>
      <c r="G175" s="736"/>
      <c r="H175" s="731"/>
      <c r="I175" s="734"/>
      <c r="J175" s="731"/>
      <c r="K175" s="731"/>
      <c r="L175" s="734"/>
      <c r="M175" s="731"/>
      <c r="N175" s="731"/>
      <c r="O175" s="745">
        <v>1.0</v>
      </c>
      <c r="P175" s="736">
        <v>6.0</v>
      </c>
      <c r="Q175" s="731"/>
      <c r="R175" s="737">
        <v>3.0</v>
      </c>
      <c r="S175" s="736">
        <v>7.0</v>
      </c>
      <c r="T175" s="731"/>
      <c r="U175" s="737">
        <v>2.0</v>
      </c>
      <c r="V175" s="736">
        <v>7.0</v>
      </c>
      <c r="W175" s="731"/>
      <c r="X175" s="737">
        <v>3.0</v>
      </c>
      <c r="Y175" s="736">
        <v>7.0</v>
      </c>
      <c r="Z175" s="731"/>
    </row>
    <row r="176">
      <c r="A176" s="529" t="s">
        <v>96</v>
      </c>
      <c r="B176" s="529" t="s">
        <v>221</v>
      </c>
      <c r="C176" s="737"/>
      <c r="D176" s="731"/>
      <c r="E176" s="731"/>
      <c r="F176" s="737"/>
      <c r="G176" s="736"/>
      <c r="H176" s="731"/>
      <c r="I176" s="734"/>
      <c r="J176" s="731"/>
      <c r="K176" s="731"/>
      <c r="L176" s="734"/>
      <c r="M176" s="731"/>
      <c r="N176" s="731"/>
      <c r="O176" s="745">
        <v>1.0</v>
      </c>
      <c r="P176" s="736">
        <v>4.0</v>
      </c>
      <c r="Q176" s="731"/>
      <c r="R176" s="737">
        <v>2.0</v>
      </c>
      <c r="S176" s="736">
        <v>5.0</v>
      </c>
      <c r="T176" s="731"/>
      <c r="U176" s="737">
        <v>1.0</v>
      </c>
      <c r="V176" s="736">
        <v>5.0</v>
      </c>
      <c r="W176" s="731"/>
      <c r="X176" s="737">
        <v>3.0</v>
      </c>
      <c r="Y176" s="736">
        <v>5.0</v>
      </c>
      <c r="Z176" s="731"/>
    </row>
    <row r="177">
      <c r="A177" s="528"/>
      <c r="B177" s="529" t="s">
        <v>219</v>
      </c>
      <c r="C177" s="737"/>
      <c r="D177" s="731"/>
      <c r="E177" s="731"/>
      <c r="F177" s="737"/>
      <c r="G177" s="736"/>
      <c r="H177" s="731"/>
      <c r="I177" s="734"/>
      <c r="J177" s="731"/>
      <c r="K177" s="731"/>
      <c r="L177" s="734"/>
      <c r="M177" s="731"/>
      <c r="N177" s="731"/>
      <c r="O177" s="745">
        <v>1.0</v>
      </c>
      <c r="P177" s="736">
        <v>4.0</v>
      </c>
      <c r="Q177" s="731"/>
      <c r="R177" s="737">
        <v>3.0</v>
      </c>
      <c r="S177" s="736">
        <v>6.0</v>
      </c>
      <c r="T177" s="731"/>
      <c r="U177" s="737">
        <v>1.0</v>
      </c>
      <c r="V177" s="736">
        <v>6.0</v>
      </c>
      <c r="W177" s="731"/>
      <c r="X177" s="737">
        <v>3.0</v>
      </c>
      <c r="Y177" s="736">
        <v>6.0</v>
      </c>
      <c r="Z177" s="731"/>
    </row>
    <row r="178">
      <c r="A178" s="529" t="s">
        <v>405</v>
      </c>
      <c r="B178" s="529" t="s">
        <v>221</v>
      </c>
      <c r="C178" s="737"/>
      <c r="D178" s="731"/>
      <c r="E178" s="731"/>
      <c r="F178" s="737"/>
      <c r="G178" s="736"/>
      <c r="H178" s="731"/>
      <c r="I178" s="734"/>
      <c r="J178" s="731"/>
      <c r="K178" s="731"/>
      <c r="L178" s="734"/>
      <c r="M178" s="731"/>
      <c r="N178" s="731"/>
      <c r="O178" s="745">
        <v>1.0</v>
      </c>
      <c r="P178" s="736">
        <v>5.0</v>
      </c>
      <c r="Q178" s="731"/>
      <c r="R178" s="737">
        <v>3.0</v>
      </c>
      <c r="S178" s="736">
        <v>6.0</v>
      </c>
      <c r="T178" s="731"/>
      <c r="U178" s="737">
        <v>1.0</v>
      </c>
      <c r="V178" s="736">
        <v>6.0</v>
      </c>
      <c r="W178" s="731"/>
      <c r="X178" s="737">
        <v>3.0</v>
      </c>
      <c r="Y178" s="736">
        <v>6.0</v>
      </c>
      <c r="Z178" s="731"/>
    </row>
    <row r="179">
      <c r="A179" s="528"/>
      <c r="B179" s="529" t="s">
        <v>219</v>
      </c>
      <c r="C179" s="737"/>
      <c r="D179" s="731"/>
      <c r="E179" s="731"/>
      <c r="F179" s="737"/>
      <c r="G179" s="736"/>
      <c r="H179" s="731"/>
      <c r="I179" s="734"/>
      <c r="J179" s="731"/>
      <c r="K179" s="731"/>
      <c r="L179" s="734"/>
      <c r="M179" s="731"/>
      <c r="N179" s="731"/>
      <c r="O179" s="745">
        <v>1.0</v>
      </c>
      <c r="P179" s="736">
        <v>5.0</v>
      </c>
      <c r="Q179" s="731"/>
      <c r="R179" s="737">
        <v>3.0</v>
      </c>
      <c r="S179" s="736">
        <v>7.0</v>
      </c>
      <c r="T179" s="731"/>
      <c r="U179" s="737">
        <v>2.0</v>
      </c>
      <c r="V179" s="736">
        <v>7.0</v>
      </c>
      <c r="W179" s="731"/>
      <c r="X179" s="737">
        <v>3.0</v>
      </c>
      <c r="Y179" s="736">
        <v>7.0</v>
      </c>
      <c r="Z179" s="731"/>
    </row>
    <row r="180">
      <c r="A180" s="529" t="s">
        <v>103</v>
      </c>
      <c r="B180" s="529" t="s">
        <v>221</v>
      </c>
      <c r="C180" s="737"/>
      <c r="D180" s="731"/>
      <c r="E180" s="731"/>
      <c r="F180" s="737"/>
      <c r="G180" s="736"/>
      <c r="H180" s="731"/>
      <c r="I180" s="734"/>
      <c r="J180" s="731"/>
      <c r="K180" s="731"/>
      <c r="L180" s="734"/>
      <c r="M180" s="731"/>
      <c r="N180" s="731"/>
      <c r="O180" s="745">
        <v>1.0</v>
      </c>
      <c r="P180" s="736">
        <v>3.0</v>
      </c>
      <c r="Q180" s="731"/>
      <c r="R180" s="737">
        <v>2.0</v>
      </c>
      <c r="S180" s="736">
        <v>4.0</v>
      </c>
      <c r="T180" s="731"/>
      <c r="U180" s="737">
        <v>1.0</v>
      </c>
      <c r="V180" s="736">
        <v>4.0</v>
      </c>
      <c r="W180" s="731"/>
      <c r="X180" s="737">
        <v>2.0</v>
      </c>
      <c r="Y180" s="736">
        <v>4.0</v>
      </c>
      <c r="Z180" s="731"/>
    </row>
    <row r="181">
      <c r="A181" s="528"/>
      <c r="B181" s="529" t="s">
        <v>219</v>
      </c>
      <c r="C181" s="737"/>
      <c r="D181" s="731"/>
      <c r="E181" s="731"/>
      <c r="F181" s="737"/>
      <c r="G181" s="736"/>
      <c r="H181" s="731"/>
      <c r="I181" s="734"/>
      <c r="J181" s="731"/>
      <c r="K181" s="731"/>
      <c r="L181" s="734"/>
      <c r="M181" s="731"/>
      <c r="N181" s="731"/>
      <c r="O181" s="745">
        <v>1.0</v>
      </c>
      <c r="P181" s="736">
        <v>3.0</v>
      </c>
      <c r="Q181" s="731"/>
      <c r="R181" s="737">
        <v>2.0</v>
      </c>
      <c r="S181" s="736">
        <v>4.0</v>
      </c>
      <c r="T181" s="731"/>
      <c r="U181" s="737">
        <v>1.0</v>
      </c>
      <c r="V181" s="736">
        <v>4.0</v>
      </c>
      <c r="W181" s="731"/>
      <c r="X181" s="737">
        <v>2.0</v>
      </c>
      <c r="Y181" s="736">
        <v>4.0</v>
      </c>
      <c r="Z181" s="731"/>
    </row>
    <row r="182">
      <c r="A182" s="529" t="s">
        <v>305</v>
      </c>
      <c r="B182" s="529" t="s">
        <v>221</v>
      </c>
      <c r="C182" s="737"/>
      <c r="D182" s="731"/>
      <c r="E182" s="731"/>
      <c r="F182" s="737"/>
      <c r="G182" s="736"/>
      <c r="H182" s="731"/>
      <c r="I182" s="734"/>
      <c r="J182" s="731"/>
      <c r="K182" s="731"/>
      <c r="L182" s="734"/>
      <c r="M182" s="731"/>
      <c r="N182" s="731"/>
      <c r="O182" s="745">
        <v>1.0</v>
      </c>
      <c r="P182" s="736">
        <v>4.0</v>
      </c>
      <c r="Q182" s="731"/>
      <c r="R182" s="737">
        <v>2.0</v>
      </c>
      <c r="S182" s="736">
        <v>5.0</v>
      </c>
      <c r="T182" s="731"/>
      <c r="U182" s="737">
        <v>1.0</v>
      </c>
      <c r="V182" s="736">
        <v>5.0</v>
      </c>
      <c r="W182" s="731"/>
      <c r="X182" s="737">
        <v>2.0</v>
      </c>
      <c r="Y182" s="736">
        <v>5.0</v>
      </c>
      <c r="Z182" s="731"/>
    </row>
    <row r="183">
      <c r="A183" s="528"/>
      <c r="B183" s="529" t="s">
        <v>219</v>
      </c>
      <c r="C183" s="737"/>
      <c r="D183" s="731"/>
      <c r="E183" s="731"/>
      <c r="F183" s="737"/>
      <c r="G183" s="736"/>
      <c r="H183" s="731"/>
      <c r="I183" s="734"/>
      <c r="J183" s="731"/>
      <c r="K183" s="731"/>
      <c r="L183" s="734"/>
      <c r="M183" s="731"/>
      <c r="N183" s="731"/>
      <c r="O183" s="745">
        <v>1.0</v>
      </c>
      <c r="P183" s="736">
        <v>4.0</v>
      </c>
      <c r="Q183" s="731"/>
      <c r="R183" s="737">
        <v>2.0</v>
      </c>
      <c r="S183" s="736">
        <v>5.0</v>
      </c>
      <c r="T183" s="731"/>
      <c r="U183" s="737">
        <v>1.0</v>
      </c>
      <c r="V183" s="736">
        <v>5.0</v>
      </c>
      <c r="W183" s="731"/>
      <c r="X183" s="737">
        <v>2.0</v>
      </c>
      <c r="Y183" s="736">
        <v>5.0</v>
      </c>
      <c r="Z183" s="731"/>
    </row>
    <row r="184">
      <c r="A184" s="529" t="s">
        <v>406</v>
      </c>
      <c r="B184" s="529" t="s">
        <v>221</v>
      </c>
      <c r="C184" s="737"/>
      <c r="D184" s="731"/>
      <c r="E184" s="731"/>
      <c r="F184" s="737"/>
      <c r="G184" s="736"/>
      <c r="H184" s="731"/>
      <c r="I184" s="734"/>
      <c r="J184" s="731"/>
      <c r="K184" s="731"/>
      <c r="L184" s="734"/>
      <c r="M184" s="731"/>
      <c r="N184" s="731"/>
      <c r="O184" s="745">
        <v>1.0</v>
      </c>
      <c r="P184" s="736">
        <v>4.0</v>
      </c>
      <c r="Q184" s="731"/>
      <c r="R184" s="737">
        <v>3.0</v>
      </c>
      <c r="S184" s="736">
        <v>6.0</v>
      </c>
      <c r="T184" s="731"/>
      <c r="U184" s="737">
        <v>1.0</v>
      </c>
      <c r="V184" s="736">
        <v>6.0</v>
      </c>
      <c r="W184" s="731"/>
      <c r="X184" s="737">
        <v>3.0</v>
      </c>
      <c r="Y184" s="736">
        <v>6.0</v>
      </c>
      <c r="Z184" s="731"/>
    </row>
    <row r="185">
      <c r="A185" s="528"/>
      <c r="B185" s="529" t="s">
        <v>219</v>
      </c>
      <c r="C185" s="737"/>
      <c r="D185" s="731"/>
      <c r="E185" s="731"/>
      <c r="F185" s="737"/>
      <c r="G185" s="736"/>
      <c r="H185" s="731"/>
      <c r="I185" s="734"/>
      <c r="J185" s="731"/>
      <c r="K185" s="731"/>
      <c r="L185" s="734"/>
      <c r="M185" s="731"/>
      <c r="N185" s="731"/>
      <c r="O185" s="745">
        <v>1.0</v>
      </c>
      <c r="P185" s="736">
        <v>5.0</v>
      </c>
      <c r="Q185" s="731"/>
      <c r="R185" s="737">
        <v>3.0</v>
      </c>
      <c r="S185" s="736">
        <v>6.0</v>
      </c>
      <c r="T185" s="731"/>
      <c r="U185" s="737">
        <v>1.0</v>
      </c>
      <c r="V185" s="736">
        <v>6.0</v>
      </c>
      <c r="W185" s="731"/>
      <c r="X185" s="737">
        <v>3.0</v>
      </c>
      <c r="Y185" s="736">
        <v>6.0</v>
      </c>
      <c r="Z185" s="731"/>
    </row>
    <row r="186">
      <c r="A186" s="529" t="s">
        <v>306</v>
      </c>
      <c r="B186" s="529" t="s">
        <v>221</v>
      </c>
      <c r="C186" s="737"/>
      <c r="D186" s="731"/>
      <c r="E186" s="731"/>
      <c r="F186" s="737"/>
      <c r="G186" s="736"/>
      <c r="H186" s="731"/>
      <c r="I186" s="734"/>
      <c r="J186" s="731"/>
      <c r="K186" s="731"/>
      <c r="L186" s="734"/>
      <c r="M186" s="731"/>
      <c r="N186" s="731"/>
      <c r="O186" s="745">
        <v>1.0</v>
      </c>
      <c r="P186" s="736">
        <v>6.0</v>
      </c>
      <c r="Q186" s="731"/>
      <c r="R186" s="737">
        <v>3.0</v>
      </c>
      <c r="S186" s="736">
        <v>7.0</v>
      </c>
      <c r="T186" s="731"/>
      <c r="U186" s="737">
        <v>2.0</v>
      </c>
      <c r="V186" s="736">
        <v>7.0</v>
      </c>
      <c r="W186" s="731"/>
      <c r="X186" s="737">
        <v>3.0</v>
      </c>
      <c r="Y186" s="736">
        <v>7.0</v>
      </c>
      <c r="Z186" s="731"/>
    </row>
    <row r="187">
      <c r="A187" s="528"/>
      <c r="B187" s="529" t="s">
        <v>219</v>
      </c>
      <c r="C187" s="737"/>
      <c r="D187" s="731"/>
      <c r="E187" s="731"/>
      <c r="F187" s="737"/>
      <c r="G187" s="736"/>
      <c r="H187" s="731"/>
      <c r="I187" s="734"/>
      <c r="J187" s="731"/>
      <c r="K187" s="731"/>
      <c r="L187" s="734"/>
      <c r="M187" s="731"/>
      <c r="N187" s="731"/>
      <c r="O187" s="745">
        <v>1.0</v>
      </c>
      <c r="P187" s="736">
        <v>6.0</v>
      </c>
      <c r="Q187" s="731"/>
      <c r="R187" s="737">
        <v>4.0</v>
      </c>
      <c r="S187" s="736">
        <v>8.0</v>
      </c>
      <c r="T187" s="731"/>
      <c r="U187" s="737">
        <v>2.0</v>
      </c>
      <c r="V187" s="736">
        <v>8.0</v>
      </c>
      <c r="W187" s="731"/>
      <c r="X187" s="737">
        <v>4.0</v>
      </c>
      <c r="Y187" s="736">
        <v>8.0</v>
      </c>
      <c r="Z187" s="731"/>
    </row>
    <row r="188">
      <c r="A188" s="529" t="s">
        <v>407</v>
      </c>
      <c r="B188" s="529" t="s">
        <v>221</v>
      </c>
      <c r="C188" s="737"/>
      <c r="D188" s="731"/>
      <c r="E188" s="731"/>
      <c r="F188" s="737"/>
      <c r="G188" s="736"/>
      <c r="H188" s="731"/>
      <c r="I188" s="734"/>
      <c r="J188" s="731"/>
      <c r="K188" s="731"/>
      <c r="L188" s="734"/>
      <c r="M188" s="731"/>
      <c r="N188" s="731"/>
      <c r="O188" s="745">
        <v>1.0</v>
      </c>
      <c r="P188" s="736">
        <v>7.0</v>
      </c>
      <c r="Q188" s="731"/>
      <c r="R188" s="737">
        <v>4.0</v>
      </c>
      <c r="S188" s="736">
        <v>9.0</v>
      </c>
      <c r="T188" s="731"/>
      <c r="U188" s="737">
        <v>2.0</v>
      </c>
      <c r="V188" s="736">
        <v>9.0</v>
      </c>
      <c r="W188" s="731"/>
      <c r="X188" s="737">
        <v>4.0</v>
      </c>
      <c r="Y188" s="736">
        <v>9.0</v>
      </c>
      <c r="Z188" s="731"/>
    </row>
    <row r="189">
      <c r="A189" s="528"/>
      <c r="B189" s="529" t="s">
        <v>219</v>
      </c>
      <c r="C189" s="737"/>
      <c r="D189" s="731"/>
      <c r="E189" s="731"/>
      <c r="F189" s="737"/>
      <c r="G189" s="736"/>
      <c r="H189" s="731"/>
      <c r="I189" s="734"/>
      <c r="J189" s="731"/>
      <c r="K189" s="731"/>
      <c r="L189" s="734"/>
      <c r="M189" s="731"/>
      <c r="N189" s="731"/>
      <c r="O189" s="745">
        <v>1.0</v>
      </c>
      <c r="P189" s="736">
        <v>8.0</v>
      </c>
      <c r="Q189" s="731"/>
      <c r="R189" s="737">
        <v>4.0</v>
      </c>
      <c r="S189" s="736">
        <v>10.0</v>
      </c>
      <c r="T189" s="731"/>
      <c r="U189" s="737">
        <v>2.0</v>
      </c>
      <c r="V189" s="736">
        <v>10.0</v>
      </c>
      <c r="W189" s="731"/>
      <c r="X189" s="737">
        <v>5.0</v>
      </c>
      <c r="Y189" s="736">
        <v>10.0</v>
      </c>
      <c r="Z189" s="731"/>
    </row>
    <row r="190">
      <c r="A190" s="529" t="s">
        <v>137</v>
      </c>
      <c r="B190" s="529" t="s">
        <v>219</v>
      </c>
      <c r="C190" s="737"/>
      <c r="D190" s="731"/>
      <c r="E190" s="731"/>
      <c r="F190" s="737"/>
      <c r="G190" s="736"/>
      <c r="H190" s="731"/>
      <c r="I190" s="734"/>
      <c r="J190" s="731"/>
      <c r="K190" s="731"/>
      <c r="L190" s="734"/>
      <c r="M190" s="731"/>
      <c r="N190" s="731"/>
      <c r="O190" s="745">
        <v>1.0</v>
      </c>
      <c r="P190" s="736">
        <v>6.0</v>
      </c>
      <c r="Q190" s="731"/>
      <c r="R190" s="737">
        <v>3.0</v>
      </c>
      <c r="S190" s="736">
        <v>7.0</v>
      </c>
      <c r="T190" s="731"/>
      <c r="U190" s="737">
        <v>2.0</v>
      </c>
      <c r="V190" s="736">
        <v>7.0</v>
      </c>
      <c r="W190" s="731"/>
      <c r="X190" s="737">
        <v>3.0</v>
      </c>
      <c r="Y190" s="736">
        <v>7.0</v>
      </c>
      <c r="Z190" s="731"/>
    </row>
    <row r="191">
      <c r="A191" s="528"/>
      <c r="B191" s="529" t="s">
        <v>217</v>
      </c>
      <c r="C191" s="737"/>
      <c r="D191" s="731"/>
      <c r="E191" s="731"/>
      <c r="F191" s="737"/>
      <c r="G191" s="736"/>
      <c r="H191" s="731"/>
      <c r="I191" s="734"/>
      <c r="J191" s="731"/>
      <c r="K191" s="731"/>
      <c r="L191" s="734"/>
      <c r="M191" s="731"/>
      <c r="N191" s="731"/>
      <c r="O191" s="745">
        <v>1.0</v>
      </c>
      <c r="P191" s="736">
        <v>6.0</v>
      </c>
      <c r="Q191" s="731"/>
      <c r="R191" s="737">
        <v>4.0</v>
      </c>
      <c r="S191" s="736">
        <v>8.0</v>
      </c>
      <c r="T191" s="731"/>
      <c r="U191" s="737">
        <v>2.0</v>
      </c>
      <c r="V191" s="736">
        <v>8.0</v>
      </c>
      <c r="W191" s="731"/>
      <c r="X191" s="737">
        <v>4.0</v>
      </c>
      <c r="Y191" s="736">
        <v>8.0</v>
      </c>
      <c r="Z191" s="731"/>
    </row>
    <row r="192">
      <c r="A192" s="529" t="s">
        <v>408</v>
      </c>
      <c r="B192" s="529" t="s">
        <v>219</v>
      </c>
      <c r="C192" s="737"/>
      <c r="D192" s="731"/>
      <c r="E192" s="731"/>
      <c r="F192" s="737"/>
      <c r="G192" s="736"/>
      <c r="H192" s="731"/>
      <c r="I192" s="734"/>
      <c r="J192" s="731"/>
      <c r="K192" s="731"/>
      <c r="L192" s="734"/>
      <c r="M192" s="731"/>
      <c r="N192" s="731"/>
      <c r="O192" s="745">
        <v>1.0</v>
      </c>
      <c r="P192" s="736">
        <v>7.0</v>
      </c>
      <c r="Q192" s="731"/>
      <c r="R192" s="737">
        <v>4.0</v>
      </c>
      <c r="S192" s="736">
        <v>9.0</v>
      </c>
      <c r="T192" s="731"/>
      <c r="U192" s="737">
        <v>2.0</v>
      </c>
      <c r="V192" s="736">
        <v>9.0</v>
      </c>
      <c r="W192" s="731"/>
      <c r="X192" s="737">
        <v>4.0</v>
      </c>
      <c r="Y192" s="736">
        <v>9.0</v>
      </c>
      <c r="Z192" s="731"/>
    </row>
    <row r="193">
      <c r="A193" s="528"/>
      <c r="B193" s="529" t="s">
        <v>217</v>
      </c>
      <c r="C193" s="737"/>
      <c r="D193" s="731"/>
      <c r="E193" s="731"/>
      <c r="F193" s="737"/>
      <c r="G193" s="736"/>
      <c r="H193" s="731"/>
      <c r="I193" s="734"/>
      <c r="J193" s="731"/>
      <c r="K193" s="731"/>
      <c r="L193" s="734"/>
      <c r="M193" s="731"/>
      <c r="N193" s="731"/>
      <c r="O193" s="745">
        <v>1.0</v>
      </c>
      <c r="P193" s="736">
        <v>8.0</v>
      </c>
      <c r="Q193" s="731"/>
      <c r="R193" s="737">
        <v>4.0</v>
      </c>
      <c r="S193" s="736">
        <v>10.0</v>
      </c>
      <c r="T193" s="731"/>
      <c r="U193" s="737">
        <v>2.0</v>
      </c>
      <c r="V193" s="736">
        <v>10.0</v>
      </c>
      <c r="W193" s="731"/>
      <c r="X193" s="737">
        <v>5.0</v>
      </c>
      <c r="Y193" s="736">
        <v>10.0</v>
      </c>
      <c r="Z193" s="731"/>
    </row>
    <row r="194">
      <c r="A194" s="529" t="s">
        <v>206</v>
      </c>
      <c r="B194" s="529" t="s">
        <v>221</v>
      </c>
      <c r="C194" s="737">
        <v>1.0</v>
      </c>
      <c r="D194" s="736">
        <v>1.0</v>
      </c>
      <c r="E194" s="731"/>
      <c r="F194" s="737">
        <v>1.0</v>
      </c>
      <c r="G194" s="736">
        <v>1.0</v>
      </c>
      <c r="H194" s="731"/>
      <c r="I194" s="737">
        <v>1.0</v>
      </c>
      <c r="J194" s="736">
        <v>1.0</v>
      </c>
      <c r="K194" s="736"/>
      <c r="L194" s="737">
        <v>1.0</v>
      </c>
      <c r="M194" s="736">
        <v>1.0</v>
      </c>
      <c r="N194" s="731"/>
      <c r="O194" s="745">
        <v>1.0</v>
      </c>
      <c r="P194" s="736">
        <v>1.0</v>
      </c>
      <c r="Q194" s="731"/>
      <c r="R194" s="737">
        <v>1.0</v>
      </c>
      <c r="S194" s="736">
        <v>1.0</v>
      </c>
      <c r="T194" s="731"/>
      <c r="U194" s="737">
        <v>1.0</v>
      </c>
      <c r="V194" s="736">
        <v>1.0</v>
      </c>
      <c r="W194" s="731"/>
      <c r="X194" s="737">
        <v>1.0</v>
      </c>
      <c r="Y194" s="736">
        <v>1.0</v>
      </c>
      <c r="Z194" s="731"/>
    </row>
    <row r="195">
      <c r="A195" s="529"/>
      <c r="B195" s="529" t="s">
        <v>219</v>
      </c>
      <c r="C195" s="737">
        <v>1.0</v>
      </c>
      <c r="D195" s="736">
        <v>1.0</v>
      </c>
      <c r="E195" s="731"/>
      <c r="F195" s="737">
        <v>1.0</v>
      </c>
      <c r="G195" s="736">
        <v>1.0</v>
      </c>
      <c r="H195" s="731"/>
      <c r="I195" s="737">
        <v>1.0</v>
      </c>
      <c r="J195" s="736">
        <v>1.0</v>
      </c>
      <c r="K195" s="731"/>
      <c r="L195" s="737">
        <v>1.0</v>
      </c>
      <c r="M195" s="736">
        <v>1.0</v>
      </c>
      <c r="N195" s="731"/>
      <c r="O195" s="745">
        <v>1.0</v>
      </c>
      <c r="P195" s="736">
        <v>1.0</v>
      </c>
      <c r="Q195" s="731"/>
      <c r="R195" s="737">
        <v>1.0</v>
      </c>
      <c r="S195" s="736">
        <v>1.0</v>
      </c>
      <c r="T195" s="731"/>
      <c r="U195" s="737">
        <v>1.0</v>
      </c>
      <c r="V195" s="736">
        <v>1.0</v>
      </c>
      <c r="W195" s="731"/>
      <c r="X195" s="737">
        <v>1.0</v>
      </c>
      <c r="Y195" s="736">
        <v>1.0</v>
      </c>
      <c r="Z195" s="731"/>
    </row>
    <row r="196">
      <c r="A196" s="529" t="s">
        <v>208</v>
      </c>
      <c r="B196" s="529" t="s">
        <v>221</v>
      </c>
      <c r="C196" s="737">
        <v>1.0</v>
      </c>
      <c r="D196" s="736">
        <v>1.0</v>
      </c>
      <c r="E196" s="731"/>
      <c r="F196" s="737">
        <v>1.0</v>
      </c>
      <c r="G196" s="736">
        <v>2.0</v>
      </c>
      <c r="H196" s="731"/>
      <c r="I196" s="737">
        <v>1.0</v>
      </c>
      <c r="J196" s="736">
        <v>2.0</v>
      </c>
      <c r="K196" s="731"/>
      <c r="L196" s="737">
        <v>1.0</v>
      </c>
      <c r="M196" s="736">
        <v>2.0</v>
      </c>
      <c r="N196" s="731"/>
      <c r="O196" s="745">
        <v>1.0</v>
      </c>
      <c r="P196" s="736">
        <v>2.0</v>
      </c>
      <c r="Q196" s="731"/>
      <c r="R196" s="737">
        <v>1.0</v>
      </c>
      <c r="S196" s="736">
        <v>2.0</v>
      </c>
      <c r="T196" s="731"/>
      <c r="U196" s="737">
        <v>1.0</v>
      </c>
      <c r="V196" s="736">
        <v>2.0</v>
      </c>
      <c r="W196" s="731"/>
      <c r="X196" s="737">
        <v>1.0</v>
      </c>
      <c r="Y196" s="736">
        <v>2.0</v>
      </c>
      <c r="Z196" s="731"/>
    </row>
    <row r="197">
      <c r="A197" s="529"/>
      <c r="B197" s="529" t="s">
        <v>219</v>
      </c>
      <c r="C197" s="737">
        <v>1.0</v>
      </c>
      <c r="D197" s="736">
        <v>1.0</v>
      </c>
      <c r="E197" s="731"/>
      <c r="F197" s="737">
        <v>1.0</v>
      </c>
      <c r="G197" s="736">
        <v>2.0</v>
      </c>
      <c r="H197" s="731"/>
      <c r="I197" s="737">
        <v>1.0</v>
      </c>
      <c r="J197" s="736">
        <v>2.0</v>
      </c>
      <c r="K197" s="731"/>
      <c r="L197" s="737">
        <v>1.0</v>
      </c>
      <c r="M197" s="736">
        <v>2.0</v>
      </c>
      <c r="N197" s="731"/>
      <c r="O197" s="745">
        <v>1.0</v>
      </c>
      <c r="P197" s="736">
        <v>2.0</v>
      </c>
      <c r="Q197" s="731"/>
      <c r="R197" s="737">
        <v>1.0</v>
      </c>
      <c r="S197" s="736">
        <v>2.0</v>
      </c>
      <c r="T197" s="731"/>
      <c r="U197" s="737">
        <v>1.0</v>
      </c>
      <c r="V197" s="736">
        <v>2.0</v>
      </c>
      <c r="W197" s="731"/>
      <c r="X197" s="737">
        <v>1.0</v>
      </c>
      <c r="Y197" s="736">
        <v>2.0</v>
      </c>
      <c r="Z197" s="731"/>
    </row>
    <row r="198">
      <c r="A198" s="529" t="s">
        <v>409</v>
      </c>
      <c r="B198" s="529" t="s">
        <v>221</v>
      </c>
      <c r="C198" s="737">
        <v>1.0</v>
      </c>
      <c r="D198" s="736">
        <v>1.0</v>
      </c>
      <c r="E198" s="731"/>
      <c r="F198" s="737">
        <v>1.0</v>
      </c>
      <c r="G198" s="736">
        <v>2.0</v>
      </c>
      <c r="H198" s="731"/>
      <c r="I198" s="737">
        <v>1.0</v>
      </c>
      <c r="J198" s="736">
        <v>2.0</v>
      </c>
      <c r="K198" s="731"/>
      <c r="L198" s="737">
        <v>1.0</v>
      </c>
      <c r="M198" s="736">
        <v>2.0</v>
      </c>
      <c r="N198" s="731"/>
      <c r="O198" s="745">
        <v>1.0</v>
      </c>
      <c r="P198" s="736">
        <v>2.0</v>
      </c>
      <c r="Q198" s="731"/>
      <c r="R198" s="737">
        <v>1.0</v>
      </c>
      <c r="S198" s="736">
        <v>3.0</v>
      </c>
      <c r="T198" s="731"/>
      <c r="U198" s="737">
        <v>1.0</v>
      </c>
      <c r="V198" s="736">
        <v>3.0</v>
      </c>
      <c r="W198" s="731"/>
      <c r="X198" s="737">
        <v>1.0</v>
      </c>
      <c r="Y198" s="736">
        <v>3.0</v>
      </c>
      <c r="Z198" s="731"/>
    </row>
    <row r="199">
      <c r="A199" s="529"/>
      <c r="B199" s="529" t="s">
        <v>219</v>
      </c>
      <c r="C199" s="737">
        <v>1.0</v>
      </c>
      <c r="D199" s="736">
        <v>2.0</v>
      </c>
      <c r="E199" s="731"/>
      <c r="F199" s="737">
        <v>1.0</v>
      </c>
      <c r="G199" s="736">
        <v>2.0</v>
      </c>
      <c r="H199" s="731"/>
      <c r="I199" s="737">
        <v>1.0</v>
      </c>
      <c r="J199" s="736">
        <v>2.0</v>
      </c>
      <c r="K199" s="731"/>
      <c r="L199" s="737">
        <v>1.0</v>
      </c>
      <c r="M199" s="736">
        <v>2.0</v>
      </c>
      <c r="N199" s="731"/>
      <c r="O199" s="745">
        <v>1.0</v>
      </c>
      <c r="P199" s="736">
        <v>2.0</v>
      </c>
      <c r="Q199" s="731"/>
      <c r="R199" s="737">
        <v>1.0</v>
      </c>
      <c r="S199" s="736">
        <v>3.0</v>
      </c>
      <c r="T199" s="731"/>
      <c r="U199" s="737">
        <v>1.0</v>
      </c>
      <c r="V199" s="736">
        <v>3.0</v>
      </c>
      <c r="W199" s="731"/>
      <c r="X199" s="737">
        <v>2.0</v>
      </c>
      <c r="Y199" s="736">
        <v>3.0</v>
      </c>
      <c r="Z199" s="731"/>
    </row>
    <row r="200">
      <c r="A200" s="529"/>
      <c r="B200" s="529" t="s">
        <v>221</v>
      </c>
      <c r="C200" s="737">
        <v>1.0</v>
      </c>
      <c r="D200" s="736">
        <v>1.0</v>
      </c>
      <c r="E200" s="731"/>
      <c r="F200" s="737">
        <v>1.0</v>
      </c>
      <c r="G200" s="736">
        <v>1.0</v>
      </c>
      <c r="H200" s="731"/>
      <c r="I200" s="737">
        <v>1.0</v>
      </c>
      <c r="J200" s="736">
        <v>1.0</v>
      </c>
      <c r="K200" s="731"/>
      <c r="L200" s="737">
        <v>1.0</v>
      </c>
      <c r="M200" s="736">
        <v>1.0</v>
      </c>
      <c r="N200" s="731"/>
      <c r="O200" s="745">
        <v>1.0</v>
      </c>
      <c r="P200" s="736">
        <v>2.0</v>
      </c>
      <c r="Q200" s="731"/>
      <c r="R200" s="737">
        <v>1.0</v>
      </c>
      <c r="S200" s="736">
        <v>2.0</v>
      </c>
      <c r="T200" s="731"/>
      <c r="U200" s="737">
        <v>1.0</v>
      </c>
      <c r="V200" s="736">
        <v>2.0</v>
      </c>
      <c r="W200" s="731"/>
      <c r="X200" s="737">
        <v>1.0</v>
      </c>
      <c r="Y200" s="736">
        <v>2.0</v>
      </c>
      <c r="Z200" s="731"/>
    </row>
    <row r="201">
      <c r="A201" s="529" t="s">
        <v>209</v>
      </c>
      <c r="B201" s="529" t="s">
        <v>219</v>
      </c>
      <c r="C201" s="737">
        <v>1.0</v>
      </c>
      <c r="D201" s="736">
        <v>1.0</v>
      </c>
      <c r="E201" s="731"/>
      <c r="F201" s="737">
        <v>1.0</v>
      </c>
      <c r="G201" s="736">
        <v>1.0</v>
      </c>
      <c r="H201" s="731"/>
      <c r="I201" s="737">
        <v>1.0</v>
      </c>
      <c r="J201" s="736">
        <v>1.0</v>
      </c>
      <c r="K201" s="731"/>
      <c r="L201" s="737">
        <v>1.0</v>
      </c>
      <c r="M201" s="736">
        <v>1.0</v>
      </c>
      <c r="N201" s="731"/>
      <c r="O201" s="745">
        <v>1.0</v>
      </c>
      <c r="P201" s="736">
        <v>2.0</v>
      </c>
      <c r="Q201" s="731"/>
      <c r="R201" s="737">
        <v>1.0</v>
      </c>
      <c r="S201" s="736">
        <v>2.0</v>
      </c>
      <c r="T201" s="731"/>
      <c r="U201" s="737">
        <v>1.0</v>
      </c>
      <c r="V201" s="736">
        <v>2.0</v>
      </c>
      <c r="W201" s="731"/>
      <c r="X201" s="737">
        <v>1.0</v>
      </c>
      <c r="Y201" s="736">
        <v>2.0</v>
      </c>
      <c r="Z201" s="731"/>
    </row>
    <row r="202">
      <c r="A202" s="529"/>
      <c r="B202" s="529" t="s">
        <v>217</v>
      </c>
      <c r="C202" s="737">
        <v>1.0</v>
      </c>
      <c r="D202" s="736">
        <v>1.0</v>
      </c>
      <c r="E202" s="731"/>
      <c r="F202" s="737">
        <v>1.0</v>
      </c>
      <c r="G202" s="736">
        <v>1.0</v>
      </c>
      <c r="H202" s="731"/>
      <c r="I202" s="737">
        <v>1.0</v>
      </c>
      <c r="J202" s="736">
        <v>1.0</v>
      </c>
      <c r="K202" s="731"/>
      <c r="L202" s="737">
        <v>1.0</v>
      </c>
      <c r="M202" s="736">
        <v>1.0</v>
      </c>
      <c r="N202" s="731"/>
      <c r="O202" s="745">
        <v>1.0</v>
      </c>
      <c r="P202" s="736">
        <v>2.0</v>
      </c>
      <c r="Q202" s="731"/>
      <c r="R202" s="737">
        <v>1.0</v>
      </c>
      <c r="S202" s="736">
        <v>2.0</v>
      </c>
      <c r="T202" s="731"/>
      <c r="U202" s="737">
        <v>1.0</v>
      </c>
      <c r="V202" s="736">
        <v>2.0</v>
      </c>
      <c r="W202" s="731"/>
      <c r="X202" s="737">
        <v>1.0</v>
      </c>
      <c r="Y202" s="736">
        <v>2.0</v>
      </c>
      <c r="Z202" s="731"/>
    </row>
    <row r="203">
      <c r="A203" s="529" t="s">
        <v>259</v>
      </c>
      <c r="B203" s="529"/>
      <c r="C203" s="737">
        <v>1.0</v>
      </c>
      <c r="D203" s="736">
        <v>1.0</v>
      </c>
      <c r="E203" s="731"/>
      <c r="F203" s="737">
        <v>1.0</v>
      </c>
      <c r="G203" s="736">
        <v>1.0</v>
      </c>
      <c r="H203" s="731"/>
      <c r="I203" s="737">
        <v>1.0</v>
      </c>
      <c r="J203" s="736">
        <v>1.0</v>
      </c>
      <c r="K203" s="731"/>
      <c r="L203" s="737">
        <v>1.0</v>
      </c>
      <c r="M203" s="736">
        <v>1.0</v>
      </c>
      <c r="N203" s="731"/>
      <c r="O203" s="745">
        <v>1.0</v>
      </c>
      <c r="P203" s="736">
        <v>2.0</v>
      </c>
      <c r="Q203" s="731"/>
      <c r="R203" s="737">
        <v>1.0</v>
      </c>
      <c r="S203" s="736">
        <v>2.0</v>
      </c>
      <c r="T203" s="731"/>
      <c r="U203" s="737">
        <v>1.0</v>
      </c>
      <c r="V203" s="736">
        <v>2.0</v>
      </c>
      <c r="W203" s="731"/>
      <c r="X203" s="737">
        <v>1.0</v>
      </c>
      <c r="Y203" s="736">
        <v>2.0</v>
      </c>
      <c r="Z203" s="731"/>
    </row>
    <row r="204">
      <c r="A204" s="529" t="s">
        <v>249</v>
      </c>
      <c r="B204" s="529"/>
      <c r="C204" s="737">
        <v>1.0</v>
      </c>
      <c r="D204" s="736">
        <v>1.0</v>
      </c>
      <c r="E204" s="731"/>
      <c r="F204" s="737">
        <v>1.0</v>
      </c>
      <c r="G204" s="736">
        <v>1.0</v>
      </c>
      <c r="H204" s="731"/>
      <c r="I204" s="737">
        <v>1.0</v>
      </c>
      <c r="J204" s="736">
        <v>1.0</v>
      </c>
      <c r="K204" s="731"/>
      <c r="L204" s="737">
        <v>1.0</v>
      </c>
      <c r="M204" s="736">
        <v>1.0</v>
      </c>
      <c r="N204" s="731"/>
      <c r="O204" s="745">
        <v>1.0</v>
      </c>
      <c r="P204" s="736">
        <v>2.0</v>
      </c>
      <c r="Q204" s="731"/>
      <c r="R204" s="737">
        <v>1.0</v>
      </c>
      <c r="S204" s="736">
        <v>2.0</v>
      </c>
      <c r="T204" s="731"/>
      <c r="U204" s="737">
        <v>1.0</v>
      </c>
      <c r="V204" s="736">
        <v>2.0</v>
      </c>
      <c r="W204" s="731"/>
      <c r="X204" s="737">
        <v>1.0</v>
      </c>
      <c r="Y204" s="736">
        <v>2.0</v>
      </c>
      <c r="Z204" s="731"/>
    </row>
    <row r="205">
      <c r="A205" s="529"/>
      <c r="B205" s="529"/>
      <c r="C205" s="737"/>
      <c r="D205" s="731"/>
      <c r="E205" s="731"/>
      <c r="F205" s="737"/>
      <c r="G205" s="736"/>
      <c r="H205" s="731"/>
      <c r="I205" s="734"/>
      <c r="J205" s="731"/>
      <c r="K205" s="731"/>
      <c r="L205" s="734"/>
      <c r="M205" s="731"/>
      <c r="N205" s="731"/>
      <c r="O205" s="745"/>
      <c r="P205" s="736"/>
      <c r="Q205" s="731"/>
      <c r="R205" s="737"/>
      <c r="S205" s="736"/>
      <c r="T205" s="731"/>
      <c r="U205" s="737"/>
      <c r="V205" s="736"/>
      <c r="W205" s="731"/>
      <c r="X205" s="737"/>
      <c r="Y205" s="736"/>
      <c r="Z205" s="731"/>
    </row>
    <row r="206">
      <c r="A206" s="528"/>
      <c r="B206" s="529"/>
      <c r="C206" s="737"/>
      <c r="D206" s="731"/>
      <c r="E206" s="731"/>
      <c r="F206" s="737"/>
      <c r="G206" s="736"/>
      <c r="H206" s="731"/>
      <c r="I206" s="734"/>
      <c r="J206" s="731"/>
      <c r="K206" s="731"/>
      <c r="L206" s="734"/>
      <c r="M206" s="731"/>
      <c r="N206" s="731"/>
      <c r="O206" s="745"/>
      <c r="P206" s="736"/>
      <c r="Q206" s="731"/>
      <c r="R206" s="737"/>
      <c r="S206" s="736"/>
      <c r="T206" s="731"/>
      <c r="U206" s="737"/>
      <c r="V206" s="736"/>
      <c r="W206" s="731"/>
      <c r="X206" s="737"/>
      <c r="Y206" s="736"/>
      <c r="Z206" s="731"/>
    </row>
    <row r="207">
      <c r="A207" s="529" t="s">
        <v>212</v>
      </c>
      <c r="B207" s="529"/>
      <c r="C207" s="737"/>
      <c r="D207" s="731"/>
      <c r="E207" s="731"/>
      <c r="F207" s="737"/>
      <c r="G207" s="736"/>
      <c r="H207" s="731"/>
      <c r="I207" s="737">
        <v>2.0</v>
      </c>
      <c r="J207" s="736">
        <v>8.0</v>
      </c>
      <c r="K207" s="731"/>
      <c r="L207" s="737">
        <v>4.0</v>
      </c>
      <c r="M207" s="736">
        <v>8.0</v>
      </c>
      <c r="N207" s="731"/>
      <c r="O207" s="745">
        <v>1.0</v>
      </c>
      <c r="P207" s="736">
        <v>8.0</v>
      </c>
      <c r="Q207" s="731"/>
      <c r="R207" s="737">
        <v>5.0</v>
      </c>
      <c r="S207" s="736">
        <v>11.0</v>
      </c>
      <c r="T207" s="731"/>
      <c r="U207" s="737">
        <v>2.0</v>
      </c>
      <c r="V207" s="736">
        <v>11.0</v>
      </c>
      <c r="W207" s="731"/>
      <c r="X207" s="737">
        <v>5.0</v>
      </c>
      <c r="Y207" s="736">
        <v>11.0</v>
      </c>
      <c r="Z207" s="736"/>
    </row>
    <row r="208">
      <c r="A208" s="529" t="s">
        <v>214</v>
      </c>
      <c r="B208" s="529"/>
      <c r="C208" s="737"/>
      <c r="D208" s="731"/>
      <c r="E208" s="731"/>
      <c r="F208" s="737"/>
      <c r="G208" s="736"/>
      <c r="H208" s="731"/>
      <c r="I208" s="737">
        <v>2.0</v>
      </c>
      <c r="J208" s="736">
        <v>7.0</v>
      </c>
      <c r="K208" s="731"/>
      <c r="L208" s="737">
        <v>3.0</v>
      </c>
      <c r="M208" s="736">
        <v>7.0</v>
      </c>
      <c r="N208" s="731"/>
      <c r="O208" s="745">
        <v>1.0</v>
      </c>
      <c r="P208" s="736">
        <v>8.0</v>
      </c>
      <c r="Q208" s="731"/>
      <c r="R208" s="737">
        <v>4.0</v>
      </c>
      <c r="S208" s="736">
        <v>10.0</v>
      </c>
      <c r="T208" s="731"/>
      <c r="U208" s="737">
        <v>2.0</v>
      </c>
      <c r="V208" s="736">
        <v>10.0</v>
      </c>
      <c r="W208" s="731"/>
      <c r="X208" s="737">
        <v>5.0</v>
      </c>
      <c r="Y208" s="736">
        <v>10.0</v>
      </c>
      <c r="Z208" s="736"/>
    </row>
    <row r="209">
      <c r="A209" s="529" t="s">
        <v>229</v>
      </c>
      <c r="B209" s="529"/>
      <c r="C209" s="737"/>
      <c r="D209" s="731"/>
      <c r="E209" s="731"/>
      <c r="F209" s="737"/>
      <c r="G209" s="736"/>
      <c r="H209" s="731"/>
      <c r="I209" s="737">
        <v>2.0</v>
      </c>
      <c r="J209" s="736">
        <v>7.0</v>
      </c>
      <c r="K209" s="731"/>
      <c r="L209" s="737">
        <v>3.0</v>
      </c>
      <c r="M209" s="736">
        <v>7.0</v>
      </c>
      <c r="N209" s="731"/>
      <c r="O209" s="745">
        <v>1.0</v>
      </c>
      <c r="P209" s="736">
        <v>8.0</v>
      </c>
      <c r="Q209" s="731"/>
      <c r="R209" s="737">
        <v>5.0</v>
      </c>
      <c r="S209" s="736">
        <v>11.0</v>
      </c>
      <c r="T209" s="731"/>
      <c r="U209" s="737">
        <v>2.0</v>
      </c>
      <c r="V209" s="736">
        <v>11.0</v>
      </c>
      <c r="W209" s="731"/>
      <c r="X209" s="737">
        <v>5.0</v>
      </c>
      <c r="Y209" s="736">
        <v>11.0</v>
      </c>
      <c r="Z209" s="736"/>
    </row>
    <row r="210">
      <c r="A210" s="529" t="s">
        <v>232</v>
      </c>
      <c r="B210" s="529"/>
      <c r="C210" s="737"/>
      <c r="D210" s="731"/>
      <c r="E210" s="731"/>
      <c r="F210" s="737"/>
      <c r="G210" s="736"/>
      <c r="H210" s="731"/>
      <c r="I210" s="737">
        <v>2.0</v>
      </c>
      <c r="J210" s="736">
        <v>7.0</v>
      </c>
      <c r="K210" s="731"/>
      <c r="L210" s="737">
        <v>3.0</v>
      </c>
      <c r="M210" s="736">
        <v>7.0</v>
      </c>
      <c r="N210" s="731"/>
      <c r="O210" s="745">
        <v>1.0</v>
      </c>
      <c r="P210" s="736">
        <v>8.0</v>
      </c>
      <c r="Q210" s="731"/>
      <c r="R210" s="737">
        <v>4.0</v>
      </c>
      <c r="S210" s="736">
        <v>10.0</v>
      </c>
      <c r="T210" s="731"/>
      <c r="U210" s="737">
        <v>2.0</v>
      </c>
      <c r="V210" s="736">
        <v>10.0</v>
      </c>
      <c r="W210" s="731"/>
      <c r="X210" s="737">
        <v>5.0</v>
      </c>
      <c r="Y210" s="736">
        <v>10.0</v>
      </c>
      <c r="Z210" s="736"/>
    </row>
    <row r="211">
      <c r="A211" s="529" t="s">
        <v>236</v>
      </c>
      <c r="B211" s="529"/>
      <c r="C211" s="737"/>
      <c r="D211" s="731"/>
      <c r="E211" s="731"/>
      <c r="F211" s="737"/>
      <c r="G211" s="736"/>
      <c r="H211" s="731"/>
      <c r="I211" s="737">
        <v>2.0</v>
      </c>
      <c r="J211" s="736">
        <v>7.0</v>
      </c>
      <c r="K211" s="731"/>
      <c r="L211" s="737">
        <v>3.0</v>
      </c>
      <c r="M211" s="736">
        <v>7.0</v>
      </c>
      <c r="N211" s="731"/>
      <c r="O211" s="745">
        <v>1.0</v>
      </c>
      <c r="P211" s="736">
        <v>8.0</v>
      </c>
      <c r="Q211" s="731"/>
      <c r="R211" s="737">
        <v>4.0</v>
      </c>
      <c r="S211" s="736">
        <v>10.0</v>
      </c>
      <c r="T211" s="731"/>
      <c r="U211" s="737">
        <v>2.0</v>
      </c>
      <c r="V211" s="736">
        <v>10.0</v>
      </c>
      <c r="W211" s="731"/>
      <c r="X211" s="737">
        <v>4.0</v>
      </c>
      <c r="Y211" s="736">
        <v>10.0</v>
      </c>
      <c r="Z211" s="736"/>
    </row>
    <row r="212">
      <c r="A212" s="529" t="s">
        <v>242</v>
      </c>
      <c r="B212" s="529"/>
      <c r="C212" s="737"/>
      <c r="D212" s="731"/>
      <c r="E212" s="731"/>
      <c r="F212" s="737"/>
      <c r="G212" s="736"/>
      <c r="H212" s="731"/>
      <c r="I212" s="737">
        <v>1.0</v>
      </c>
      <c r="J212" s="736">
        <v>6.0</v>
      </c>
      <c r="K212" s="731"/>
      <c r="L212" s="737">
        <v>3.0</v>
      </c>
      <c r="M212" s="736">
        <v>7.0</v>
      </c>
      <c r="N212" s="731"/>
      <c r="O212" s="745">
        <v>1.0</v>
      </c>
      <c r="P212" s="736">
        <v>7.0</v>
      </c>
      <c r="Q212" s="731"/>
      <c r="R212" s="737">
        <v>4.0</v>
      </c>
      <c r="S212" s="736">
        <v>9.0</v>
      </c>
      <c r="T212" s="731"/>
      <c r="U212" s="737">
        <v>2.0</v>
      </c>
      <c r="V212" s="736">
        <v>9.0</v>
      </c>
      <c r="W212" s="731"/>
      <c r="X212" s="737">
        <v>4.0</v>
      </c>
      <c r="Y212" s="736">
        <v>9.0</v>
      </c>
      <c r="Z212" s="731"/>
    </row>
    <row r="213">
      <c r="A213" s="529" t="s">
        <v>317</v>
      </c>
      <c r="B213" s="529"/>
      <c r="C213" s="737"/>
      <c r="D213" s="731"/>
      <c r="E213" s="731"/>
      <c r="F213" s="737"/>
      <c r="G213" s="736"/>
      <c r="H213" s="731"/>
      <c r="I213" s="737">
        <v>1.0</v>
      </c>
      <c r="J213" s="736">
        <v>3.0</v>
      </c>
      <c r="K213" s="731"/>
      <c r="L213" s="737">
        <v>2.0</v>
      </c>
      <c r="M213" s="736">
        <v>3.0</v>
      </c>
      <c r="N213" s="731"/>
      <c r="O213" s="745">
        <v>1.0</v>
      </c>
      <c r="P213" s="736">
        <v>3.0</v>
      </c>
      <c r="Q213" s="731"/>
      <c r="R213" s="737">
        <v>2.0</v>
      </c>
      <c r="S213" s="736">
        <v>4.0</v>
      </c>
      <c r="T213" s="731"/>
      <c r="U213" s="737">
        <v>1.0</v>
      </c>
      <c r="V213" s="736">
        <v>4.0</v>
      </c>
      <c r="W213" s="731"/>
      <c r="X213" s="737">
        <v>2.0</v>
      </c>
      <c r="Y213" s="736">
        <v>4.0</v>
      </c>
      <c r="Z213" s="731"/>
    </row>
    <row r="214">
      <c r="A214" s="529" t="s">
        <v>284</v>
      </c>
      <c r="B214" s="529"/>
      <c r="C214" s="737"/>
      <c r="D214" s="731"/>
      <c r="E214" s="731"/>
      <c r="F214" s="737"/>
      <c r="G214" s="736"/>
      <c r="H214" s="731"/>
      <c r="I214" s="737">
        <v>1.0</v>
      </c>
      <c r="J214" s="736">
        <v>3.0</v>
      </c>
      <c r="K214" s="736"/>
      <c r="L214" s="737">
        <v>2.0</v>
      </c>
      <c r="M214" s="736">
        <v>3.0</v>
      </c>
      <c r="N214" s="731"/>
      <c r="O214" s="745">
        <v>1.0</v>
      </c>
      <c r="P214" s="736">
        <v>4.0</v>
      </c>
      <c r="Q214" s="731"/>
      <c r="R214" s="737">
        <v>2.0</v>
      </c>
      <c r="S214" s="736">
        <v>5.0</v>
      </c>
      <c r="T214" s="731"/>
      <c r="U214" s="737">
        <v>1.0</v>
      </c>
      <c r="V214" s="736">
        <v>5.0</v>
      </c>
      <c r="W214" s="731"/>
      <c r="X214" s="737">
        <v>2.0</v>
      </c>
      <c r="Y214" s="736">
        <v>5.0</v>
      </c>
      <c r="Z214" s="736"/>
    </row>
    <row r="215">
      <c r="A215" s="529" t="s">
        <v>279</v>
      </c>
      <c r="B215" s="529"/>
      <c r="C215" s="737"/>
      <c r="D215" s="731"/>
      <c r="E215" s="731"/>
      <c r="F215" s="737"/>
      <c r="G215" s="736"/>
      <c r="H215" s="731"/>
      <c r="I215" s="737">
        <v>1.0</v>
      </c>
      <c r="J215" s="736">
        <v>3.0</v>
      </c>
      <c r="K215" s="736"/>
      <c r="L215" s="737">
        <v>2.0</v>
      </c>
      <c r="M215" s="736">
        <v>3.0</v>
      </c>
      <c r="N215" s="731"/>
      <c r="O215" s="745">
        <v>1.0</v>
      </c>
      <c r="P215" s="736">
        <v>4.0</v>
      </c>
      <c r="Q215" s="731"/>
      <c r="R215" s="737">
        <v>2.0</v>
      </c>
      <c r="S215" s="736">
        <v>4.0</v>
      </c>
      <c r="T215" s="731"/>
      <c r="U215" s="737">
        <v>1.0</v>
      </c>
      <c r="V215" s="736">
        <v>4.0</v>
      </c>
      <c r="W215" s="731"/>
      <c r="X215" s="737">
        <v>2.0</v>
      </c>
      <c r="Y215" s="736">
        <v>4.0</v>
      </c>
      <c r="Z215" s="736"/>
    </row>
    <row r="216">
      <c r="A216" s="529" t="s">
        <v>318</v>
      </c>
      <c r="B216" s="529"/>
      <c r="C216" s="737"/>
      <c r="D216" s="731"/>
      <c r="E216" s="731"/>
      <c r="F216" s="737"/>
      <c r="G216" s="736"/>
      <c r="H216" s="731"/>
      <c r="I216" s="737">
        <v>1.0</v>
      </c>
      <c r="J216" s="736">
        <v>3.0</v>
      </c>
      <c r="K216" s="736"/>
      <c r="L216" s="737">
        <v>1.0</v>
      </c>
      <c r="M216" s="736">
        <v>3.0</v>
      </c>
      <c r="N216" s="731"/>
      <c r="O216" s="745">
        <v>1.0</v>
      </c>
      <c r="P216" s="736">
        <v>3.0</v>
      </c>
      <c r="Q216" s="731"/>
      <c r="R216" s="737">
        <v>2.0</v>
      </c>
      <c r="S216" s="736">
        <v>4.0</v>
      </c>
      <c r="T216" s="731"/>
      <c r="U216" s="737">
        <v>1.0</v>
      </c>
      <c r="V216" s="736">
        <v>4.0</v>
      </c>
      <c r="W216" s="731"/>
      <c r="X216" s="737">
        <v>2.0</v>
      </c>
      <c r="Y216" s="736">
        <v>4.0</v>
      </c>
      <c r="Z216" s="731"/>
    </row>
    <row r="217">
      <c r="A217" s="529" t="s">
        <v>248</v>
      </c>
      <c r="B217" s="529"/>
      <c r="C217" s="737"/>
      <c r="D217" s="731"/>
      <c r="E217" s="731"/>
      <c r="F217" s="737"/>
      <c r="G217" s="736"/>
      <c r="H217" s="731"/>
      <c r="I217" s="734"/>
      <c r="J217" s="731"/>
      <c r="K217" s="736"/>
      <c r="L217" s="737">
        <v>10.0</v>
      </c>
      <c r="M217" s="736"/>
      <c r="N217" s="731"/>
      <c r="O217" s="745">
        <v>1.0</v>
      </c>
      <c r="P217" s="736">
        <v>15.0</v>
      </c>
      <c r="Q217" s="731"/>
      <c r="R217" s="737">
        <v>8.0</v>
      </c>
      <c r="S217" s="736">
        <v>19.0</v>
      </c>
      <c r="T217" s="731"/>
      <c r="U217" s="737">
        <v>4.0</v>
      </c>
      <c r="V217" s="736">
        <v>19.0</v>
      </c>
      <c r="W217" s="731"/>
      <c r="X217" s="737">
        <v>8.0</v>
      </c>
      <c r="Y217" s="736">
        <v>19.0</v>
      </c>
      <c r="Z217" s="731"/>
    </row>
    <row r="218">
      <c r="A218" s="529" t="s">
        <v>257</v>
      </c>
      <c r="B218" s="529"/>
      <c r="C218" s="737"/>
      <c r="D218" s="731"/>
      <c r="E218" s="731"/>
      <c r="F218" s="737"/>
      <c r="G218" s="736"/>
      <c r="H218" s="731"/>
      <c r="I218" s="734"/>
      <c r="J218" s="731"/>
      <c r="K218" s="736"/>
      <c r="L218" s="737"/>
      <c r="M218" s="736"/>
      <c r="N218" s="731"/>
      <c r="O218" s="745">
        <v>1.0</v>
      </c>
      <c r="P218" s="736">
        <v>11.0</v>
      </c>
      <c r="Q218" s="731"/>
      <c r="R218" s="737">
        <v>6.0</v>
      </c>
      <c r="S218" s="736">
        <v>14.0</v>
      </c>
      <c r="T218" s="731"/>
      <c r="U218" s="737">
        <v>3.0</v>
      </c>
      <c r="V218" s="736">
        <v>14.0</v>
      </c>
      <c r="W218" s="731"/>
      <c r="X218" s="737">
        <v>6.0</v>
      </c>
      <c r="Y218" s="736">
        <v>14.0</v>
      </c>
      <c r="Z218" s="736"/>
    </row>
    <row r="219">
      <c r="A219" s="528"/>
      <c r="B219" s="529"/>
      <c r="C219" s="737"/>
      <c r="D219" s="731"/>
      <c r="E219" s="731"/>
      <c r="F219" s="737"/>
      <c r="G219" s="736"/>
      <c r="H219" s="731"/>
      <c r="I219" s="734"/>
      <c r="J219" s="731"/>
      <c r="K219" s="736"/>
      <c r="L219" s="737"/>
      <c r="M219" s="736"/>
      <c r="N219" s="731"/>
      <c r="O219" s="730"/>
      <c r="P219" s="731"/>
      <c r="Q219" s="731"/>
      <c r="R219" s="734"/>
      <c r="S219" s="731"/>
      <c r="T219" s="731"/>
      <c r="U219" s="734"/>
      <c r="V219" s="731"/>
      <c r="W219" s="731"/>
      <c r="X219" s="734"/>
      <c r="Y219" s="736"/>
      <c r="Z219" s="736"/>
    </row>
    <row r="220">
      <c r="A220" s="528"/>
      <c r="B220" s="529"/>
      <c r="C220" s="737"/>
      <c r="D220" s="731"/>
      <c r="E220" s="731"/>
      <c r="F220" s="737"/>
      <c r="G220" s="736"/>
      <c r="H220" s="731"/>
      <c r="I220" s="734"/>
      <c r="J220" s="731"/>
      <c r="K220" s="736"/>
      <c r="L220" s="737"/>
      <c r="M220" s="736"/>
      <c r="N220" s="731"/>
      <c r="O220" s="730"/>
      <c r="P220" s="731"/>
      <c r="Q220" s="731"/>
      <c r="R220" s="734"/>
      <c r="S220" s="731"/>
      <c r="T220" s="731"/>
      <c r="U220" s="734"/>
      <c r="V220" s="731"/>
      <c r="W220" s="731"/>
      <c r="X220" s="734"/>
      <c r="Y220" s="731"/>
      <c r="Z220" s="731"/>
    </row>
    <row r="221">
      <c r="C221" s="734"/>
      <c r="D221" s="731"/>
      <c r="E221" s="731"/>
      <c r="F221" s="734"/>
      <c r="G221" s="731"/>
      <c r="H221" s="731"/>
      <c r="I221" s="734"/>
      <c r="J221" s="731"/>
      <c r="K221" s="731"/>
      <c r="L221" s="734"/>
      <c r="M221" s="731"/>
      <c r="N221" s="731"/>
      <c r="O221" s="730"/>
      <c r="P221" s="731"/>
      <c r="Q221" s="731"/>
      <c r="R221" s="734"/>
      <c r="S221" s="731"/>
      <c r="T221" s="731"/>
      <c r="U221" s="734"/>
      <c r="V221" s="731"/>
      <c r="W221" s="731"/>
      <c r="X221" s="734"/>
      <c r="Y221" s="731"/>
      <c r="Z221" s="731"/>
    </row>
    <row r="222">
      <c r="C222" s="734"/>
      <c r="D222" s="731"/>
      <c r="E222" s="731"/>
      <c r="F222" s="734"/>
      <c r="G222" s="731"/>
      <c r="H222" s="731"/>
      <c r="I222" s="734"/>
      <c r="J222" s="731"/>
      <c r="K222" s="731"/>
      <c r="L222" s="734"/>
      <c r="M222" s="731"/>
      <c r="N222" s="731"/>
      <c r="O222" s="730"/>
      <c r="P222" s="731"/>
      <c r="Q222" s="731"/>
      <c r="R222" s="734"/>
      <c r="S222" s="731"/>
      <c r="T222" s="731"/>
      <c r="U222" s="734"/>
      <c r="V222" s="731"/>
      <c r="W222" s="731"/>
      <c r="X222" s="734"/>
      <c r="Y222" s="731"/>
      <c r="Z222" s="731"/>
    </row>
    <row r="223">
      <c r="C223" s="734"/>
      <c r="D223" s="731"/>
      <c r="E223" s="731"/>
      <c r="F223" s="734"/>
      <c r="G223" s="731"/>
      <c r="H223" s="731"/>
      <c r="I223" s="734"/>
      <c r="J223" s="731"/>
      <c r="K223" s="731"/>
      <c r="L223" s="734"/>
      <c r="M223" s="731"/>
      <c r="N223" s="731"/>
      <c r="O223" s="730"/>
      <c r="P223" s="731"/>
      <c r="Q223" s="731"/>
      <c r="R223" s="734"/>
      <c r="S223" s="731"/>
      <c r="T223" s="731"/>
      <c r="U223" s="734"/>
      <c r="V223" s="731"/>
      <c r="W223" s="731"/>
      <c r="X223" s="734"/>
      <c r="Y223" s="731"/>
      <c r="Z223" s="731"/>
    </row>
    <row r="224">
      <c r="C224" s="734"/>
      <c r="D224" s="731"/>
      <c r="E224" s="731"/>
      <c r="F224" s="734"/>
      <c r="G224" s="731"/>
      <c r="H224" s="731"/>
      <c r="I224" s="734"/>
      <c r="J224" s="731"/>
      <c r="K224" s="731"/>
      <c r="L224" s="734"/>
      <c r="M224" s="731"/>
      <c r="N224" s="731"/>
      <c r="O224" s="730"/>
      <c r="P224" s="736">
        <v>1.0</v>
      </c>
      <c r="Q224" s="736">
        <v>41.0</v>
      </c>
      <c r="R224" s="734"/>
      <c r="S224" s="731"/>
      <c r="T224" s="731"/>
      <c r="U224" s="734"/>
      <c r="V224" s="731"/>
      <c r="W224" s="731"/>
      <c r="X224" s="734"/>
      <c r="Y224" s="731"/>
      <c r="Z224" s="731"/>
    </row>
    <row r="225">
      <c r="C225" s="734"/>
      <c r="D225" s="731"/>
      <c r="E225" s="731"/>
      <c r="F225" s="734"/>
      <c r="G225" s="731"/>
      <c r="H225" s="731"/>
      <c r="I225" s="734"/>
      <c r="J225" s="731"/>
      <c r="K225" s="731"/>
      <c r="L225" s="734"/>
      <c r="M225" s="731"/>
      <c r="N225" s="736" t="s">
        <v>63</v>
      </c>
      <c r="O225" s="745">
        <v>20.0</v>
      </c>
      <c r="P225" s="736">
        <v>3.0</v>
      </c>
      <c r="Q225" s="736">
        <v>18.0</v>
      </c>
      <c r="R225" s="766">
        <f>P225-P224+Q225/60-Q224/60</f>
        <v>1.616666667</v>
      </c>
      <c r="S225" s="767">
        <f>(O225-1)/R225</f>
        <v>11.75257732</v>
      </c>
      <c r="T225" s="768">
        <f>S225*60</f>
        <v>705.1546392</v>
      </c>
      <c r="U225" s="734"/>
      <c r="V225" s="731"/>
      <c r="W225" s="731"/>
      <c r="X225" s="734"/>
      <c r="Y225" s="731"/>
      <c r="Z225" s="731"/>
    </row>
    <row r="226">
      <c r="C226" s="734"/>
      <c r="D226" s="731"/>
      <c r="E226" s="731"/>
      <c r="F226" s="734"/>
      <c r="G226" s="736">
        <v>12.0</v>
      </c>
      <c r="H226" s="736">
        <v>24.0</v>
      </c>
      <c r="I226" s="734">
        <f>G227*60+H227-G226*60-H226</f>
        <v>1040</v>
      </c>
      <c r="J226" s="731"/>
      <c r="K226" s="731"/>
      <c r="L226" s="734"/>
      <c r="M226" s="731"/>
      <c r="N226" s="731"/>
      <c r="O226" s="730"/>
      <c r="P226" s="736">
        <v>3.0</v>
      </c>
      <c r="Q226" s="736">
        <v>4.0</v>
      </c>
      <c r="R226" s="769"/>
      <c r="S226" s="529"/>
      <c r="T226" s="528"/>
      <c r="U226" s="734"/>
      <c r="V226" s="731"/>
      <c r="W226" s="731"/>
      <c r="X226" s="734"/>
      <c r="Y226" s="731"/>
      <c r="Z226" s="731"/>
    </row>
    <row r="227">
      <c r="C227" s="734"/>
      <c r="D227" s="731"/>
      <c r="E227" s="731"/>
      <c r="F227" s="734"/>
      <c r="G227" s="736">
        <v>29.0</v>
      </c>
      <c r="H227" s="736">
        <v>44.0</v>
      </c>
      <c r="I227" s="770">
        <f>-G226+G227-H226/60+H227/60</f>
        <v>17.33333333</v>
      </c>
      <c r="J227" s="736">
        <v>985.0</v>
      </c>
      <c r="K227" s="771">
        <f>J227/I227</f>
        <v>56.82692308</v>
      </c>
      <c r="L227" s="734"/>
      <c r="M227" s="731"/>
      <c r="N227" s="736" t="s">
        <v>38</v>
      </c>
      <c r="O227" s="745">
        <v>50.0</v>
      </c>
      <c r="P227" s="736">
        <v>7.0</v>
      </c>
      <c r="Q227" s="736">
        <v>4.0</v>
      </c>
      <c r="R227" s="766">
        <f>P227-P226+Q227/60-Q226/60</f>
        <v>4</v>
      </c>
      <c r="S227" s="767">
        <f>(O227-1)/R227</f>
        <v>12.25</v>
      </c>
      <c r="T227" s="768">
        <f>S227*60</f>
        <v>735</v>
      </c>
      <c r="U227" s="734"/>
      <c r="V227" s="731"/>
      <c r="W227" s="731"/>
      <c r="X227" s="734"/>
      <c r="Y227" s="731"/>
      <c r="Z227" s="731"/>
    </row>
    <row r="228">
      <c r="C228" s="734"/>
      <c r="D228" s="731"/>
      <c r="E228" s="731"/>
      <c r="F228" s="734"/>
      <c r="G228" s="736">
        <v>37.0</v>
      </c>
      <c r="H228" s="736">
        <v>56.0</v>
      </c>
      <c r="I228" s="734">
        <f>G229*60+H229-G228*60-H228</f>
        <v>975</v>
      </c>
      <c r="J228" s="731"/>
      <c r="K228" s="771"/>
      <c r="L228" s="734"/>
      <c r="M228" s="731"/>
      <c r="N228" s="731"/>
      <c r="O228" s="730"/>
      <c r="P228" s="736">
        <v>14.0</v>
      </c>
      <c r="Q228" s="736">
        <v>44.0</v>
      </c>
      <c r="R228" s="766"/>
      <c r="S228" s="767"/>
      <c r="T228" s="768"/>
      <c r="U228" s="734"/>
      <c r="V228" s="731"/>
      <c r="W228" s="731"/>
      <c r="X228" s="734"/>
      <c r="Y228" s="731"/>
      <c r="Z228" s="731"/>
    </row>
    <row r="229">
      <c r="C229" s="734"/>
      <c r="D229" s="731"/>
      <c r="E229" s="731"/>
      <c r="F229" s="734"/>
      <c r="G229" s="736">
        <v>54.0</v>
      </c>
      <c r="H229" s="736">
        <v>11.0</v>
      </c>
      <c r="I229" s="770">
        <f>-G228+G229-H228/60+H229/60</f>
        <v>16.25</v>
      </c>
      <c r="J229" s="736">
        <v>985.0</v>
      </c>
      <c r="K229" s="771">
        <f>J229/I229</f>
        <v>60.61538462</v>
      </c>
      <c r="L229" s="734"/>
      <c r="M229" s="731"/>
      <c r="N229" s="736" t="s">
        <v>410</v>
      </c>
      <c r="O229" s="745">
        <v>30.0</v>
      </c>
      <c r="P229" s="736">
        <v>16.0</v>
      </c>
      <c r="Q229" s="736">
        <v>50.0</v>
      </c>
      <c r="R229" s="766">
        <f>P229-P228+Q229/60-Q228/60</f>
        <v>2.1</v>
      </c>
      <c r="S229" s="767">
        <f>(O229-1)/R229</f>
        <v>13.80952381</v>
      </c>
      <c r="T229" s="768">
        <f>S229*60</f>
        <v>828.5714286</v>
      </c>
      <c r="U229" s="734"/>
      <c r="V229" s="731"/>
      <c r="W229" s="731"/>
      <c r="X229" s="734"/>
      <c r="Y229" s="731"/>
      <c r="Z229" s="731"/>
    </row>
    <row r="230">
      <c r="C230" s="734"/>
      <c r="D230" s="731"/>
      <c r="E230" s="731"/>
      <c r="F230" s="734"/>
      <c r="G230" s="736">
        <v>17.0</v>
      </c>
      <c r="H230" s="736">
        <v>34.0</v>
      </c>
      <c r="I230" s="734">
        <f>G231*60+H231-G230*60-H230</f>
        <v>1031</v>
      </c>
      <c r="J230" s="731"/>
      <c r="K230" s="771"/>
      <c r="L230" s="734"/>
      <c r="M230" s="731"/>
      <c r="N230" s="731"/>
      <c r="O230" s="730"/>
      <c r="P230" s="736">
        <v>2.0</v>
      </c>
      <c r="Q230" s="736">
        <v>30.0</v>
      </c>
      <c r="R230" s="766"/>
      <c r="S230" s="767"/>
      <c r="T230" s="768"/>
      <c r="U230" s="734"/>
      <c r="V230" s="731"/>
      <c r="W230" s="731"/>
      <c r="X230" s="734"/>
      <c r="Y230" s="731"/>
      <c r="Z230" s="731"/>
    </row>
    <row r="231">
      <c r="C231" s="734"/>
      <c r="D231" s="731"/>
      <c r="E231" s="731"/>
      <c r="F231" s="734"/>
      <c r="G231" s="736">
        <v>34.0</v>
      </c>
      <c r="H231" s="736">
        <v>45.0</v>
      </c>
      <c r="I231" s="770">
        <f>-G230+G231-H230/60+H231/60</f>
        <v>17.18333333</v>
      </c>
      <c r="J231" s="736">
        <v>985.0</v>
      </c>
      <c r="K231" s="771">
        <f>J231/I231</f>
        <v>57.32298739</v>
      </c>
      <c r="L231" s="734"/>
      <c r="M231" s="731"/>
      <c r="N231" s="736" t="s">
        <v>411</v>
      </c>
      <c r="O231" s="745">
        <v>30.0</v>
      </c>
      <c r="P231" s="736">
        <v>4.0</v>
      </c>
      <c r="Q231" s="736">
        <v>29.0</v>
      </c>
      <c r="R231" s="766">
        <f>P231-P230+Q231/60-Q230/60</f>
        <v>1.983333333</v>
      </c>
      <c r="S231" s="767">
        <f>(O231-1)/R231</f>
        <v>14.62184874</v>
      </c>
      <c r="T231" s="768">
        <f>S231*60</f>
        <v>877.3109244</v>
      </c>
      <c r="U231" s="734"/>
      <c r="V231" s="731"/>
      <c r="W231" s="731"/>
      <c r="X231" s="734"/>
      <c r="Y231" s="731"/>
      <c r="Z231" s="731"/>
    </row>
    <row r="232">
      <c r="C232" s="734"/>
      <c r="D232" s="731"/>
      <c r="E232" s="731"/>
      <c r="F232" s="734"/>
      <c r="G232" s="736">
        <v>19.0</v>
      </c>
      <c r="H232" s="736">
        <v>45.0</v>
      </c>
      <c r="I232" s="734">
        <f>G233*60+H233-G232*60-H232</f>
        <v>1293</v>
      </c>
      <c r="J232" s="731"/>
      <c r="K232" s="771"/>
      <c r="L232" s="734"/>
      <c r="M232" s="731"/>
      <c r="N232" s="731"/>
      <c r="O232" s="730"/>
      <c r="P232" s="736">
        <v>1.0</v>
      </c>
      <c r="Q232" s="736">
        <v>49.0</v>
      </c>
      <c r="R232" s="766"/>
      <c r="S232" s="767"/>
      <c r="T232" s="768"/>
      <c r="U232" s="734"/>
      <c r="V232" s="731"/>
      <c r="W232" s="731"/>
      <c r="X232" s="734"/>
      <c r="Y232" s="731"/>
      <c r="Z232" s="731"/>
    </row>
    <row r="233">
      <c r="C233" s="734"/>
      <c r="D233" s="731"/>
      <c r="E233" s="731"/>
      <c r="F233" s="734"/>
      <c r="G233" s="736">
        <v>41.0</v>
      </c>
      <c r="H233" s="736">
        <v>18.0</v>
      </c>
      <c r="I233" s="770">
        <f>-G232+G233-H232/60+H233/60</f>
        <v>21.55</v>
      </c>
      <c r="J233" s="736">
        <v>985.0</v>
      </c>
      <c r="K233" s="771">
        <f>J233/I233</f>
        <v>45.70765661</v>
      </c>
      <c r="L233" s="734"/>
      <c r="M233" s="731"/>
      <c r="N233" s="736" t="s">
        <v>412</v>
      </c>
      <c r="O233" s="745">
        <v>50.0</v>
      </c>
      <c r="P233" s="736">
        <v>5.0</v>
      </c>
      <c r="Q233" s="736">
        <v>18.0</v>
      </c>
      <c r="R233" s="766">
        <f>P233-P232+Q233/60-Q232/60</f>
        <v>3.483333333</v>
      </c>
      <c r="S233" s="767">
        <f>(O233-1)/R233</f>
        <v>14.06698565</v>
      </c>
      <c r="T233" s="768">
        <f>S233*60</f>
        <v>844.0191388</v>
      </c>
      <c r="U233" s="734"/>
      <c r="V233" s="731"/>
      <c r="W233" s="731"/>
      <c r="X233" s="734"/>
      <c r="Y233" s="731"/>
      <c r="Z233" s="731"/>
    </row>
    <row r="234">
      <c r="C234" s="734"/>
      <c r="D234" s="731"/>
      <c r="E234" s="731"/>
      <c r="F234" s="734"/>
      <c r="G234" s="736">
        <v>21.0</v>
      </c>
      <c r="H234" s="736">
        <v>25.0</v>
      </c>
      <c r="I234" s="734">
        <f>G235*60+H235-G234*60-H234</f>
        <v>1245</v>
      </c>
      <c r="J234" s="731"/>
      <c r="K234" s="771"/>
      <c r="L234" s="734"/>
      <c r="M234" s="731"/>
      <c r="N234" s="731"/>
      <c r="O234" s="730"/>
      <c r="P234" s="736">
        <v>2.0</v>
      </c>
      <c r="Q234" s="736">
        <v>3.0</v>
      </c>
      <c r="R234" s="766"/>
      <c r="S234" s="767"/>
      <c r="T234" s="768"/>
      <c r="U234" s="734"/>
      <c r="V234" s="731"/>
      <c r="W234" s="731"/>
      <c r="X234" s="734"/>
      <c r="Y234" s="731"/>
      <c r="Z234" s="731"/>
    </row>
    <row r="235">
      <c r="C235" s="734"/>
      <c r="D235" s="731"/>
      <c r="E235" s="731"/>
      <c r="F235" s="734"/>
      <c r="G235" s="736">
        <v>42.0</v>
      </c>
      <c r="H235" s="736">
        <v>10.0</v>
      </c>
      <c r="I235" s="770">
        <f>-G234+G235-H234/60+H235/60</f>
        <v>20.75</v>
      </c>
      <c r="J235" s="736">
        <v>985.0</v>
      </c>
      <c r="K235" s="771">
        <f>J235/I235</f>
        <v>47.46987952</v>
      </c>
      <c r="L235" s="734"/>
      <c r="M235" s="731"/>
      <c r="N235" s="736" t="s">
        <v>413</v>
      </c>
      <c r="O235" s="745">
        <v>30.0</v>
      </c>
      <c r="P235" s="736">
        <v>4.0</v>
      </c>
      <c r="Q235" s="736">
        <v>36.0</v>
      </c>
      <c r="R235" s="766">
        <f>P235-P234+Q235/60-Q234/60</f>
        <v>2.55</v>
      </c>
      <c r="S235" s="767">
        <f>(O235-1)/R235</f>
        <v>11.37254902</v>
      </c>
      <c r="T235" s="768">
        <f>S235*60</f>
        <v>682.3529412</v>
      </c>
      <c r="U235" s="734"/>
      <c r="V235" s="731"/>
      <c r="W235" s="731"/>
      <c r="X235" s="734"/>
      <c r="Y235" s="731"/>
      <c r="Z235" s="731"/>
    </row>
    <row r="236">
      <c r="C236" s="734"/>
      <c r="D236" s="731"/>
      <c r="E236" s="731"/>
      <c r="F236" s="734"/>
      <c r="G236" s="731"/>
      <c r="H236" s="731"/>
      <c r="I236" s="734"/>
      <c r="J236" s="731"/>
      <c r="K236" s="731"/>
      <c r="L236" s="734"/>
      <c r="M236" s="731"/>
      <c r="O236" s="730"/>
      <c r="P236" s="736">
        <v>1.0</v>
      </c>
      <c r="Q236" s="736">
        <v>37.0</v>
      </c>
      <c r="R236" s="766"/>
      <c r="S236" s="767"/>
      <c r="T236" s="768"/>
      <c r="U236" s="734"/>
      <c r="V236" s="731"/>
      <c r="W236" s="731"/>
      <c r="X236" s="734"/>
      <c r="Y236" s="731"/>
      <c r="Z236" s="731"/>
    </row>
    <row r="237">
      <c r="C237" s="734"/>
      <c r="D237" s="731"/>
      <c r="E237" s="731"/>
      <c r="F237" s="734"/>
      <c r="G237" s="736">
        <v>1919.0</v>
      </c>
      <c r="H237" s="736">
        <v>1079.0</v>
      </c>
      <c r="I237" s="734"/>
      <c r="J237" s="731"/>
      <c r="K237" s="731"/>
      <c r="L237" s="734"/>
      <c r="M237" s="731"/>
      <c r="N237" s="736" t="s">
        <v>79</v>
      </c>
      <c r="O237" s="745">
        <v>50.0</v>
      </c>
      <c r="P237" s="736">
        <v>5.0</v>
      </c>
      <c r="Q237" s="736">
        <v>38.0</v>
      </c>
      <c r="R237" s="766">
        <f>P237-P236+Q237/60-Q236/60</f>
        <v>4.016666667</v>
      </c>
      <c r="S237" s="767">
        <f>(O237-1)/R237</f>
        <v>12.19917012</v>
      </c>
      <c r="T237" s="768">
        <f>S237*60</f>
        <v>731.9502075</v>
      </c>
      <c r="U237" s="737"/>
      <c r="V237" s="731"/>
      <c r="W237" s="731"/>
      <c r="X237" s="734"/>
      <c r="Y237" s="731"/>
      <c r="Z237" s="731"/>
    </row>
    <row r="238">
      <c r="C238" s="734"/>
      <c r="D238" s="731"/>
      <c r="E238" s="731"/>
      <c r="F238" s="734"/>
      <c r="G238" s="731">
        <f t="shared" ref="G238:H238" si="75">G237/2</f>
        <v>959.5</v>
      </c>
      <c r="H238" s="731">
        <f t="shared" si="75"/>
        <v>539.5</v>
      </c>
      <c r="I238" s="734"/>
      <c r="J238" s="731"/>
      <c r="K238" s="731"/>
      <c r="L238" s="734"/>
      <c r="M238" s="731"/>
      <c r="N238" s="731"/>
      <c r="O238" s="730"/>
      <c r="P238" s="736">
        <v>1.0</v>
      </c>
      <c r="Q238" s="736">
        <v>29.0</v>
      </c>
      <c r="R238" s="766"/>
      <c r="S238" s="767"/>
      <c r="T238" s="768"/>
      <c r="U238" s="734"/>
      <c r="V238" s="731"/>
      <c r="W238" s="731"/>
      <c r="X238" s="734"/>
      <c r="Y238" s="731"/>
      <c r="Z238" s="731"/>
    </row>
    <row r="239">
      <c r="C239" s="734"/>
      <c r="D239" s="731"/>
      <c r="E239" s="731"/>
      <c r="F239" s="734"/>
      <c r="G239" s="731"/>
      <c r="H239" s="736">
        <v>540.0</v>
      </c>
      <c r="I239" s="734">
        <f>H237-H239</f>
        <v>539</v>
      </c>
      <c r="J239" s="731"/>
      <c r="K239" s="731"/>
      <c r="L239" s="734"/>
      <c r="M239" s="731"/>
      <c r="N239" s="736" t="s">
        <v>169</v>
      </c>
      <c r="O239" s="745">
        <v>30.0</v>
      </c>
      <c r="P239" s="736">
        <v>4.0</v>
      </c>
      <c r="Q239" s="736">
        <v>0.0</v>
      </c>
      <c r="R239" s="766">
        <f>P239-P238+Q239/60-Q238/60</f>
        <v>2.516666667</v>
      </c>
      <c r="S239" s="767">
        <f>(O239-1)/R239</f>
        <v>11.52317881</v>
      </c>
      <c r="T239" s="768">
        <f>S239*60</f>
        <v>691.3907285</v>
      </c>
      <c r="U239" s="734"/>
      <c r="V239" s="731"/>
      <c r="W239" s="731"/>
      <c r="X239" s="734"/>
      <c r="Y239" s="731"/>
      <c r="Z239" s="731"/>
    </row>
    <row r="240">
      <c r="C240" s="734"/>
      <c r="D240" s="731"/>
      <c r="E240" s="731"/>
      <c r="F240" s="734"/>
      <c r="G240" s="731"/>
      <c r="H240" s="736">
        <v>539.0</v>
      </c>
      <c r="I240" s="734">
        <f>H237-H240</f>
        <v>540</v>
      </c>
      <c r="J240" s="731"/>
      <c r="K240" s="731"/>
      <c r="L240" s="734"/>
      <c r="M240" s="731"/>
      <c r="N240" s="731"/>
      <c r="O240" s="730"/>
      <c r="P240" s="736">
        <v>1.0</v>
      </c>
      <c r="Q240" s="736">
        <v>55.0</v>
      </c>
      <c r="R240" s="766"/>
      <c r="S240" s="767"/>
      <c r="T240" s="768"/>
      <c r="U240" s="734"/>
      <c r="V240" s="731"/>
      <c r="W240" s="731"/>
      <c r="X240" s="734"/>
      <c r="Y240" s="731"/>
      <c r="Z240" s="731"/>
    </row>
    <row r="241">
      <c r="C241" s="734"/>
      <c r="D241" s="731"/>
      <c r="E241" s="731"/>
      <c r="F241" s="734"/>
      <c r="G241" s="731"/>
      <c r="H241" s="731"/>
      <c r="I241" s="734"/>
      <c r="J241" s="731"/>
      <c r="K241" s="731"/>
      <c r="L241" s="734"/>
      <c r="M241" s="731"/>
      <c r="N241" s="736" t="s">
        <v>414</v>
      </c>
      <c r="O241" s="745">
        <v>50.0</v>
      </c>
      <c r="P241" s="736">
        <v>5.0</v>
      </c>
      <c r="Q241" s="736">
        <v>56.0</v>
      </c>
      <c r="R241" s="766">
        <f>P241-P240+Q241/60-Q240/60</f>
        <v>4.016666667</v>
      </c>
      <c r="S241" s="767">
        <f>(O241-1)/R241</f>
        <v>12.19917012</v>
      </c>
      <c r="T241" s="768">
        <f>S241*60</f>
        <v>731.9502075</v>
      </c>
      <c r="U241" s="734"/>
      <c r="V241" s="731"/>
      <c r="W241" s="731"/>
      <c r="X241" s="734"/>
      <c r="Y241" s="731"/>
      <c r="Z241" s="731"/>
    </row>
    <row r="242">
      <c r="C242" s="734"/>
      <c r="D242" s="731"/>
      <c r="E242" s="731"/>
      <c r="F242" s="734"/>
      <c r="G242" s="731"/>
      <c r="H242" s="731"/>
      <c r="I242" s="734"/>
      <c r="J242" s="731"/>
      <c r="K242" s="731"/>
      <c r="L242" s="734"/>
      <c r="M242" s="731"/>
      <c r="N242" s="736"/>
      <c r="O242" s="730"/>
      <c r="P242" s="736">
        <v>2.0</v>
      </c>
      <c r="Q242" s="736">
        <v>30.0</v>
      </c>
      <c r="R242" s="766"/>
      <c r="S242" s="767"/>
      <c r="T242" s="768"/>
      <c r="U242" s="734"/>
      <c r="V242" s="731"/>
      <c r="W242" s="731"/>
      <c r="X242" s="734"/>
      <c r="Y242" s="731"/>
      <c r="Z242" s="731"/>
    </row>
    <row r="243">
      <c r="C243" s="734"/>
      <c r="D243" s="731"/>
      <c r="E243" s="731"/>
      <c r="F243" s="734"/>
      <c r="G243" s="731"/>
      <c r="H243" s="731"/>
      <c r="I243" s="734"/>
      <c r="J243" s="731"/>
      <c r="K243" s="731"/>
      <c r="L243" s="734"/>
      <c r="M243" s="731"/>
      <c r="N243" s="736" t="s">
        <v>128</v>
      </c>
      <c r="O243" s="745">
        <v>50.0</v>
      </c>
      <c r="P243" s="736">
        <v>5.0</v>
      </c>
      <c r="Q243" s="736">
        <v>32.0</v>
      </c>
      <c r="R243" s="766">
        <f>P243-P242+Q243/60-Q242/60</f>
        <v>3.033333333</v>
      </c>
      <c r="S243" s="767">
        <f>(O243-1)/R243</f>
        <v>16.15384615</v>
      </c>
      <c r="T243" s="768">
        <f>S243*60</f>
        <v>969.2307692</v>
      </c>
      <c r="U243" s="734"/>
      <c r="V243" s="731"/>
      <c r="W243" s="731"/>
      <c r="X243" s="734"/>
      <c r="Y243" s="731"/>
      <c r="Z243" s="731"/>
    </row>
    <row r="244">
      <c r="C244" s="734"/>
      <c r="D244" s="731"/>
      <c r="E244" s="731"/>
      <c r="F244" s="734"/>
      <c r="G244" s="731"/>
      <c r="H244" s="731"/>
      <c r="I244" s="734"/>
      <c r="J244" s="731"/>
      <c r="K244" s="731"/>
      <c r="L244" s="734"/>
      <c r="M244" s="731"/>
      <c r="N244" s="731"/>
      <c r="O244" s="730"/>
      <c r="P244" s="736">
        <v>11.0</v>
      </c>
      <c r="Q244" s="736">
        <v>13.0</v>
      </c>
      <c r="R244" s="766"/>
      <c r="S244" s="767"/>
      <c r="T244" s="768"/>
      <c r="U244" s="734"/>
      <c r="V244" s="731"/>
      <c r="W244" s="731"/>
      <c r="X244" s="734"/>
      <c r="Y244" s="731"/>
      <c r="Z244" s="731"/>
    </row>
    <row r="245">
      <c r="C245" s="734"/>
      <c r="D245" s="731"/>
      <c r="E245" s="731"/>
      <c r="F245" s="734"/>
      <c r="G245" s="731"/>
      <c r="H245" s="731"/>
      <c r="I245" s="734"/>
      <c r="J245" s="736">
        <v>560.0</v>
      </c>
      <c r="K245" s="731"/>
      <c r="L245" s="734"/>
      <c r="M245" s="731"/>
      <c r="N245" s="736" t="s">
        <v>415</v>
      </c>
      <c r="O245" s="745">
        <v>50.0</v>
      </c>
      <c r="P245" s="736">
        <v>15.0</v>
      </c>
      <c r="Q245" s="736">
        <v>27.0</v>
      </c>
      <c r="R245" s="766">
        <f>P245-P244+Q245/60-Q244/60</f>
        <v>4.233333333</v>
      </c>
      <c r="S245" s="767">
        <f>(O245-1)/R245</f>
        <v>11.57480315</v>
      </c>
      <c r="T245" s="768">
        <f>S245*60</f>
        <v>694.488189</v>
      </c>
      <c r="U245" s="734"/>
      <c r="V245" s="731"/>
      <c r="W245" s="731"/>
      <c r="X245" s="734"/>
      <c r="Y245" s="731"/>
      <c r="Z245" s="731"/>
    </row>
    <row r="246">
      <c r="C246" s="734"/>
      <c r="D246" s="731"/>
      <c r="E246" s="731"/>
      <c r="F246" s="734"/>
      <c r="G246" s="731"/>
      <c r="H246" s="731"/>
      <c r="I246" s="734"/>
      <c r="J246" s="736">
        <v>780.0</v>
      </c>
      <c r="K246" s="731"/>
      <c r="L246" s="734"/>
      <c r="M246" s="731"/>
      <c r="N246" s="731"/>
      <c r="O246" s="730"/>
      <c r="P246" s="736">
        <v>39.0</v>
      </c>
      <c r="Q246" s="736">
        <v>50.0</v>
      </c>
      <c r="R246" s="766"/>
      <c r="S246" s="767"/>
      <c r="T246" s="768"/>
      <c r="U246" s="734"/>
      <c r="V246" s="731"/>
      <c r="W246" s="731"/>
      <c r="X246" s="734"/>
      <c r="Y246" s="731"/>
      <c r="Z246" s="731"/>
    </row>
    <row r="247">
      <c r="C247" s="734"/>
      <c r="D247" s="731"/>
      <c r="E247" s="731"/>
      <c r="F247" s="734"/>
      <c r="G247" s="731"/>
      <c r="H247" s="731"/>
      <c r="I247" s="734"/>
      <c r="J247" s="736">
        <v>700.0</v>
      </c>
      <c r="K247" s="731"/>
      <c r="L247" s="734"/>
      <c r="M247" s="731"/>
      <c r="N247" s="736" t="s">
        <v>140</v>
      </c>
      <c r="O247" s="745">
        <v>50.0</v>
      </c>
      <c r="P247" s="736">
        <v>44.0</v>
      </c>
      <c r="Q247" s="736">
        <v>35.0</v>
      </c>
      <c r="R247" s="766">
        <f>P247-P246+Q247/60-Q246/60</f>
        <v>4.75</v>
      </c>
      <c r="S247" s="767">
        <f>(O247-1)/R247</f>
        <v>10.31578947</v>
      </c>
      <c r="T247" s="768">
        <f>S247*60</f>
        <v>618.9473684</v>
      </c>
      <c r="U247" s="734"/>
      <c r="V247" s="731"/>
      <c r="W247" s="731"/>
      <c r="X247" s="734"/>
      <c r="Y247" s="731"/>
      <c r="Z247" s="731"/>
    </row>
    <row r="248">
      <c r="C248" s="734"/>
      <c r="D248" s="731"/>
      <c r="E248" s="731"/>
      <c r="F248" s="734"/>
      <c r="G248" s="731"/>
      <c r="H248" s="731"/>
      <c r="I248" s="734"/>
      <c r="J248" s="736">
        <v>520.0</v>
      </c>
      <c r="K248" s="731"/>
      <c r="L248" s="734"/>
      <c r="M248" s="731"/>
      <c r="N248" s="731"/>
      <c r="O248" s="730"/>
      <c r="P248" s="736">
        <v>51.0</v>
      </c>
      <c r="Q248" s="736">
        <v>38.0</v>
      </c>
      <c r="R248" s="766"/>
      <c r="S248" s="767"/>
      <c r="T248" s="768"/>
      <c r="U248" s="734"/>
      <c r="V248" s="731"/>
      <c r="W248" s="731"/>
      <c r="X248" s="734"/>
      <c r="Y248" s="731"/>
      <c r="Z248" s="731"/>
    </row>
    <row r="249">
      <c r="C249" s="734"/>
      <c r="D249" s="731"/>
      <c r="E249" s="731"/>
      <c r="F249" s="734"/>
      <c r="G249" s="731"/>
      <c r="H249" s="731"/>
      <c r="I249" s="734"/>
      <c r="J249" s="736">
        <v>560.0</v>
      </c>
      <c r="K249" s="731"/>
      <c r="L249" s="734"/>
      <c r="M249" s="731"/>
      <c r="N249" s="736" t="s">
        <v>416</v>
      </c>
      <c r="O249" s="745">
        <v>50.0</v>
      </c>
      <c r="P249" s="736">
        <v>56.0</v>
      </c>
      <c r="Q249" s="736">
        <v>38.0</v>
      </c>
      <c r="R249" s="766">
        <f>P249-P248+Q249/60-Q248/60</f>
        <v>5</v>
      </c>
      <c r="S249" s="767">
        <f>(O249-1)/R249</f>
        <v>9.8</v>
      </c>
      <c r="T249" s="768">
        <f>S249*60</f>
        <v>588</v>
      </c>
      <c r="U249" s="734"/>
      <c r="V249" s="731"/>
      <c r="W249" s="731"/>
      <c r="X249" s="734"/>
      <c r="Y249" s="731"/>
      <c r="Z249" s="731"/>
    </row>
    <row r="250">
      <c r="C250" s="734"/>
      <c r="D250" s="731"/>
      <c r="E250" s="731"/>
      <c r="F250" s="734"/>
      <c r="G250" s="731"/>
      <c r="H250" s="731"/>
      <c r="I250" s="734"/>
      <c r="J250" s="736">
        <v>870.0</v>
      </c>
      <c r="K250" s="731"/>
      <c r="L250" s="734"/>
      <c r="M250" s="731"/>
      <c r="N250" s="731"/>
      <c r="O250" s="730"/>
      <c r="P250" s="736">
        <v>1.0</v>
      </c>
      <c r="Q250" s="736">
        <v>44.0</v>
      </c>
      <c r="R250" s="766"/>
      <c r="S250" s="767"/>
      <c r="T250" s="768"/>
      <c r="U250" s="734"/>
      <c r="V250" s="731"/>
      <c r="W250" s="731"/>
      <c r="X250" s="734"/>
      <c r="Y250" s="731"/>
      <c r="Z250" s="731"/>
    </row>
    <row r="251">
      <c r="C251" s="734"/>
      <c r="D251" s="731"/>
      <c r="E251" s="731"/>
      <c r="F251" s="734"/>
      <c r="G251" s="731"/>
      <c r="H251" s="731"/>
      <c r="I251" s="734"/>
      <c r="J251" s="731">
        <f>SUM(J245:J250)</f>
        <v>3990</v>
      </c>
      <c r="K251" s="731"/>
      <c r="L251" s="734"/>
      <c r="M251" s="731"/>
      <c r="N251" s="736" t="s">
        <v>417</v>
      </c>
      <c r="O251" s="745">
        <v>50.0</v>
      </c>
      <c r="P251" s="736">
        <v>5.0</v>
      </c>
      <c r="Q251" s="736">
        <v>5.0</v>
      </c>
      <c r="R251" s="766">
        <f>P251-P250+Q251/60-Q250/60</f>
        <v>3.35</v>
      </c>
      <c r="S251" s="767">
        <f>(O251-1)/R251</f>
        <v>14.62686567</v>
      </c>
      <c r="T251" s="768">
        <f>S251*60</f>
        <v>877.6119403</v>
      </c>
      <c r="U251" s="734"/>
      <c r="V251" s="731"/>
      <c r="W251" s="731"/>
      <c r="X251" s="734"/>
      <c r="Y251" s="731"/>
      <c r="Z251" s="731"/>
    </row>
    <row r="252">
      <c r="C252" s="734"/>
      <c r="D252" s="731"/>
      <c r="E252" s="731"/>
      <c r="F252" s="734"/>
      <c r="G252" s="731"/>
      <c r="H252" s="731"/>
      <c r="I252" s="734"/>
      <c r="J252" s="731"/>
      <c r="K252" s="731"/>
      <c r="L252" s="734"/>
      <c r="M252" s="731"/>
      <c r="N252" s="731"/>
      <c r="O252" s="730"/>
      <c r="P252" s="736">
        <v>4.0</v>
      </c>
      <c r="Q252" s="736">
        <v>3.0</v>
      </c>
      <c r="R252" s="766"/>
      <c r="S252" s="767"/>
      <c r="T252" s="768"/>
      <c r="U252" s="734"/>
      <c r="V252" s="731"/>
      <c r="W252" s="731"/>
      <c r="X252" s="734"/>
      <c r="Y252" s="731"/>
      <c r="Z252" s="731"/>
    </row>
    <row r="253">
      <c r="C253" s="734"/>
      <c r="D253" s="731"/>
      <c r="E253" s="731"/>
      <c r="F253" s="734"/>
      <c r="G253" s="731"/>
      <c r="H253" s="731"/>
      <c r="I253" s="734"/>
      <c r="J253" s="731"/>
      <c r="K253" s="731"/>
      <c r="L253" s="734"/>
      <c r="M253" s="731"/>
      <c r="N253" s="736" t="s">
        <v>165</v>
      </c>
      <c r="O253" s="745">
        <v>30.0</v>
      </c>
      <c r="P253" s="736">
        <v>6.0</v>
      </c>
      <c r="Q253" s="736">
        <v>54.0</v>
      </c>
      <c r="R253" s="766">
        <f>P253-P252+Q253/60-Q252/60</f>
        <v>2.85</v>
      </c>
      <c r="S253" s="767">
        <f>(O253-1)/R253</f>
        <v>10.1754386</v>
      </c>
      <c r="T253" s="768">
        <f>S253*60</f>
        <v>610.5263158</v>
      </c>
      <c r="U253" s="734"/>
      <c r="V253" s="731"/>
      <c r="W253" s="731"/>
      <c r="X253" s="734"/>
      <c r="Y253" s="731"/>
      <c r="Z253" s="731"/>
    </row>
    <row r="254">
      <c r="C254" s="734"/>
      <c r="D254" s="731"/>
      <c r="E254" s="731"/>
      <c r="F254" s="734"/>
      <c r="G254" s="731"/>
      <c r="H254" s="731"/>
      <c r="I254" s="734"/>
      <c r="J254" s="731"/>
      <c r="K254" s="731"/>
      <c r="L254" s="734"/>
      <c r="M254" s="731"/>
      <c r="N254" s="731"/>
      <c r="O254" s="730"/>
      <c r="P254" s="736">
        <v>10.0</v>
      </c>
      <c r="Q254" s="736">
        <v>34.0</v>
      </c>
      <c r="R254" s="766"/>
      <c r="S254" s="767"/>
      <c r="T254" s="768"/>
      <c r="U254" s="734"/>
      <c r="V254" s="731"/>
      <c r="W254" s="731"/>
      <c r="X254" s="734"/>
      <c r="Y254" s="731"/>
      <c r="Z254" s="731"/>
    </row>
    <row r="255">
      <c r="C255" s="734"/>
      <c r="D255" s="731"/>
      <c r="E255" s="731"/>
      <c r="F255" s="734"/>
      <c r="G255" s="731"/>
      <c r="H255" s="731"/>
      <c r="I255" s="734"/>
      <c r="J255" s="731"/>
      <c r="K255" s="731"/>
      <c r="L255" s="734"/>
      <c r="M255" s="731"/>
      <c r="N255" s="736" t="s">
        <v>166</v>
      </c>
      <c r="O255" s="745">
        <v>50.0</v>
      </c>
      <c r="P255" s="736">
        <v>14.0</v>
      </c>
      <c r="Q255" s="736">
        <v>20.0</v>
      </c>
      <c r="R255" s="766">
        <f>P255-P254+Q255/60-Q254/60</f>
        <v>3.766666667</v>
      </c>
      <c r="S255" s="767">
        <f>(O255-1)/R255</f>
        <v>13.00884956</v>
      </c>
      <c r="T255" s="768">
        <f>S255*60</f>
        <v>780.5309735</v>
      </c>
      <c r="U255" s="734"/>
      <c r="V255" s="731"/>
      <c r="W255" s="731"/>
      <c r="X255" s="734"/>
      <c r="Y255" s="731"/>
      <c r="Z255" s="731"/>
    </row>
    <row r="256">
      <c r="C256" s="734"/>
      <c r="D256" s="731"/>
      <c r="E256" s="731"/>
      <c r="F256" s="734"/>
      <c r="G256" s="731"/>
      <c r="H256" s="731"/>
      <c r="I256" s="734"/>
      <c r="J256" s="731"/>
      <c r="K256" s="731"/>
      <c r="L256" s="734"/>
      <c r="M256" s="731"/>
      <c r="N256" s="731"/>
      <c r="O256" s="730"/>
      <c r="P256" s="736">
        <v>38.0</v>
      </c>
      <c r="Q256" s="736">
        <v>51.0</v>
      </c>
      <c r="R256" s="766"/>
      <c r="S256" s="767"/>
      <c r="T256" s="768"/>
      <c r="U256" s="734"/>
      <c r="V256" s="731"/>
      <c r="W256" s="731"/>
      <c r="X256" s="734"/>
      <c r="Y256" s="731"/>
      <c r="Z256" s="731"/>
    </row>
    <row r="257">
      <c r="C257" s="734"/>
      <c r="D257" s="731"/>
      <c r="E257" s="731"/>
      <c r="F257" s="734"/>
      <c r="G257" s="731"/>
      <c r="H257" s="731"/>
      <c r="I257" s="734"/>
      <c r="J257" s="731"/>
      <c r="K257" s="731"/>
      <c r="L257" s="734"/>
      <c r="M257" s="731"/>
      <c r="N257" s="736" t="s">
        <v>418</v>
      </c>
      <c r="O257" s="745">
        <v>50.0</v>
      </c>
      <c r="P257" s="736">
        <v>42.0</v>
      </c>
      <c r="Q257" s="736">
        <v>23.0</v>
      </c>
      <c r="R257" s="766">
        <f>P257-P256+Q257/60-Q256/60</f>
        <v>3.533333333</v>
      </c>
      <c r="S257" s="767">
        <f>(O257-1)/R257</f>
        <v>13.86792453</v>
      </c>
      <c r="T257" s="768">
        <f>S257*60</f>
        <v>832.0754717</v>
      </c>
      <c r="U257" s="734"/>
      <c r="V257" s="731"/>
      <c r="W257" s="731"/>
      <c r="X257" s="734"/>
      <c r="Y257" s="731"/>
      <c r="Z257" s="731"/>
    </row>
    <row r="258">
      <c r="C258" s="734"/>
      <c r="D258" s="731"/>
      <c r="E258" s="731"/>
      <c r="F258" s="734"/>
      <c r="G258" s="731"/>
      <c r="H258" s="731"/>
      <c r="I258" s="734"/>
      <c r="J258" s="731"/>
      <c r="K258" s="731"/>
      <c r="L258" s="734"/>
      <c r="M258" s="731"/>
      <c r="N258" s="731"/>
      <c r="O258" s="730"/>
      <c r="P258" s="736">
        <v>49.0</v>
      </c>
      <c r="Q258" s="736">
        <v>27.0</v>
      </c>
      <c r="R258" s="766"/>
      <c r="S258" s="767"/>
      <c r="T258" s="768"/>
      <c r="U258" s="734"/>
      <c r="V258" s="731"/>
      <c r="W258" s="731"/>
      <c r="X258" s="734"/>
      <c r="Y258" s="731"/>
      <c r="Z258" s="731"/>
    </row>
    <row r="259">
      <c r="C259" s="734"/>
      <c r="D259" s="731"/>
      <c r="E259" s="731"/>
      <c r="F259" s="734"/>
      <c r="G259" s="731"/>
      <c r="H259" s="731"/>
      <c r="I259" s="734"/>
      <c r="J259" s="731"/>
      <c r="K259" s="731"/>
      <c r="L259" s="734"/>
      <c r="M259" s="731"/>
      <c r="N259" s="736" t="s">
        <v>294</v>
      </c>
      <c r="O259" s="745">
        <v>30.0</v>
      </c>
      <c r="P259" s="736">
        <v>51.0</v>
      </c>
      <c r="Q259" s="736">
        <v>49.0</v>
      </c>
      <c r="R259" s="766">
        <f>P259-P258+Q259/60-Q258/60</f>
        <v>2.366666667</v>
      </c>
      <c r="S259" s="767">
        <f>(O259-1)/R259</f>
        <v>12.25352113</v>
      </c>
      <c r="T259" s="768">
        <f>S259*60</f>
        <v>735.2112676</v>
      </c>
      <c r="U259" s="734"/>
      <c r="V259" s="731"/>
      <c r="W259" s="731"/>
      <c r="X259" s="734"/>
      <c r="Y259" s="731"/>
      <c r="Z259" s="731"/>
    </row>
    <row r="260">
      <c r="C260" s="734"/>
      <c r="D260" s="731"/>
      <c r="E260" s="731"/>
      <c r="F260" s="734"/>
      <c r="G260" s="731"/>
      <c r="H260" s="731"/>
      <c r="I260" s="734"/>
      <c r="J260" s="731"/>
      <c r="K260" s="731"/>
      <c r="L260" s="734"/>
      <c r="M260" s="731"/>
      <c r="N260" s="731"/>
      <c r="O260" s="730"/>
      <c r="P260" s="736">
        <v>26.0</v>
      </c>
      <c r="Q260" s="736">
        <v>38.0</v>
      </c>
      <c r="R260" s="766"/>
      <c r="S260" s="767"/>
      <c r="T260" s="768"/>
      <c r="U260" s="734"/>
      <c r="V260" s="731"/>
      <c r="W260" s="731"/>
      <c r="X260" s="734"/>
      <c r="Y260" s="731"/>
      <c r="Z260" s="731"/>
    </row>
    <row r="261">
      <c r="C261" s="734"/>
      <c r="D261" s="731"/>
      <c r="E261" s="731"/>
      <c r="F261" s="734"/>
      <c r="G261" s="731"/>
      <c r="H261" s="731"/>
      <c r="I261" s="734"/>
      <c r="J261" s="731"/>
      <c r="K261" s="731"/>
      <c r="L261" s="734"/>
      <c r="M261" s="731"/>
      <c r="N261" s="736" t="s">
        <v>170</v>
      </c>
      <c r="O261" s="745">
        <v>50.0</v>
      </c>
      <c r="P261" s="736">
        <v>30.0</v>
      </c>
      <c r="Q261" s="736">
        <v>11.0</v>
      </c>
      <c r="R261" s="766">
        <f>P261-P260+Q261/60-Q260/60</f>
        <v>3.55</v>
      </c>
      <c r="S261" s="767">
        <f>(O261-1)/R261</f>
        <v>13.8028169</v>
      </c>
      <c r="T261" s="768">
        <f>S261*60</f>
        <v>828.1690141</v>
      </c>
      <c r="U261" s="734"/>
      <c r="V261" s="731"/>
      <c r="W261" s="731"/>
      <c r="X261" s="734"/>
      <c r="Y261" s="731"/>
      <c r="Z261" s="731"/>
    </row>
    <row r="262">
      <c r="C262" s="734"/>
      <c r="D262" s="731"/>
      <c r="E262" s="731"/>
      <c r="F262" s="734"/>
      <c r="G262" s="731"/>
      <c r="H262" s="731"/>
      <c r="I262" s="734"/>
      <c r="J262" s="731"/>
      <c r="K262" s="731"/>
      <c r="L262" s="734"/>
      <c r="M262" s="731"/>
      <c r="N262" s="731"/>
      <c r="O262" s="730"/>
      <c r="P262" s="736">
        <v>37.0</v>
      </c>
      <c r="Q262" s="736">
        <v>10.0</v>
      </c>
      <c r="R262" s="766"/>
      <c r="S262" s="767"/>
      <c r="T262" s="768"/>
      <c r="U262" s="734"/>
      <c r="V262" s="731"/>
      <c r="W262" s="731"/>
      <c r="X262" s="734"/>
      <c r="Y262" s="731"/>
      <c r="Z262" s="731"/>
    </row>
    <row r="263">
      <c r="C263" s="734"/>
      <c r="D263" s="731"/>
      <c r="E263" s="731"/>
      <c r="F263" s="734"/>
      <c r="G263" s="731"/>
      <c r="H263" s="731"/>
      <c r="I263" s="734"/>
      <c r="J263" s="731"/>
      <c r="K263" s="731"/>
      <c r="L263" s="734"/>
      <c r="M263" s="731"/>
      <c r="N263" s="736" t="s">
        <v>171</v>
      </c>
      <c r="O263" s="745">
        <v>50.0</v>
      </c>
      <c r="P263" s="736">
        <v>41.0</v>
      </c>
      <c r="Q263" s="736">
        <v>27.0</v>
      </c>
      <c r="R263" s="766">
        <f>P263-P262+Q263/60-Q262/60</f>
        <v>4.283333333</v>
      </c>
      <c r="S263" s="767">
        <f>(O263-1)/R263</f>
        <v>11.43968872</v>
      </c>
      <c r="T263" s="768">
        <f>S263*60</f>
        <v>686.381323</v>
      </c>
      <c r="U263" s="734"/>
      <c r="V263" s="731"/>
      <c r="W263" s="731"/>
      <c r="X263" s="734"/>
      <c r="Y263" s="731"/>
      <c r="Z263" s="731"/>
    </row>
    <row r="264">
      <c r="C264" s="734"/>
      <c r="D264" s="731"/>
      <c r="E264" s="731"/>
      <c r="F264" s="734"/>
      <c r="G264" s="731"/>
      <c r="H264" s="731"/>
      <c r="I264" s="734"/>
      <c r="J264" s="731"/>
      <c r="K264" s="731"/>
      <c r="L264" s="734"/>
      <c r="M264" s="731"/>
      <c r="N264" s="731"/>
      <c r="O264" s="730"/>
      <c r="P264" s="736">
        <v>3.0</v>
      </c>
      <c r="Q264" s="736">
        <v>4.0</v>
      </c>
      <c r="R264" s="766"/>
      <c r="S264" s="767"/>
      <c r="T264" s="768"/>
      <c r="U264" s="734"/>
      <c r="V264" s="731"/>
      <c r="W264" s="731"/>
      <c r="X264" s="734"/>
      <c r="Y264" s="731"/>
      <c r="Z264" s="731"/>
    </row>
    <row r="265">
      <c r="C265" s="734"/>
      <c r="D265" s="731"/>
      <c r="E265" s="731"/>
      <c r="F265" s="734"/>
      <c r="G265" s="731"/>
      <c r="H265" s="731"/>
      <c r="I265" s="734"/>
      <c r="J265" s="731"/>
      <c r="K265" s="731"/>
      <c r="L265" s="734"/>
      <c r="M265" s="731"/>
      <c r="N265" s="736">
        <v>416.0</v>
      </c>
      <c r="O265" s="745">
        <v>50.0</v>
      </c>
      <c r="P265" s="736">
        <v>6.0</v>
      </c>
      <c r="Q265" s="736">
        <v>34.0</v>
      </c>
      <c r="R265" s="766">
        <f>P265-P264+Q265/60-Q264/60</f>
        <v>3.5</v>
      </c>
      <c r="S265" s="767">
        <f>(O265-1)/R265</f>
        <v>14</v>
      </c>
      <c r="T265" s="768">
        <f>S265*60</f>
        <v>840</v>
      </c>
      <c r="U265" s="734"/>
      <c r="V265" s="731"/>
      <c r="W265" s="731"/>
      <c r="X265" s="734"/>
      <c r="Y265" s="731"/>
      <c r="Z265" s="731"/>
    </row>
    <row r="266">
      <c r="C266" s="734"/>
      <c r="D266" s="731"/>
      <c r="E266" s="731"/>
      <c r="F266" s="734"/>
      <c r="G266" s="731"/>
      <c r="H266" s="731"/>
      <c r="I266" s="734"/>
      <c r="J266" s="731"/>
      <c r="K266" s="731"/>
      <c r="L266" s="734"/>
      <c r="M266" s="731"/>
      <c r="N266" s="731"/>
      <c r="O266" s="730"/>
      <c r="P266" s="736">
        <v>14.0</v>
      </c>
      <c r="Q266" s="736">
        <v>15.0</v>
      </c>
      <c r="R266" s="766"/>
      <c r="S266" s="767"/>
      <c r="T266" s="768"/>
      <c r="U266" s="734"/>
      <c r="V266" s="731"/>
      <c r="W266" s="731"/>
      <c r="X266" s="734"/>
      <c r="Y266" s="731"/>
      <c r="Z266" s="731"/>
    </row>
    <row r="267">
      <c r="C267" s="734"/>
      <c r="D267" s="731"/>
      <c r="E267" s="731"/>
      <c r="F267" s="734"/>
      <c r="G267" s="731"/>
      <c r="H267" s="731"/>
      <c r="I267" s="734"/>
      <c r="J267" s="731"/>
      <c r="K267" s="731"/>
      <c r="L267" s="734"/>
      <c r="M267" s="731"/>
      <c r="N267" s="736" t="s">
        <v>419</v>
      </c>
      <c r="O267" s="745">
        <v>90.0</v>
      </c>
      <c r="P267" s="736">
        <v>21.0</v>
      </c>
      <c r="Q267" s="736">
        <v>51.0</v>
      </c>
      <c r="R267" s="766">
        <f>P267-P266+Q267/60-Q266/60</f>
        <v>7.6</v>
      </c>
      <c r="S267" s="767">
        <f>(O267-1)/R267</f>
        <v>11.71052632</v>
      </c>
      <c r="T267" s="768">
        <f>S267*60</f>
        <v>702.6315789</v>
      </c>
      <c r="U267" s="734"/>
      <c r="V267" s="731"/>
      <c r="W267" s="731"/>
      <c r="X267" s="734"/>
      <c r="Y267" s="731"/>
      <c r="Z267" s="731"/>
    </row>
    <row r="268">
      <c r="C268" s="734"/>
      <c r="D268" s="731"/>
      <c r="E268" s="731"/>
      <c r="F268" s="734"/>
      <c r="G268" s="731"/>
      <c r="H268" s="731"/>
      <c r="I268" s="734"/>
      <c r="J268" s="731"/>
      <c r="K268" s="731"/>
      <c r="L268" s="734"/>
      <c r="M268" s="731"/>
      <c r="N268" s="731"/>
      <c r="O268" s="730"/>
      <c r="P268" s="736">
        <v>52.0</v>
      </c>
      <c r="Q268" s="736">
        <v>17.0</v>
      </c>
      <c r="R268" s="766"/>
      <c r="S268" s="767"/>
      <c r="T268" s="768"/>
      <c r="U268" s="734"/>
      <c r="V268" s="731"/>
      <c r="W268" s="731"/>
      <c r="X268" s="734"/>
      <c r="Y268" s="731"/>
      <c r="Z268" s="731"/>
    </row>
    <row r="269">
      <c r="C269" s="734"/>
      <c r="D269" s="731"/>
      <c r="E269" s="731"/>
      <c r="F269" s="734"/>
      <c r="G269" s="731"/>
      <c r="H269" s="731"/>
      <c r="I269" s="734"/>
      <c r="J269" s="731"/>
      <c r="K269" s="731"/>
      <c r="L269" s="734"/>
      <c r="M269" s="731"/>
      <c r="N269" s="736" t="s">
        <v>396</v>
      </c>
      <c r="O269" s="745">
        <v>100.0</v>
      </c>
      <c r="P269" s="736">
        <v>60.0</v>
      </c>
      <c r="Q269" s="736">
        <v>48.0</v>
      </c>
      <c r="R269" s="766">
        <f>P269-P268+Q269/60-Q268/60</f>
        <v>8.516666667</v>
      </c>
      <c r="S269" s="767">
        <f>(O269-1)/R269</f>
        <v>11.62426614</v>
      </c>
      <c r="T269" s="768">
        <f>S269*60</f>
        <v>697.4559687</v>
      </c>
      <c r="U269" s="734"/>
      <c r="V269" s="731"/>
      <c r="W269" s="731"/>
      <c r="X269" s="734"/>
      <c r="Y269" s="731"/>
      <c r="Z269" s="731"/>
    </row>
    <row r="270">
      <c r="C270" s="734"/>
      <c r="D270" s="731"/>
      <c r="E270" s="731"/>
      <c r="F270" s="734"/>
      <c r="G270" s="731"/>
      <c r="H270" s="731"/>
      <c r="I270" s="734"/>
      <c r="J270" s="731"/>
      <c r="K270" s="731"/>
      <c r="L270" s="734"/>
      <c r="M270" s="731"/>
      <c r="N270" s="731"/>
      <c r="O270" s="730"/>
      <c r="P270" s="736">
        <v>6.0</v>
      </c>
      <c r="Q270" s="736">
        <v>12.0</v>
      </c>
      <c r="R270" s="766"/>
      <c r="S270" s="767"/>
      <c r="T270" s="768"/>
      <c r="U270" s="734"/>
      <c r="V270" s="731"/>
      <c r="W270" s="731"/>
      <c r="X270" s="734"/>
      <c r="Y270" s="731"/>
      <c r="Z270" s="731"/>
    </row>
    <row r="271">
      <c r="C271" s="734"/>
      <c r="D271" s="731"/>
      <c r="E271" s="731"/>
      <c r="F271" s="734"/>
      <c r="G271" s="731"/>
      <c r="H271" s="731"/>
      <c r="I271" s="734"/>
      <c r="J271" s="731"/>
      <c r="K271" s="731"/>
      <c r="L271" s="734"/>
      <c r="M271" s="731"/>
      <c r="N271" s="736" t="s">
        <v>397</v>
      </c>
      <c r="O271" s="745">
        <v>100.0</v>
      </c>
      <c r="P271" s="736">
        <v>14.0</v>
      </c>
      <c r="Q271" s="736">
        <v>43.0</v>
      </c>
      <c r="R271" s="766">
        <f>P271-P270+Q271/60-Q270/60</f>
        <v>8.516666667</v>
      </c>
      <c r="S271" s="767">
        <f>(O271-1)/R271</f>
        <v>11.62426614</v>
      </c>
      <c r="T271" s="768">
        <f>S271*60</f>
        <v>697.4559687</v>
      </c>
      <c r="U271" s="734"/>
      <c r="V271" s="731"/>
      <c r="W271" s="731"/>
      <c r="X271" s="734"/>
      <c r="Y271" s="731"/>
      <c r="Z271" s="731"/>
    </row>
    <row r="272">
      <c r="C272" s="734"/>
      <c r="D272" s="731"/>
      <c r="E272" s="731"/>
      <c r="F272" s="734"/>
      <c r="G272" s="731"/>
      <c r="H272" s="731"/>
      <c r="I272" s="734"/>
      <c r="J272" s="731"/>
      <c r="K272" s="731"/>
      <c r="L272" s="734"/>
      <c r="M272" s="731"/>
      <c r="N272" s="731"/>
      <c r="O272" s="730"/>
      <c r="P272" s="736">
        <v>43.0</v>
      </c>
      <c r="Q272" s="736">
        <v>6.0</v>
      </c>
      <c r="R272" s="766"/>
      <c r="S272" s="767"/>
      <c r="T272" s="768"/>
      <c r="U272" s="734"/>
      <c r="V272" s="731"/>
      <c r="W272" s="731"/>
      <c r="X272" s="734"/>
      <c r="Y272" s="731"/>
      <c r="Z272" s="731"/>
    </row>
    <row r="273">
      <c r="C273" s="734"/>
      <c r="D273" s="731"/>
      <c r="E273" s="731"/>
      <c r="F273" s="734"/>
      <c r="G273" s="731"/>
      <c r="H273" s="731"/>
      <c r="I273" s="734"/>
      <c r="J273" s="731"/>
      <c r="K273" s="731"/>
      <c r="L273" s="734"/>
      <c r="M273" s="731"/>
      <c r="N273" s="736" t="s">
        <v>420</v>
      </c>
      <c r="O273" s="745">
        <v>75.0</v>
      </c>
      <c r="P273" s="736">
        <v>50.0</v>
      </c>
      <c r="Q273" s="736">
        <v>5.0</v>
      </c>
      <c r="R273" s="766">
        <f>P273-P272+Q273/60-Q272/60</f>
        <v>6.983333333</v>
      </c>
      <c r="S273" s="767">
        <f>(O273-1)/R273</f>
        <v>10.59665871</v>
      </c>
      <c r="T273" s="768">
        <f>S273*60</f>
        <v>635.7995227</v>
      </c>
      <c r="U273" s="734"/>
      <c r="V273" s="731"/>
      <c r="W273" s="731"/>
      <c r="X273" s="734"/>
      <c r="Y273" s="731"/>
      <c r="Z273" s="731"/>
    </row>
    <row r="274">
      <c r="C274" s="734"/>
      <c r="D274" s="731"/>
      <c r="E274" s="731"/>
      <c r="F274" s="734"/>
      <c r="G274" s="731"/>
      <c r="H274" s="731"/>
      <c r="I274" s="734"/>
      <c r="J274" s="731"/>
      <c r="K274" s="731"/>
      <c r="L274" s="734"/>
      <c r="M274" s="731"/>
      <c r="N274" s="731"/>
      <c r="O274" s="730"/>
      <c r="P274" s="736">
        <v>53.0</v>
      </c>
      <c r="Q274" s="736">
        <v>56.0</v>
      </c>
      <c r="R274" s="766"/>
      <c r="S274" s="767"/>
      <c r="T274" s="768"/>
      <c r="U274" s="734"/>
      <c r="V274" s="731"/>
      <c r="W274" s="731"/>
      <c r="X274" s="734"/>
      <c r="Y274" s="731"/>
      <c r="Z274" s="731"/>
    </row>
    <row r="275">
      <c r="C275" s="734"/>
      <c r="D275" s="731"/>
      <c r="E275" s="731"/>
      <c r="F275" s="734"/>
      <c r="G275" s="731"/>
      <c r="H275" s="731"/>
      <c r="I275" s="734"/>
      <c r="J275" s="731"/>
      <c r="K275" s="731"/>
      <c r="L275" s="734"/>
      <c r="M275" s="731"/>
      <c r="N275" s="736" t="s">
        <v>421</v>
      </c>
      <c r="O275" s="745">
        <v>175.0</v>
      </c>
      <c r="P275" s="736">
        <v>71.0</v>
      </c>
      <c r="Q275" s="736">
        <v>38.0</v>
      </c>
      <c r="R275" s="766">
        <f>P275-P274+Q275/60-Q274/60</f>
        <v>17.7</v>
      </c>
      <c r="S275" s="767">
        <f>(O275-1)/R275</f>
        <v>9.830508475</v>
      </c>
      <c r="T275" s="768">
        <f>S275*60</f>
        <v>589.8305085</v>
      </c>
      <c r="U275" s="734"/>
      <c r="V275" s="731"/>
      <c r="W275" s="731"/>
      <c r="X275" s="734"/>
      <c r="Y275" s="731"/>
      <c r="Z275" s="731"/>
    </row>
    <row r="276">
      <c r="C276" s="734"/>
      <c r="D276" s="731"/>
      <c r="E276" s="731"/>
      <c r="F276" s="734"/>
      <c r="G276" s="731"/>
      <c r="H276" s="731"/>
      <c r="I276" s="734"/>
      <c r="J276" s="731"/>
      <c r="K276" s="731"/>
      <c r="L276" s="734"/>
      <c r="M276" s="731"/>
      <c r="N276" s="731"/>
      <c r="O276" s="730"/>
      <c r="P276" s="736">
        <v>2.0</v>
      </c>
      <c r="Q276" s="736">
        <v>27.0</v>
      </c>
      <c r="R276" s="766"/>
      <c r="S276" s="767"/>
      <c r="T276" s="768"/>
      <c r="U276" s="734"/>
      <c r="V276" s="731"/>
      <c r="W276" s="731"/>
      <c r="X276" s="734"/>
      <c r="Y276" s="731"/>
      <c r="Z276" s="731"/>
    </row>
    <row r="277">
      <c r="C277" s="734"/>
      <c r="D277" s="731"/>
      <c r="E277" s="731"/>
      <c r="F277" s="734"/>
      <c r="G277" s="731"/>
      <c r="H277" s="731"/>
      <c r="I277" s="734"/>
      <c r="J277" s="731"/>
      <c r="K277" s="731"/>
      <c r="L277" s="734"/>
      <c r="M277" s="731"/>
      <c r="N277" s="736" t="s">
        <v>422</v>
      </c>
      <c r="O277" s="745">
        <v>150.0</v>
      </c>
      <c r="P277" s="736">
        <v>12.0</v>
      </c>
      <c r="Q277" s="736">
        <v>29.0</v>
      </c>
      <c r="R277" s="766">
        <f>P277-P276+Q277/60-Q276/60</f>
        <v>10.03333333</v>
      </c>
      <c r="S277" s="767">
        <f>(O277-1)/R277</f>
        <v>14.85049834</v>
      </c>
      <c r="T277" s="768">
        <f>S277*60</f>
        <v>891.0299003</v>
      </c>
      <c r="U277" s="734"/>
      <c r="V277" s="731"/>
      <c r="W277" s="731"/>
      <c r="X277" s="734"/>
      <c r="Y277" s="731"/>
      <c r="Z277" s="731"/>
    </row>
    <row r="278">
      <c r="C278" s="734"/>
      <c r="D278" s="731"/>
      <c r="E278" s="731"/>
      <c r="F278" s="734"/>
      <c r="G278" s="731"/>
      <c r="H278" s="731"/>
      <c r="I278" s="734"/>
      <c r="J278" s="731"/>
      <c r="K278" s="731"/>
      <c r="L278" s="734"/>
      <c r="M278" s="731"/>
      <c r="N278" s="731"/>
      <c r="O278" s="730"/>
      <c r="P278" s="736">
        <v>42.0</v>
      </c>
      <c r="Q278" s="736">
        <v>50.0</v>
      </c>
      <c r="R278" s="766"/>
      <c r="S278" s="767"/>
      <c r="T278" s="768"/>
      <c r="U278" s="734"/>
      <c r="V278" s="731"/>
      <c r="W278" s="731"/>
      <c r="X278" s="734"/>
      <c r="Y278" s="731"/>
      <c r="Z278" s="731"/>
    </row>
    <row r="279">
      <c r="C279" s="734"/>
      <c r="D279" s="731"/>
      <c r="E279" s="731"/>
      <c r="F279" s="734"/>
      <c r="G279" s="731"/>
      <c r="H279" s="731"/>
      <c r="I279" s="734"/>
      <c r="J279" s="731"/>
      <c r="K279" s="731"/>
      <c r="L279" s="734"/>
      <c r="M279" s="731"/>
      <c r="N279" s="736" t="s">
        <v>39</v>
      </c>
      <c r="O279" s="745">
        <v>30.0</v>
      </c>
      <c r="P279" s="736">
        <v>45.0</v>
      </c>
      <c r="Q279" s="736">
        <v>4.0</v>
      </c>
      <c r="R279" s="766">
        <f>P279-P278+Q279/60-Q278/60</f>
        <v>2.233333333</v>
      </c>
      <c r="S279" s="767">
        <f>(O279-1)/R279</f>
        <v>12.98507463</v>
      </c>
      <c r="T279" s="768">
        <f>S279*60</f>
        <v>779.1044776</v>
      </c>
      <c r="U279" s="734"/>
      <c r="V279" s="731"/>
      <c r="W279" s="731"/>
      <c r="X279" s="734"/>
      <c r="Y279" s="731"/>
      <c r="Z279" s="731"/>
    </row>
    <row r="280">
      <c r="C280" s="734"/>
      <c r="D280" s="731"/>
      <c r="E280" s="731"/>
      <c r="F280" s="734"/>
      <c r="G280" s="731"/>
      <c r="H280" s="731"/>
      <c r="I280" s="734"/>
      <c r="J280" s="731"/>
      <c r="K280" s="731"/>
      <c r="L280" s="734"/>
      <c r="M280" s="731"/>
      <c r="N280" s="731"/>
      <c r="O280" s="730"/>
      <c r="P280" s="736">
        <v>34.0</v>
      </c>
      <c r="Q280" s="736">
        <v>23.0</v>
      </c>
      <c r="R280" s="766"/>
      <c r="S280" s="767"/>
      <c r="T280" s="768"/>
      <c r="U280" s="734"/>
      <c r="V280" s="731"/>
      <c r="W280" s="731"/>
      <c r="X280" s="734"/>
      <c r="Y280" s="731"/>
      <c r="Z280" s="731"/>
    </row>
    <row r="281">
      <c r="C281" s="734"/>
      <c r="D281" s="731"/>
      <c r="E281" s="731"/>
      <c r="F281" s="734"/>
      <c r="G281" s="731"/>
      <c r="H281" s="731"/>
      <c r="I281" s="734"/>
      <c r="J281" s="731"/>
      <c r="K281" s="731"/>
      <c r="L281" s="734"/>
      <c r="M281" s="731"/>
      <c r="N281" s="736" t="s">
        <v>423</v>
      </c>
      <c r="O281" s="745">
        <v>30.0</v>
      </c>
      <c r="P281" s="736">
        <v>37.0</v>
      </c>
      <c r="Q281" s="736">
        <v>20.0</v>
      </c>
      <c r="R281" s="766">
        <f>P281-P280+Q281/60-Q280/60</f>
        <v>2.95</v>
      </c>
      <c r="S281" s="767">
        <f>(O281-1)/R281</f>
        <v>9.830508475</v>
      </c>
      <c r="T281" s="768">
        <f>S281*60</f>
        <v>589.8305085</v>
      </c>
      <c r="U281" s="734"/>
      <c r="V281" s="731"/>
      <c r="W281" s="731"/>
      <c r="X281" s="734"/>
      <c r="Y281" s="731"/>
      <c r="Z281" s="731"/>
    </row>
    <row r="282">
      <c r="C282" s="734"/>
      <c r="D282" s="731"/>
      <c r="E282" s="731"/>
      <c r="F282" s="734"/>
      <c r="G282" s="731"/>
      <c r="H282" s="731"/>
      <c r="I282" s="734"/>
      <c r="J282" s="731"/>
      <c r="K282" s="731"/>
      <c r="L282" s="734"/>
      <c r="M282" s="731"/>
      <c r="N282" s="731"/>
      <c r="O282" s="730"/>
      <c r="P282" s="736">
        <v>7.0</v>
      </c>
      <c r="Q282" s="736">
        <v>23.0</v>
      </c>
      <c r="R282" s="766"/>
      <c r="S282" s="767"/>
      <c r="T282" s="768"/>
      <c r="U282" s="734"/>
      <c r="V282" s="731"/>
      <c r="W282" s="731"/>
      <c r="X282" s="734"/>
      <c r="Y282" s="731"/>
      <c r="Z282" s="731"/>
    </row>
    <row r="283">
      <c r="C283" s="734"/>
      <c r="D283" s="731"/>
      <c r="E283" s="731"/>
      <c r="F283" s="734"/>
      <c r="G283" s="731"/>
      <c r="H283" s="731"/>
      <c r="I283" s="734"/>
      <c r="J283" s="731"/>
      <c r="K283" s="731"/>
      <c r="L283" s="734"/>
      <c r="M283" s="731"/>
      <c r="N283" s="736" t="s">
        <v>61</v>
      </c>
      <c r="O283" s="745">
        <v>50.0</v>
      </c>
      <c r="P283" s="736">
        <v>10.0</v>
      </c>
      <c r="Q283" s="736">
        <v>44.0</v>
      </c>
      <c r="R283" s="766">
        <f>P283-P282+Q283/60-Q282/60</f>
        <v>3.35</v>
      </c>
      <c r="S283" s="767">
        <f>(O283-1)/R283</f>
        <v>14.62686567</v>
      </c>
      <c r="T283" s="768">
        <f>S283*60</f>
        <v>877.6119403</v>
      </c>
      <c r="U283" s="734"/>
      <c r="V283" s="731"/>
      <c r="W283" s="731"/>
      <c r="X283" s="734"/>
      <c r="Y283" s="731"/>
      <c r="Z283" s="731"/>
    </row>
    <row r="284">
      <c r="C284" s="734"/>
      <c r="D284" s="731"/>
      <c r="E284" s="731"/>
      <c r="F284" s="734"/>
      <c r="G284" s="731"/>
      <c r="H284" s="731"/>
      <c r="I284" s="734"/>
      <c r="J284" s="731"/>
      <c r="K284" s="731"/>
      <c r="L284" s="734"/>
      <c r="M284" s="731"/>
      <c r="N284" s="731"/>
      <c r="O284" s="745"/>
      <c r="P284" s="736">
        <v>14.0</v>
      </c>
      <c r="Q284" s="736">
        <v>38.0</v>
      </c>
      <c r="R284" s="766"/>
      <c r="S284" s="767"/>
      <c r="T284" s="768"/>
      <c r="U284" s="734"/>
      <c r="V284" s="731"/>
      <c r="W284" s="731"/>
      <c r="X284" s="734"/>
      <c r="Y284" s="731"/>
      <c r="Z284" s="731"/>
    </row>
    <row r="285">
      <c r="C285" s="734"/>
      <c r="D285" s="731"/>
      <c r="E285" s="731"/>
      <c r="F285" s="734"/>
      <c r="G285" s="731"/>
      <c r="H285" s="731"/>
      <c r="I285" s="734"/>
      <c r="J285" s="731"/>
      <c r="K285" s="731"/>
      <c r="L285" s="734"/>
      <c r="M285" s="731"/>
      <c r="N285" s="736" t="s">
        <v>66</v>
      </c>
      <c r="O285" s="745">
        <v>64.0</v>
      </c>
      <c r="P285" s="736">
        <v>20.0</v>
      </c>
      <c r="Q285" s="736">
        <v>9.0</v>
      </c>
      <c r="R285" s="766">
        <f>P285-P284+Q285/60-Q284/60</f>
        <v>5.516666667</v>
      </c>
      <c r="S285" s="767">
        <f>(O285-1)/R285</f>
        <v>11.41993958</v>
      </c>
      <c r="T285" s="768">
        <f>S285*60</f>
        <v>685.1963746</v>
      </c>
      <c r="U285" s="734"/>
      <c r="V285" s="731"/>
      <c r="W285" s="731"/>
      <c r="X285" s="734"/>
      <c r="Y285" s="731"/>
      <c r="Z285" s="731"/>
    </row>
    <row r="286">
      <c r="C286" s="734"/>
      <c r="D286" s="731"/>
      <c r="E286" s="731"/>
      <c r="F286" s="734"/>
      <c r="G286" s="731"/>
      <c r="H286" s="731"/>
      <c r="I286" s="734"/>
      <c r="J286" s="731"/>
      <c r="K286" s="731"/>
      <c r="L286" s="734"/>
      <c r="M286" s="731"/>
      <c r="N286" s="731"/>
      <c r="O286" s="730"/>
      <c r="P286" s="736">
        <v>3.0</v>
      </c>
      <c r="Q286" s="736">
        <v>50.0</v>
      </c>
      <c r="R286" s="766"/>
      <c r="S286" s="767"/>
      <c r="T286" s="768"/>
      <c r="U286" s="734"/>
      <c r="V286" s="731"/>
      <c r="W286" s="731"/>
      <c r="X286" s="734"/>
      <c r="Y286" s="731"/>
      <c r="Z286" s="731"/>
    </row>
    <row r="287">
      <c r="C287" s="734"/>
      <c r="D287" s="731"/>
      <c r="E287" s="731"/>
      <c r="F287" s="734"/>
      <c r="G287" s="731"/>
      <c r="H287" s="731"/>
      <c r="I287" s="734"/>
      <c r="J287" s="731"/>
      <c r="K287" s="731"/>
      <c r="L287" s="734"/>
      <c r="M287" s="731"/>
      <c r="N287" s="736" t="s">
        <v>139</v>
      </c>
      <c r="O287" s="745">
        <v>30.0</v>
      </c>
      <c r="P287" s="736">
        <v>6.0</v>
      </c>
      <c r="Q287" s="736">
        <v>13.0</v>
      </c>
      <c r="R287" s="766">
        <f>P287-P286+Q287/60-Q286/60</f>
        <v>2.383333333</v>
      </c>
      <c r="S287" s="767">
        <f>(O287-1)/R287</f>
        <v>12.16783217</v>
      </c>
      <c r="T287" s="768">
        <f>S287*60</f>
        <v>730.0699301</v>
      </c>
      <c r="U287" s="734"/>
      <c r="V287" s="731"/>
      <c r="W287" s="731"/>
      <c r="X287" s="734"/>
      <c r="Y287" s="731"/>
      <c r="Z287" s="731"/>
    </row>
    <row r="288">
      <c r="C288" s="734"/>
      <c r="D288" s="731"/>
      <c r="E288" s="731"/>
      <c r="F288" s="734"/>
      <c r="G288" s="731"/>
      <c r="H288" s="731"/>
      <c r="I288" s="734"/>
      <c r="J288" s="731"/>
      <c r="K288" s="731"/>
      <c r="L288" s="734"/>
      <c r="M288" s="731"/>
      <c r="N288" s="731"/>
      <c r="O288" s="730"/>
      <c r="P288" s="736">
        <v>10.0</v>
      </c>
      <c r="Q288" s="736">
        <v>44.0</v>
      </c>
      <c r="R288" s="766"/>
      <c r="S288" s="767"/>
      <c r="T288" s="768"/>
      <c r="U288" s="734"/>
      <c r="V288" s="731"/>
      <c r="W288" s="731"/>
      <c r="X288" s="734"/>
      <c r="Y288" s="731"/>
      <c r="Z288" s="731"/>
    </row>
    <row r="289">
      <c r="C289" s="734"/>
      <c r="D289" s="731"/>
      <c r="E289" s="731"/>
      <c r="F289" s="734"/>
      <c r="G289" s="731"/>
      <c r="H289" s="731"/>
      <c r="I289" s="734"/>
      <c r="J289" s="731"/>
      <c r="K289" s="731"/>
      <c r="L289" s="734"/>
      <c r="M289" s="731"/>
      <c r="N289" s="736" t="s">
        <v>72</v>
      </c>
      <c r="O289" s="745">
        <v>30.0</v>
      </c>
      <c r="P289" s="736">
        <v>12.0</v>
      </c>
      <c r="Q289" s="736">
        <v>37.0</v>
      </c>
      <c r="R289" s="766">
        <f>P289-P288+Q289/60-Q288/60</f>
        <v>1.883333333</v>
      </c>
      <c r="S289" s="767">
        <f>(O289-1)/R289</f>
        <v>15.39823009</v>
      </c>
      <c r="T289" s="768">
        <f>S289*60</f>
        <v>923.8938053</v>
      </c>
      <c r="U289" s="734"/>
      <c r="V289" s="731"/>
      <c r="W289" s="731"/>
      <c r="X289" s="734"/>
      <c r="Y289" s="731"/>
      <c r="Z289" s="731"/>
    </row>
    <row r="290">
      <c r="C290" s="734"/>
      <c r="D290" s="731"/>
      <c r="E290" s="731"/>
      <c r="F290" s="734"/>
      <c r="G290" s="731"/>
      <c r="H290" s="731"/>
      <c r="I290" s="734"/>
      <c r="J290" s="731"/>
      <c r="K290" s="731"/>
      <c r="L290" s="734"/>
      <c r="M290" s="731"/>
      <c r="N290" s="731"/>
      <c r="O290" s="730"/>
      <c r="P290" s="736">
        <v>46.0</v>
      </c>
      <c r="Q290" s="736">
        <v>11.0</v>
      </c>
      <c r="R290" s="766"/>
      <c r="S290" s="767"/>
      <c r="T290" s="768"/>
      <c r="U290" s="734"/>
      <c r="V290" s="731"/>
      <c r="W290" s="731"/>
      <c r="X290" s="734"/>
      <c r="Y290" s="731"/>
      <c r="Z290" s="731"/>
    </row>
    <row r="291">
      <c r="C291" s="734"/>
      <c r="D291" s="731"/>
      <c r="E291" s="731"/>
      <c r="F291" s="734"/>
      <c r="G291" s="731"/>
      <c r="H291" s="731"/>
      <c r="I291" s="734"/>
      <c r="J291" s="731"/>
      <c r="K291" s="731"/>
      <c r="L291" s="734"/>
      <c r="M291" s="731"/>
      <c r="N291" s="736" t="s">
        <v>77</v>
      </c>
      <c r="O291" s="745">
        <v>30.0</v>
      </c>
      <c r="P291" s="736">
        <v>48.0</v>
      </c>
      <c r="Q291" s="736">
        <v>17.0</v>
      </c>
      <c r="R291" s="766">
        <f>P291-P290+Q291/60-Q290/60</f>
        <v>2.1</v>
      </c>
      <c r="S291" s="767">
        <f>(O291-1)/R291</f>
        <v>13.80952381</v>
      </c>
      <c r="T291" s="768">
        <f>S291*60</f>
        <v>828.5714286</v>
      </c>
      <c r="U291" s="734"/>
      <c r="V291" s="731"/>
      <c r="W291" s="731"/>
      <c r="X291" s="734"/>
      <c r="Y291" s="731"/>
      <c r="Z291" s="731"/>
    </row>
    <row r="292">
      <c r="C292" s="734"/>
      <c r="D292" s="731"/>
      <c r="E292" s="731"/>
      <c r="F292" s="734"/>
      <c r="G292" s="731"/>
      <c r="H292" s="731"/>
      <c r="I292" s="734"/>
      <c r="J292" s="731"/>
      <c r="K292" s="731"/>
      <c r="L292" s="734"/>
      <c r="M292" s="731"/>
      <c r="N292" s="731"/>
      <c r="O292" s="730"/>
      <c r="P292" s="736">
        <v>10.0</v>
      </c>
      <c r="Q292" s="736">
        <v>11.0</v>
      </c>
      <c r="R292" s="766"/>
      <c r="S292" s="767"/>
      <c r="T292" s="768"/>
      <c r="U292" s="734"/>
      <c r="V292" s="731"/>
      <c r="W292" s="731"/>
      <c r="X292" s="734"/>
      <c r="Y292" s="731"/>
      <c r="Z292" s="731"/>
    </row>
    <row r="293">
      <c r="C293" s="734"/>
      <c r="D293" s="731"/>
      <c r="E293" s="731"/>
      <c r="F293" s="734"/>
      <c r="G293" s="731"/>
      <c r="H293" s="731"/>
      <c r="I293" s="734"/>
      <c r="J293" s="731"/>
      <c r="K293" s="731"/>
      <c r="L293" s="734"/>
      <c r="M293" s="731"/>
      <c r="N293" s="736" t="s">
        <v>96</v>
      </c>
      <c r="O293" s="745">
        <v>30.0</v>
      </c>
      <c r="P293" s="736">
        <v>12.0</v>
      </c>
      <c r="Q293" s="736">
        <v>25.0</v>
      </c>
      <c r="R293" s="766">
        <f>P293-P292+Q293/60-Q292/60</f>
        <v>2.233333333</v>
      </c>
      <c r="S293" s="767">
        <f>(O293-1)/R293</f>
        <v>12.98507463</v>
      </c>
      <c r="T293" s="768">
        <f>S293*60</f>
        <v>779.1044776</v>
      </c>
      <c r="U293" s="734"/>
      <c r="V293" s="731"/>
      <c r="W293" s="731"/>
      <c r="X293" s="734"/>
      <c r="Y293" s="731"/>
      <c r="Z293" s="731"/>
    </row>
    <row r="294">
      <c r="C294" s="734"/>
      <c r="D294" s="731"/>
      <c r="E294" s="731"/>
      <c r="F294" s="734"/>
      <c r="G294" s="731"/>
      <c r="H294" s="731"/>
      <c r="I294" s="734"/>
      <c r="J294" s="731"/>
      <c r="K294" s="731"/>
      <c r="L294" s="734"/>
      <c r="M294" s="731"/>
      <c r="N294" s="731"/>
      <c r="O294" s="730"/>
      <c r="P294" s="736">
        <v>55.0</v>
      </c>
      <c r="Q294" s="736">
        <v>53.0</v>
      </c>
      <c r="R294" s="766"/>
      <c r="S294" s="767"/>
      <c r="T294" s="768"/>
      <c r="U294" s="734"/>
      <c r="V294" s="731"/>
      <c r="W294" s="731"/>
      <c r="X294" s="734"/>
      <c r="Y294" s="731"/>
      <c r="Z294" s="731"/>
    </row>
    <row r="295">
      <c r="C295" s="734"/>
      <c r="D295" s="731"/>
      <c r="E295" s="731"/>
      <c r="F295" s="734"/>
      <c r="G295" s="731"/>
      <c r="H295" s="731"/>
      <c r="I295" s="734"/>
      <c r="J295" s="731"/>
      <c r="K295" s="731"/>
      <c r="L295" s="734"/>
      <c r="M295" s="731"/>
      <c r="N295" s="736" t="s">
        <v>424</v>
      </c>
      <c r="O295" s="745">
        <v>34.0</v>
      </c>
      <c r="P295" s="736">
        <v>59.0</v>
      </c>
      <c r="Q295" s="736">
        <v>34.0</v>
      </c>
      <c r="R295" s="766">
        <f>P295-P294+Q295/60-Q294/60</f>
        <v>3.683333333</v>
      </c>
      <c r="S295" s="767">
        <f>(O295-1)/R295</f>
        <v>8.959276018</v>
      </c>
      <c r="T295" s="768">
        <f>S295*60</f>
        <v>537.5565611</v>
      </c>
      <c r="U295" s="734"/>
      <c r="V295" s="731"/>
      <c r="W295" s="731"/>
      <c r="X295" s="734"/>
      <c r="Y295" s="731"/>
      <c r="Z295" s="731"/>
    </row>
    <row r="296">
      <c r="C296" s="734"/>
      <c r="D296" s="731"/>
      <c r="E296" s="731"/>
      <c r="F296" s="734"/>
      <c r="G296" s="731"/>
      <c r="H296" s="731"/>
      <c r="I296" s="734"/>
      <c r="J296" s="731"/>
      <c r="K296" s="731"/>
      <c r="L296" s="734"/>
      <c r="M296" s="731"/>
      <c r="N296" s="731"/>
      <c r="O296" s="730"/>
      <c r="P296" s="736">
        <v>1.0</v>
      </c>
      <c r="Q296" s="736">
        <v>52.0</v>
      </c>
      <c r="R296" s="766"/>
      <c r="S296" s="767"/>
      <c r="T296" s="768"/>
      <c r="U296" s="734"/>
      <c r="V296" s="731"/>
      <c r="W296" s="731"/>
      <c r="X296" s="734"/>
      <c r="Y296" s="731"/>
      <c r="Z296" s="731"/>
    </row>
    <row r="297">
      <c r="C297" s="734"/>
      <c r="D297" s="731"/>
      <c r="E297" s="731"/>
      <c r="F297" s="734"/>
      <c r="G297" s="731"/>
      <c r="H297" s="731"/>
      <c r="I297" s="734"/>
      <c r="J297" s="731"/>
      <c r="K297" s="731"/>
      <c r="L297" s="734"/>
      <c r="M297" s="731"/>
      <c r="N297" s="736" t="s">
        <v>425</v>
      </c>
      <c r="O297" s="745">
        <v>30.0</v>
      </c>
      <c r="P297" s="736">
        <v>4.0</v>
      </c>
      <c r="Q297" s="736">
        <v>25.0</v>
      </c>
      <c r="R297" s="766">
        <f>P297-P296+Q297/60-Q296/60</f>
        <v>2.55</v>
      </c>
      <c r="S297" s="767">
        <f>(O297-1)/R297</f>
        <v>11.37254902</v>
      </c>
      <c r="T297" s="768">
        <f>S297*60</f>
        <v>682.3529412</v>
      </c>
      <c r="U297" s="734"/>
      <c r="V297" s="731"/>
      <c r="W297" s="731"/>
      <c r="X297" s="734"/>
      <c r="Y297" s="731"/>
      <c r="Z297" s="731"/>
    </row>
    <row r="298">
      <c r="C298" s="734"/>
      <c r="D298" s="731"/>
      <c r="E298" s="731"/>
      <c r="F298" s="734"/>
      <c r="G298" s="731"/>
      <c r="H298" s="731"/>
      <c r="I298" s="734"/>
      <c r="J298" s="731"/>
      <c r="K298" s="731"/>
      <c r="L298" s="734"/>
      <c r="M298" s="731"/>
      <c r="N298" s="731"/>
      <c r="O298" s="730"/>
      <c r="P298" s="736">
        <v>9.0</v>
      </c>
      <c r="Q298" s="736">
        <v>46.0</v>
      </c>
      <c r="R298" s="766"/>
      <c r="S298" s="767"/>
      <c r="T298" s="768"/>
      <c r="U298" s="734"/>
      <c r="V298" s="731"/>
      <c r="W298" s="731"/>
      <c r="X298" s="734"/>
      <c r="Y298" s="731"/>
      <c r="Z298" s="731"/>
    </row>
    <row r="299">
      <c r="C299" s="734"/>
      <c r="D299" s="731"/>
      <c r="E299" s="731"/>
      <c r="F299" s="734"/>
      <c r="G299" s="731"/>
      <c r="H299" s="731"/>
      <c r="I299" s="734"/>
      <c r="J299" s="731"/>
      <c r="K299" s="731"/>
      <c r="L299" s="734"/>
      <c r="M299" s="731"/>
      <c r="N299" s="736" t="s">
        <v>426</v>
      </c>
      <c r="O299" s="745">
        <v>30.0</v>
      </c>
      <c r="P299" s="736">
        <v>11.0</v>
      </c>
      <c r="Q299" s="736">
        <v>20.0</v>
      </c>
      <c r="R299" s="766">
        <f>P299-P298+Q299/60-Q298/60</f>
        <v>1.566666667</v>
      </c>
      <c r="S299" s="767">
        <f>(O299-1)/R299</f>
        <v>18.5106383</v>
      </c>
      <c r="T299" s="768">
        <f>S299*60</f>
        <v>1110.638298</v>
      </c>
      <c r="U299" s="734"/>
      <c r="V299" s="731"/>
      <c r="W299" s="731"/>
      <c r="X299" s="734"/>
      <c r="Y299" s="731"/>
      <c r="Z299" s="731"/>
    </row>
    <row r="300">
      <c r="C300" s="734"/>
      <c r="D300" s="731"/>
      <c r="E300" s="731"/>
      <c r="F300" s="734"/>
      <c r="G300" s="731"/>
      <c r="H300" s="731"/>
      <c r="I300" s="734"/>
      <c r="J300" s="731"/>
      <c r="K300" s="731"/>
      <c r="L300" s="734"/>
      <c r="M300" s="731"/>
      <c r="N300" s="731"/>
      <c r="O300" s="730"/>
      <c r="P300" s="736">
        <v>21.0</v>
      </c>
      <c r="Q300" s="736">
        <v>45.0</v>
      </c>
      <c r="R300" s="766"/>
      <c r="S300" s="767"/>
      <c r="T300" s="768"/>
      <c r="U300" s="734"/>
      <c r="V300" s="731"/>
      <c r="W300" s="731"/>
      <c r="X300" s="734"/>
      <c r="Y300" s="731"/>
      <c r="Z300" s="731"/>
    </row>
    <row r="301">
      <c r="C301" s="734"/>
      <c r="D301" s="731"/>
      <c r="E301" s="731"/>
      <c r="F301" s="734"/>
      <c r="G301" s="731"/>
      <c r="H301" s="731"/>
      <c r="I301" s="734"/>
      <c r="J301" s="731"/>
      <c r="K301" s="731"/>
      <c r="L301" s="734"/>
      <c r="M301" s="731"/>
      <c r="N301" s="736" t="s">
        <v>427</v>
      </c>
      <c r="O301" s="745">
        <v>25.0</v>
      </c>
      <c r="P301" s="736">
        <v>23.0</v>
      </c>
      <c r="Q301" s="736">
        <v>1.0</v>
      </c>
      <c r="R301" s="766">
        <f>P301-P300+Q301/60-Q300/60</f>
        <v>1.266666667</v>
      </c>
      <c r="S301" s="767">
        <f>(O301-1)/R301</f>
        <v>18.94736842</v>
      </c>
      <c r="T301" s="768">
        <f>S301*60</f>
        <v>1136.842105</v>
      </c>
      <c r="U301" s="734"/>
      <c r="V301" s="731"/>
      <c r="W301" s="731"/>
      <c r="X301" s="734"/>
      <c r="Y301" s="731"/>
      <c r="Z301" s="731"/>
    </row>
    <row r="302">
      <c r="C302" s="734"/>
      <c r="D302" s="731"/>
      <c r="E302" s="731"/>
      <c r="F302" s="734"/>
      <c r="G302" s="731"/>
      <c r="H302" s="731"/>
      <c r="I302" s="734"/>
      <c r="J302" s="731"/>
      <c r="K302" s="731"/>
      <c r="L302" s="734"/>
      <c r="M302" s="731"/>
      <c r="N302" s="731"/>
      <c r="O302" s="730"/>
      <c r="P302" s="736">
        <v>41.0</v>
      </c>
      <c r="Q302" s="736">
        <v>44.0</v>
      </c>
      <c r="R302" s="766"/>
      <c r="S302" s="767"/>
      <c r="T302" s="768"/>
      <c r="U302" s="734"/>
      <c r="V302" s="731"/>
      <c r="W302" s="731"/>
      <c r="X302" s="734"/>
      <c r="Y302" s="731"/>
      <c r="Z302" s="731"/>
    </row>
    <row r="303">
      <c r="C303" s="734"/>
      <c r="D303" s="731"/>
      <c r="E303" s="731"/>
      <c r="F303" s="734"/>
      <c r="G303" s="731"/>
      <c r="H303" s="731"/>
      <c r="I303" s="734"/>
      <c r="J303" s="731"/>
      <c r="K303" s="731"/>
      <c r="L303" s="734"/>
      <c r="M303" s="731"/>
      <c r="N303" s="736" t="s">
        <v>428</v>
      </c>
      <c r="O303" s="745">
        <v>30.0</v>
      </c>
      <c r="P303" s="736">
        <v>47.0</v>
      </c>
      <c r="Q303" s="736">
        <v>34.0</v>
      </c>
      <c r="R303" s="766">
        <f>P303-P302+Q303/60-Q302/60</f>
        <v>5.833333333</v>
      </c>
      <c r="S303" s="767">
        <f>(O303-1)/R303</f>
        <v>4.971428571</v>
      </c>
      <c r="T303" s="768">
        <f>S303*60</f>
        <v>298.2857143</v>
      </c>
      <c r="U303" s="734"/>
      <c r="V303" s="731"/>
      <c r="W303" s="731"/>
      <c r="X303" s="734"/>
      <c r="Y303" s="731"/>
      <c r="Z303" s="731"/>
    </row>
    <row r="304">
      <c r="C304" s="734"/>
      <c r="D304" s="731"/>
      <c r="E304" s="731"/>
      <c r="F304" s="734"/>
      <c r="G304" s="731"/>
      <c r="H304" s="731"/>
      <c r="I304" s="734"/>
      <c r="J304" s="731"/>
      <c r="K304" s="731"/>
      <c r="L304" s="734"/>
      <c r="M304" s="731"/>
      <c r="N304" s="731"/>
      <c r="O304" s="730"/>
      <c r="P304" s="736">
        <v>13.0</v>
      </c>
      <c r="Q304" s="736">
        <v>20.0</v>
      </c>
      <c r="R304" s="766"/>
      <c r="S304" s="767"/>
      <c r="T304" s="768"/>
      <c r="U304" s="734"/>
      <c r="V304" s="731"/>
      <c r="W304" s="731"/>
      <c r="X304" s="734"/>
      <c r="Y304" s="731"/>
      <c r="Z304" s="731"/>
    </row>
    <row r="305">
      <c r="C305" s="734"/>
      <c r="D305" s="731"/>
      <c r="E305" s="731"/>
      <c r="F305" s="734"/>
      <c r="G305" s="731"/>
      <c r="H305" s="731"/>
      <c r="I305" s="734"/>
      <c r="J305" s="731"/>
      <c r="K305" s="731"/>
      <c r="L305" s="734"/>
      <c r="M305" s="731"/>
      <c r="N305" s="736" t="s">
        <v>429</v>
      </c>
      <c r="O305" s="745">
        <v>20.0</v>
      </c>
      <c r="P305" s="736">
        <v>14.0</v>
      </c>
      <c r="Q305" s="736">
        <v>19.0</v>
      </c>
      <c r="R305" s="766">
        <f>P305-P304+Q305/60-Q304/60</f>
        <v>0.9833333333</v>
      </c>
      <c r="S305" s="767">
        <f>(O305-1)/R305</f>
        <v>19.3220339</v>
      </c>
      <c r="T305" s="768">
        <f>S305*60</f>
        <v>1159.322034</v>
      </c>
      <c r="U305" s="734"/>
      <c r="V305" s="731"/>
      <c r="W305" s="731"/>
      <c r="X305" s="734"/>
      <c r="Y305" s="731"/>
      <c r="Z305" s="731"/>
    </row>
    <row r="306">
      <c r="C306" s="734"/>
      <c r="D306" s="731"/>
      <c r="E306" s="731"/>
      <c r="F306" s="734"/>
      <c r="G306" s="731"/>
      <c r="H306" s="731"/>
      <c r="I306" s="734"/>
      <c r="J306" s="731"/>
      <c r="K306" s="731"/>
      <c r="L306" s="734"/>
      <c r="M306" s="731"/>
      <c r="N306" s="731"/>
      <c r="O306" s="730"/>
      <c r="P306" s="736">
        <v>21.0</v>
      </c>
      <c r="Q306" s="736">
        <v>31.0</v>
      </c>
      <c r="R306" s="766"/>
      <c r="S306" s="767"/>
      <c r="T306" s="768"/>
      <c r="U306" s="734"/>
      <c r="V306" s="731"/>
      <c r="W306" s="731"/>
      <c r="X306" s="734"/>
      <c r="Y306" s="731"/>
      <c r="Z306" s="731"/>
    </row>
    <row r="307">
      <c r="C307" s="734"/>
      <c r="D307" s="731"/>
      <c r="E307" s="731"/>
      <c r="F307" s="734"/>
      <c r="G307" s="731"/>
      <c r="H307" s="731"/>
      <c r="I307" s="734"/>
      <c r="J307" s="731"/>
      <c r="K307" s="731"/>
      <c r="L307" s="734"/>
      <c r="M307" s="731"/>
      <c r="N307" s="736" t="s">
        <v>430</v>
      </c>
      <c r="O307" s="745">
        <v>30.0</v>
      </c>
      <c r="P307" s="736">
        <v>23.0</v>
      </c>
      <c r="Q307" s="736">
        <v>29.0</v>
      </c>
      <c r="R307" s="766">
        <f>P307-P306+Q307/60-Q306/60</f>
        <v>1.966666667</v>
      </c>
      <c r="S307" s="767">
        <f>(O307-1)/R307</f>
        <v>14.74576271</v>
      </c>
      <c r="T307" s="768">
        <f>S307*60</f>
        <v>884.7457627</v>
      </c>
      <c r="U307" s="734"/>
      <c r="V307" s="731"/>
      <c r="W307" s="731"/>
      <c r="X307" s="734"/>
      <c r="Y307" s="731"/>
      <c r="Z307" s="731"/>
    </row>
    <row r="308">
      <c r="C308" s="734"/>
      <c r="D308" s="731"/>
      <c r="E308" s="731"/>
      <c r="F308" s="734"/>
      <c r="G308" s="731"/>
      <c r="H308" s="731"/>
      <c r="I308" s="734"/>
      <c r="J308" s="731"/>
      <c r="K308" s="731"/>
      <c r="L308" s="734"/>
      <c r="M308" s="731"/>
      <c r="N308" s="731"/>
      <c r="O308" s="730"/>
      <c r="P308" s="736">
        <v>1.0</v>
      </c>
      <c r="Q308" s="736">
        <v>39.0</v>
      </c>
      <c r="R308" s="766"/>
      <c r="S308" s="767"/>
      <c r="T308" s="768"/>
      <c r="U308" s="734"/>
      <c r="V308" s="731"/>
      <c r="W308" s="731"/>
      <c r="X308" s="734"/>
      <c r="Y308" s="731"/>
      <c r="Z308" s="731"/>
    </row>
    <row r="309">
      <c r="C309" s="734"/>
      <c r="D309" s="731"/>
      <c r="E309" s="731"/>
      <c r="F309" s="734"/>
      <c r="G309" s="731"/>
      <c r="H309" s="731"/>
      <c r="I309" s="734"/>
      <c r="J309" s="731"/>
      <c r="K309" s="731"/>
      <c r="L309" s="734"/>
      <c r="M309" s="731"/>
      <c r="N309" s="736" t="s">
        <v>176</v>
      </c>
      <c r="O309" s="745">
        <v>30.0</v>
      </c>
      <c r="P309" s="736">
        <v>4.0</v>
      </c>
      <c r="Q309" s="736">
        <v>11.0</v>
      </c>
      <c r="R309" s="766">
        <f>P309-P308+Q309/60-Q308/60</f>
        <v>2.533333333</v>
      </c>
      <c r="S309" s="767">
        <f>(O309-1)/R309</f>
        <v>11.44736842</v>
      </c>
      <c r="T309" s="768">
        <f>S309*60</f>
        <v>686.8421053</v>
      </c>
      <c r="U309" s="734"/>
      <c r="V309" s="731"/>
      <c r="W309" s="731"/>
      <c r="X309" s="734"/>
      <c r="Y309" s="731"/>
      <c r="Z309" s="731"/>
    </row>
    <row r="310">
      <c r="C310" s="734"/>
      <c r="D310" s="731"/>
      <c r="E310" s="731"/>
      <c r="F310" s="734"/>
      <c r="G310" s="731"/>
      <c r="H310" s="731"/>
      <c r="I310" s="734"/>
      <c r="J310" s="731"/>
      <c r="K310" s="731"/>
      <c r="L310" s="734"/>
      <c r="M310" s="731"/>
      <c r="N310" s="731"/>
      <c r="O310" s="730"/>
      <c r="P310" s="736">
        <v>2.0</v>
      </c>
      <c r="Q310" s="736">
        <v>44.0</v>
      </c>
      <c r="R310" s="766"/>
      <c r="S310" s="731"/>
      <c r="T310" s="731"/>
      <c r="U310" s="734"/>
      <c r="V310" s="731"/>
      <c r="W310" s="731"/>
      <c r="X310" s="734"/>
      <c r="Y310" s="731"/>
      <c r="Z310" s="731"/>
    </row>
    <row r="311">
      <c r="C311" s="734"/>
      <c r="D311" s="731"/>
      <c r="E311" s="731"/>
      <c r="F311" s="734"/>
      <c r="G311" s="731"/>
      <c r="H311" s="731"/>
      <c r="I311" s="734"/>
      <c r="J311" s="731"/>
      <c r="K311" s="731"/>
      <c r="L311" s="734"/>
      <c r="M311" s="731"/>
      <c r="N311" s="736" t="s">
        <v>431</v>
      </c>
      <c r="O311" s="745"/>
      <c r="P311" s="736">
        <v>4.0</v>
      </c>
      <c r="Q311" s="736">
        <v>53.0</v>
      </c>
      <c r="R311" s="766">
        <f>P311-P310+Q311/60-Q310/60</f>
        <v>2.15</v>
      </c>
      <c r="S311" s="771">
        <f>1/R311*60</f>
        <v>27.90697674</v>
      </c>
      <c r="T311" s="731"/>
      <c r="U311" s="734"/>
      <c r="V311" s="731"/>
      <c r="W311" s="731"/>
      <c r="X311" s="734"/>
      <c r="Y311" s="731"/>
      <c r="Z311" s="731"/>
    </row>
    <row r="312">
      <c r="C312" s="734"/>
      <c r="D312" s="731"/>
      <c r="E312" s="731"/>
      <c r="F312" s="734"/>
      <c r="G312" s="731"/>
      <c r="H312" s="731"/>
      <c r="I312" s="734"/>
      <c r="J312" s="731"/>
      <c r="K312" s="731"/>
      <c r="L312" s="734"/>
      <c r="M312" s="731"/>
      <c r="N312" s="731"/>
      <c r="O312" s="730"/>
      <c r="P312" s="736">
        <v>4.0</v>
      </c>
      <c r="Q312" s="736">
        <v>53.0</v>
      </c>
      <c r="R312" s="766"/>
      <c r="S312" s="731"/>
      <c r="T312" s="731"/>
      <c r="U312" s="734"/>
      <c r="V312" s="731"/>
      <c r="W312" s="731"/>
      <c r="X312" s="734"/>
      <c r="Y312" s="731"/>
      <c r="Z312" s="731"/>
    </row>
    <row r="313">
      <c r="C313" s="734"/>
      <c r="D313" s="731"/>
      <c r="E313" s="731"/>
      <c r="F313" s="734"/>
      <c r="G313" s="731"/>
      <c r="H313" s="731"/>
      <c r="I313" s="734"/>
      <c r="J313" s="731"/>
      <c r="K313" s="731"/>
      <c r="L313" s="734"/>
      <c r="M313" s="731"/>
      <c r="N313" s="731"/>
      <c r="O313" s="730"/>
      <c r="P313" s="736">
        <v>7.0</v>
      </c>
      <c r="Q313" s="736">
        <v>16.0</v>
      </c>
      <c r="R313" s="766">
        <f>P313-P312+Q313/60-Q312/60</f>
        <v>2.383333333</v>
      </c>
      <c r="S313" s="731"/>
      <c r="T313" s="731"/>
      <c r="U313" s="734"/>
      <c r="V313" s="731"/>
      <c r="W313" s="731"/>
      <c r="X313" s="734"/>
      <c r="Y313" s="731"/>
      <c r="Z313" s="731"/>
    </row>
    <row r="314">
      <c r="C314" s="734"/>
      <c r="D314" s="731"/>
      <c r="E314" s="731"/>
      <c r="F314" s="734"/>
      <c r="G314" s="731"/>
      <c r="H314" s="731"/>
      <c r="I314" s="734"/>
      <c r="J314" s="731"/>
      <c r="K314" s="731"/>
      <c r="L314" s="734"/>
      <c r="M314" s="731"/>
      <c r="N314" s="731"/>
      <c r="O314" s="730"/>
      <c r="P314" s="736">
        <v>7.0</v>
      </c>
      <c r="Q314" s="736">
        <v>16.0</v>
      </c>
      <c r="R314" s="766"/>
      <c r="S314" s="731"/>
      <c r="T314" s="731"/>
      <c r="U314" s="734"/>
      <c r="V314" s="731"/>
      <c r="W314" s="731"/>
      <c r="X314" s="734"/>
      <c r="Y314" s="731"/>
      <c r="Z314" s="731"/>
    </row>
    <row r="315">
      <c r="C315" s="734"/>
      <c r="D315" s="731"/>
      <c r="E315" s="731"/>
      <c r="F315" s="734"/>
      <c r="G315" s="731"/>
      <c r="H315" s="731"/>
      <c r="I315" s="734"/>
      <c r="J315" s="731"/>
      <c r="K315" s="731"/>
      <c r="L315" s="734"/>
      <c r="M315" s="731"/>
      <c r="N315" s="731"/>
      <c r="O315" s="730"/>
      <c r="P315" s="736">
        <v>9.0</v>
      </c>
      <c r="Q315" s="736">
        <v>24.0</v>
      </c>
      <c r="R315" s="766">
        <f>P315-P314+Q315/60-Q314/60</f>
        <v>2.133333333</v>
      </c>
      <c r="S315" s="731"/>
      <c r="T315" s="731"/>
      <c r="U315" s="734"/>
      <c r="V315" s="731"/>
      <c r="W315" s="731"/>
      <c r="X315" s="734"/>
      <c r="Y315" s="731"/>
      <c r="Z315" s="731"/>
    </row>
    <row r="316">
      <c r="C316" s="734"/>
      <c r="D316" s="731"/>
      <c r="E316" s="731"/>
      <c r="F316" s="734"/>
      <c r="G316" s="731"/>
      <c r="H316" s="731"/>
      <c r="I316" s="734"/>
      <c r="J316" s="731"/>
      <c r="K316" s="731"/>
      <c r="L316" s="734"/>
      <c r="M316" s="731"/>
      <c r="N316" s="731"/>
      <c r="O316" s="730"/>
      <c r="P316" s="736">
        <v>2.0</v>
      </c>
      <c r="Q316" s="736">
        <v>20.0</v>
      </c>
      <c r="R316" s="766"/>
      <c r="S316" s="731"/>
      <c r="T316" s="731"/>
      <c r="U316" s="734"/>
      <c r="V316" s="731"/>
      <c r="W316" s="731"/>
      <c r="X316" s="734"/>
      <c r="Y316" s="731"/>
      <c r="Z316" s="731"/>
    </row>
    <row r="317">
      <c r="C317" s="734"/>
      <c r="D317" s="731"/>
      <c r="E317" s="731"/>
      <c r="F317" s="734"/>
      <c r="G317" s="731"/>
      <c r="H317" s="731"/>
      <c r="I317" s="734"/>
      <c r="J317" s="731"/>
      <c r="K317" s="731"/>
      <c r="L317" s="734"/>
      <c r="M317" s="736" t="s">
        <v>57</v>
      </c>
      <c r="N317" s="731"/>
      <c r="O317" s="730"/>
      <c r="P317" s="736">
        <v>4.0</v>
      </c>
      <c r="Q317" s="736">
        <v>40.0</v>
      </c>
      <c r="R317" s="766">
        <f>P317-P316+Q317/60-Q316/60</f>
        <v>2.333333333</v>
      </c>
      <c r="S317" s="731"/>
      <c r="T317" s="731"/>
      <c r="U317" s="734"/>
      <c r="V317" s="731"/>
      <c r="W317" s="731"/>
      <c r="X317" s="734"/>
      <c r="Y317" s="731"/>
      <c r="Z317" s="731"/>
    </row>
    <row r="318">
      <c r="C318" s="734"/>
      <c r="D318" s="731"/>
      <c r="E318" s="731"/>
      <c r="F318" s="734"/>
      <c r="G318" s="731"/>
      <c r="H318" s="731"/>
      <c r="I318" s="734"/>
      <c r="J318" s="731"/>
      <c r="K318" s="731"/>
      <c r="L318" s="734"/>
      <c r="M318" s="731"/>
      <c r="N318" s="731"/>
      <c r="O318" s="730"/>
      <c r="P318" s="736">
        <v>4.0</v>
      </c>
      <c r="Q318" s="736">
        <v>41.0</v>
      </c>
      <c r="R318" s="766"/>
      <c r="S318" s="731"/>
      <c r="T318" s="731"/>
      <c r="U318" s="734"/>
      <c r="V318" s="731"/>
      <c r="W318" s="731"/>
      <c r="X318" s="734"/>
      <c r="Y318" s="731"/>
      <c r="Z318" s="731"/>
    </row>
    <row r="319">
      <c r="C319" s="734"/>
      <c r="D319" s="731"/>
      <c r="E319" s="731"/>
      <c r="F319" s="734"/>
      <c r="G319" s="731"/>
      <c r="H319" s="731"/>
      <c r="I319" s="734"/>
      <c r="J319" s="731"/>
      <c r="K319" s="731"/>
      <c r="L319" s="734"/>
      <c r="M319" s="731"/>
      <c r="N319" s="731"/>
      <c r="O319" s="730"/>
      <c r="P319" s="736">
        <v>7.0</v>
      </c>
      <c r="Q319" s="736">
        <v>1.0</v>
      </c>
      <c r="R319" s="766">
        <f>P319-P318+Q319/60-Q318/60</f>
        <v>2.333333333</v>
      </c>
      <c r="S319" s="731"/>
      <c r="T319" s="731"/>
      <c r="U319" s="734"/>
      <c r="V319" s="731"/>
      <c r="W319" s="731"/>
      <c r="X319" s="734"/>
      <c r="Y319" s="731"/>
      <c r="Z319" s="731"/>
    </row>
    <row r="320">
      <c r="C320" s="734"/>
      <c r="D320" s="731"/>
      <c r="E320" s="731"/>
      <c r="F320" s="734"/>
      <c r="G320" s="731"/>
      <c r="H320" s="731"/>
      <c r="I320" s="734"/>
      <c r="J320" s="731"/>
      <c r="K320" s="731"/>
      <c r="L320" s="734"/>
      <c r="M320" s="731"/>
      <c r="N320" s="731"/>
      <c r="O320" s="730"/>
      <c r="P320" s="736">
        <v>7.0</v>
      </c>
      <c r="Q320" s="736">
        <v>2.0</v>
      </c>
      <c r="R320" s="766"/>
      <c r="S320" s="731"/>
      <c r="T320" s="731"/>
      <c r="U320" s="734"/>
      <c r="V320" s="731"/>
      <c r="W320" s="731"/>
      <c r="X320" s="734"/>
      <c r="Y320" s="731"/>
      <c r="Z320" s="731"/>
    </row>
    <row r="321">
      <c r="C321" s="734"/>
      <c r="D321" s="731"/>
      <c r="E321" s="731"/>
      <c r="F321" s="734"/>
      <c r="G321" s="731"/>
      <c r="H321" s="731"/>
      <c r="I321" s="734"/>
      <c r="J321" s="731"/>
      <c r="K321" s="731"/>
      <c r="L321" s="734"/>
      <c r="M321" s="731"/>
      <c r="N321" s="731"/>
      <c r="O321" s="730"/>
      <c r="P321" s="736">
        <v>9.0</v>
      </c>
      <c r="Q321" s="736">
        <v>23.0</v>
      </c>
      <c r="R321" s="766">
        <f>P321-P320+Q321/60-Q320/60</f>
        <v>2.35</v>
      </c>
      <c r="S321" s="771">
        <f>60/R321</f>
        <v>25.53191489</v>
      </c>
      <c r="T321" s="731"/>
      <c r="U321" s="734"/>
      <c r="V321" s="731"/>
      <c r="W321" s="731"/>
      <c r="X321" s="734"/>
      <c r="Y321" s="731"/>
      <c r="Z321" s="731"/>
    </row>
    <row r="322">
      <c r="C322" s="734"/>
      <c r="D322" s="731"/>
      <c r="E322" s="731"/>
      <c r="F322" s="734"/>
      <c r="G322" s="731"/>
      <c r="H322" s="731"/>
      <c r="I322" s="734"/>
      <c r="J322" s="731"/>
      <c r="K322" s="731"/>
      <c r="L322" s="734"/>
      <c r="M322" s="731"/>
      <c r="N322" s="731"/>
      <c r="O322" s="730"/>
      <c r="P322" s="736">
        <v>9.0</v>
      </c>
      <c r="Q322" s="736">
        <v>23.0</v>
      </c>
      <c r="R322" s="766"/>
      <c r="S322" s="771"/>
      <c r="T322" s="731"/>
      <c r="U322" s="734"/>
      <c r="V322" s="731"/>
      <c r="W322" s="731"/>
      <c r="X322" s="734"/>
      <c r="Y322" s="731"/>
      <c r="Z322" s="731"/>
    </row>
    <row r="323">
      <c r="C323" s="734"/>
      <c r="D323" s="731"/>
      <c r="E323" s="731"/>
      <c r="F323" s="734"/>
      <c r="G323" s="731"/>
      <c r="H323" s="731"/>
      <c r="I323" s="734"/>
      <c r="J323" s="731"/>
      <c r="K323" s="731"/>
      <c r="L323" s="734"/>
      <c r="M323" s="731"/>
      <c r="N323" s="731"/>
      <c r="O323" s="730"/>
      <c r="P323" s="736">
        <v>11.0</v>
      </c>
      <c r="Q323" s="736">
        <v>42.0</v>
      </c>
      <c r="R323" s="766">
        <f>P323-P322+Q323/60-Q322/60</f>
        <v>2.316666667</v>
      </c>
      <c r="S323" s="731"/>
      <c r="T323" s="731"/>
      <c r="U323" s="734"/>
      <c r="V323" s="731"/>
      <c r="W323" s="731"/>
      <c r="X323" s="734"/>
      <c r="Y323" s="731"/>
      <c r="Z323" s="731"/>
    </row>
    <row r="324">
      <c r="C324" s="734"/>
      <c r="D324" s="731"/>
      <c r="E324" s="731"/>
      <c r="F324" s="734"/>
      <c r="G324" s="731"/>
      <c r="H324" s="731"/>
      <c r="I324" s="734"/>
      <c r="J324" s="731"/>
      <c r="K324" s="731"/>
      <c r="L324" s="734"/>
      <c r="M324" s="731"/>
      <c r="N324" s="731"/>
      <c r="O324" s="730"/>
      <c r="P324" s="736">
        <v>4.0</v>
      </c>
      <c r="Q324" s="736">
        <v>58.0</v>
      </c>
      <c r="R324" s="766"/>
      <c r="S324" s="731"/>
      <c r="T324" s="731"/>
      <c r="U324" s="734"/>
      <c r="V324" s="731"/>
      <c r="W324" s="731"/>
      <c r="X324" s="734"/>
      <c r="Y324" s="731"/>
      <c r="Z324" s="731"/>
    </row>
    <row r="325">
      <c r="C325" s="734"/>
      <c r="D325" s="731"/>
      <c r="E325" s="731"/>
      <c r="F325" s="734"/>
      <c r="G325" s="731"/>
      <c r="H325" s="731"/>
      <c r="I325" s="734"/>
      <c r="J325" s="731"/>
      <c r="K325" s="731"/>
      <c r="L325" s="734"/>
      <c r="M325" s="731"/>
      <c r="N325" s="736" t="s">
        <v>432</v>
      </c>
      <c r="O325" s="730"/>
      <c r="P325" s="736">
        <v>7.0</v>
      </c>
      <c r="Q325" s="736">
        <v>0.0</v>
      </c>
      <c r="R325" s="766">
        <f>P325-P324+Q325/60-Q324/60</f>
        <v>2.033333333</v>
      </c>
      <c r="S325" s="731"/>
      <c r="T325" s="731"/>
      <c r="U325" s="734"/>
      <c r="V325" s="731"/>
      <c r="W325" s="731"/>
      <c r="X325" s="734"/>
      <c r="Y325" s="731"/>
      <c r="Z325" s="731"/>
    </row>
    <row r="326">
      <c r="C326" s="734"/>
      <c r="D326" s="731"/>
      <c r="E326" s="731"/>
      <c r="F326" s="734"/>
      <c r="G326" s="731"/>
      <c r="H326" s="731"/>
      <c r="I326" s="734"/>
      <c r="J326" s="731"/>
      <c r="K326" s="731"/>
      <c r="L326" s="734"/>
      <c r="M326" s="731"/>
      <c r="N326" s="731"/>
      <c r="O326" s="730"/>
      <c r="P326" s="736">
        <v>7.0</v>
      </c>
      <c r="Q326" s="736">
        <v>1.0</v>
      </c>
      <c r="R326" s="766"/>
      <c r="S326" s="731"/>
      <c r="T326" s="731"/>
      <c r="U326" s="734"/>
      <c r="V326" s="731"/>
      <c r="W326" s="731"/>
      <c r="X326" s="734"/>
      <c r="Y326" s="731"/>
      <c r="Z326" s="731"/>
    </row>
    <row r="327">
      <c r="C327" s="734"/>
      <c r="D327" s="731"/>
      <c r="E327" s="731"/>
      <c r="F327" s="734"/>
      <c r="G327" s="731"/>
      <c r="H327" s="731"/>
      <c r="I327" s="734"/>
      <c r="J327" s="731"/>
      <c r="K327" s="731"/>
      <c r="L327" s="734"/>
      <c r="M327" s="731"/>
      <c r="N327" s="731"/>
      <c r="O327" s="730"/>
      <c r="P327" s="736">
        <v>9.0</v>
      </c>
      <c r="Q327" s="736">
        <v>4.0</v>
      </c>
      <c r="R327" s="766">
        <f>P327-P326+Q327/60-Q326/60</f>
        <v>2.05</v>
      </c>
      <c r="S327" s="771">
        <f>1/R327*60</f>
        <v>29.26829268</v>
      </c>
      <c r="T327" s="731"/>
      <c r="U327" s="734"/>
      <c r="V327" s="731"/>
      <c r="W327" s="731"/>
      <c r="X327" s="734"/>
      <c r="Y327" s="731"/>
      <c r="Z327" s="731"/>
    </row>
    <row r="328">
      <c r="C328" s="734"/>
      <c r="D328" s="731"/>
      <c r="E328" s="731"/>
      <c r="F328" s="734"/>
      <c r="G328" s="731"/>
      <c r="H328" s="731"/>
      <c r="I328" s="734"/>
      <c r="J328" s="731"/>
      <c r="K328" s="731"/>
      <c r="L328" s="734"/>
      <c r="M328" s="731"/>
      <c r="N328" s="731"/>
      <c r="O328" s="730"/>
      <c r="P328" s="736">
        <v>9.0</v>
      </c>
      <c r="Q328" s="736">
        <v>4.0</v>
      </c>
      <c r="R328" s="766"/>
      <c r="S328" s="731"/>
      <c r="T328" s="731"/>
      <c r="U328" s="734"/>
      <c r="V328" s="731"/>
      <c r="W328" s="731"/>
      <c r="X328" s="734"/>
      <c r="Y328" s="731"/>
      <c r="Z328" s="731"/>
    </row>
    <row r="329">
      <c r="C329" s="734"/>
      <c r="D329" s="731"/>
      <c r="E329" s="731"/>
      <c r="F329" s="734"/>
      <c r="G329" s="731"/>
      <c r="H329" s="731"/>
      <c r="I329" s="734"/>
      <c r="J329" s="731"/>
      <c r="K329" s="731"/>
      <c r="L329" s="734"/>
      <c r="M329" s="731"/>
      <c r="N329" s="731"/>
      <c r="O329" s="730"/>
      <c r="P329" s="736">
        <v>11.0</v>
      </c>
      <c r="Q329" s="736">
        <v>6.0</v>
      </c>
      <c r="R329" s="766">
        <f>P329-P328+Q329/60-Q328/60</f>
        <v>2.033333333</v>
      </c>
      <c r="S329" s="731"/>
      <c r="T329" s="731"/>
      <c r="U329" s="734"/>
      <c r="V329" s="731"/>
      <c r="W329" s="731"/>
      <c r="X329" s="734"/>
      <c r="Y329" s="731"/>
      <c r="Z329" s="731"/>
    </row>
    <row r="330">
      <c r="C330" s="734"/>
      <c r="D330" s="731"/>
      <c r="E330" s="731"/>
      <c r="F330" s="734"/>
      <c r="G330" s="731"/>
      <c r="H330" s="731"/>
      <c r="I330" s="734"/>
      <c r="J330" s="731"/>
      <c r="K330" s="731"/>
      <c r="L330" s="734"/>
      <c r="M330" s="731"/>
      <c r="N330" s="731"/>
      <c r="O330" s="730"/>
      <c r="P330" s="736">
        <v>6.0</v>
      </c>
      <c r="Q330" s="736">
        <v>38.0</v>
      </c>
      <c r="R330" s="766"/>
      <c r="S330" s="731"/>
      <c r="T330" s="731"/>
      <c r="U330" s="734"/>
      <c r="V330" s="731"/>
      <c r="W330" s="731"/>
      <c r="X330" s="734"/>
      <c r="Y330" s="731"/>
      <c r="Z330" s="731"/>
    </row>
    <row r="331">
      <c r="C331" s="734"/>
      <c r="D331" s="731"/>
      <c r="E331" s="731"/>
      <c r="F331" s="734"/>
      <c r="G331" s="731"/>
      <c r="H331" s="731"/>
      <c r="I331" s="734"/>
      <c r="J331" s="731"/>
      <c r="K331" s="731"/>
      <c r="L331" s="734"/>
      <c r="M331" s="731"/>
      <c r="N331" s="736" t="s">
        <v>433</v>
      </c>
      <c r="O331" s="730"/>
      <c r="P331" s="736">
        <v>8.0</v>
      </c>
      <c r="Q331" s="736">
        <v>43.0</v>
      </c>
      <c r="R331" s="766">
        <f>P331-P330+Q331/60-Q330/60</f>
        <v>2.083333333</v>
      </c>
      <c r="S331" s="731"/>
      <c r="T331" s="731"/>
      <c r="U331" s="734"/>
      <c r="V331" s="731"/>
      <c r="W331" s="731"/>
      <c r="X331" s="734"/>
      <c r="Y331" s="731"/>
      <c r="Z331" s="731"/>
    </row>
    <row r="332">
      <c r="C332" s="734"/>
      <c r="D332" s="731"/>
      <c r="E332" s="731"/>
      <c r="F332" s="734"/>
      <c r="G332" s="731"/>
      <c r="H332" s="731"/>
      <c r="I332" s="734"/>
      <c r="J332" s="731"/>
      <c r="K332" s="731"/>
      <c r="L332" s="734"/>
      <c r="M332" s="731"/>
      <c r="N332" s="731"/>
      <c r="O332" s="730"/>
      <c r="P332" s="736">
        <v>8.0</v>
      </c>
      <c r="Q332" s="736">
        <v>43.0</v>
      </c>
      <c r="R332" s="766"/>
      <c r="S332" s="731"/>
      <c r="T332" s="731"/>
      <c r="U332" s="734"/>
      <c r="V332" s="731"/>
      <c r="W332" s="731"/>
      <c r="X332" s="734"/>
      <c r="Y332" s="731"/>
      <c r="Z332" s="731"/>
    </row>
    <row r="333">
      <c r="C333" s="734"/>
      <c r="D333" s="731"/>
      <c r="E333" s="731"/>
      <c r="F333" s="734"/>
      <c r="G333" s="731"/>
      <c r="H333" s="731"/>
      <c r="I333" s="734"/>
      <c r="J333" s="731"/>
      <c r="K333" s="731"/>
      <c r="L333" s="734"/>
      <c r="M333" s="731"/>
      <c r="N333" s="731"/>
      <c r="O333" s="730"/>
      <c r="P333" s="736">
        <v>10.0</v>
      </c>
      <c r="Q333" s="736">
        <v>48.0</v>
      </c>
      <c r="R333" s="766">
        <f>P333-P332+Q333/60-Q332/60</f>
        <v>2.083333333</v>
      </c>
      <c r="S333" s="731"/>
      <c r="T333" s="731"/>
      <c r="U333" s="734"/>
      <c r="V333" s="731"/>
      <c r="W333" s="731"/>
      <c r="X333" s="734"/>
      <c r="Y333" s="731"/>
      <c r="Z333" s="731"/>
    </row>
    <row r="334">
      <c r="C334" s="734"/>
      <c r="D334" s="731"/>
      <c r="E334" s="731"/>
      <c r="F334" s="734"/>
      <c r="G334" s="731"/>
      <c r="H334" s="731"/>
      <c r="I334" s="734"/>
      <c r="J334" s="731"/>
      <c r="K334" s="731"/>
      <c r="L334" s="734"/>
      <c r="M334" s="731"/>
      <c r="N334" s="731"/>
      <c r="O334" s="730"/>
      <c r="P334" s="736">
        <v>10.0</v>
      </c>
      <c r="Q334" s="736">
        <v>48.0</v>
      </c>
      <c r="R334" s="766"/>
      <c r="S334" s="731"/>
      <c r="T334" s="731"/>
      <c r="U334" s="734"/>
      <c r="V334" s="731"/>
      <c r="W334" s="731"/>
      <c r="X334" s="734"/>
      <c r="Y334" s="731"/>
      <c r="Z334" s="731"/>
    </row>
    <row r="335">
      <c r="C335" s="734"/>
      <c r="D335" s="731"/>
      <c r="E335" s="731"/>
      <c r="F335" s="734"/>
      <c r="G335" s="731"/>
      <c r="H335" s="731"/>
      <c r="I335" s="734"/>
      <c r="J335" s="731"/>
      <c r="K335" s="731"/>
      <c r="L335" s="734"/>
      <c r="M335" s="731"/>
      <c r="N335" s="731"/>
      <c r="O335" s="730"/>
      <c r="P335" s="736">
        <v>12.0</v>
      </c>
      <c r="Q335" s="736">
        <v>53.0</v>
      </c>
      <c r="R335" s="766">
        <f>P335-P334+Q335/60-Q334/60</f>
        <v>2.083333333</v>
      </c>
      <c r="S335" s="731">
        <f>60/R335</f>
        <v>28.8</v>
      </c>
      <c r="T335" s="731"/>
      <c r="U335" s="734"/>
      <c r="V335" s="731"/>
      <c r="W335" s="731"/>
      <c r="X335" s="734"/>
      <c r="Y335" s="731"/>
      <c r="Z335" s="731"/>
    </row>
    <row r="336">
      <c r="C336" s="734"/>
      <c r="D336" s="731"/>
      <c r="E336" s="731"/>
      <c r="F336" s="734"/>
      <c r="G336" s="731"/>
      <c r="H336" s="731"/>
      <c r="I336" s="734"/>
      <c r="J336" s="731"/>
      <c r="K336" s="731"/>
      <c r="L336" s="734"/>
      <c r="M336" s="731"/>
      <c r="N336" s="731"/>
      <c r="O336" s="730"/>
      <c r="P336" s="736">
        <v>2.0</v>
      </c>
      <c r="Q336" s="736">
        <v>44.0</v>
      </c>
      <c r="R336" s="766"/>
      <c r="S336" s="731"/>
      <c r="T336" s="731"/>
      <c r="U336" s="734"/>
      <c r="V336" s="731"/>
      <c r="W336" s="731"/>
      <c r="X336" s="734"/>
      <c r="Y336" s="731"/>
      <c r="Z336" s="731"/>
    </row>
    <row r="337">
      <c r="C337" s="734"/>
      <c r="D337" s="731"/>
      <c r="E337" s="731"/>
      <c r="F337" s="734"/>
      <c r="G337" s="731"/>
      <c r="H337" s="731"/>
      <c r="I337" s="734"/>
      <c r="J337" s="731"/>
      <c r="K337" s="731"/>
      <c r="L337" s="734"/>
      <c r="M337" s="731"/>
      <c r="N337" s="736" t="s">
        <v>434</v>
      </c>
      <c r="O337" s="730"/>
      <c r="P337" s="736">
        <v>4.0</v>
      </c>
      <c r="Q337" s="736">
        <v>53.0</v>
      </c>
      <c r="R337" s="766">
        <f t="shared" ref="R337:R340" si="76">P337-P336+Q337/60-Q336/60</f>
        <v>2.15</v>
      </c>
      <c r="S337" s="731"/>
      <c r="T337" s="731"/>
      <c r="U337" s="734"/>
      <c r="V337" s="731"/>
      <c r="W337" s="731"/>
      <c r="X337" s="734"/>
      <c r="Y337" s="731"/>
      <c r="Z337" s="731"/>
    </row>
    <row r="338">
      <c r="C338" s="734"/>
      <c r="D338" s="731"/>
      <c r="E338" s="731"/>
      <c r="F338" s="734"/>
      <c r="G338" s="731"/>
      <c r="H338" s="731"/>
      <c r="I338" s="734"/>
      <c r="J338" s="731"/>
      <c r="K338" s="731"/>
      <c r="L338" s="734"/>
      <c r="M338" s="731"/>
      <c r="N338" s="731"/>
      <c r="O338" s="730"/>
      <c r="P338" s="736">
        <v>7.0</v>
      </c>
      <c r="Q338" s="736">
        <v>9.0</v>
      </c>
      <c r="R338" s="766">
        <f t="shared" si="76"/>
        <v>2.266666667</v>
      </c>
      <c r="S338" s="731"/>
      <c r="T338" s="731"/>
      <c r="U338" s="734"/>
      <c r="V338" s="731"/>
      <c r="W338" s="731"/>
      <c r="X338" s="734"/>
      <c r="Y338" s="731"/>
      <c r="Z338" s="731"/>
    </row>
    <row r="339">
      <c r="C339" s="734"/>
      <c r="D339" s="731"/>
      <c r="E339" s="731"/>
      <c r="F339" s="734"/>
      <c r="G339" s="731"/>
      <c r="H339" s="731"/>
      <c r="I339" s="734"/>
      <c r="J339" s="731"/>
      <c r="K339" s="731"/>
      <c r="L339" s="734"/>
      <c r="M339" s="731"/>
      <c r="N339" s="731"/>
      <c r="O339" s="730"/>
      <c r="P339" s="736">
        <v>9.0</v>
      </c>
      <c r="Q339" s="736">
        <v>18.0</v>
      </c>
      <c r="R339" s="766">
        <f t="shared" si="76"/>
        <v>2.15</v>
      </c>
      <c r="S339" s="731"/>
      <c r="T339" s="731"/>
      <c r="U339" s="734"/>
      <c r="V339" s="731"/>
      <c r="W339" s="731"/>
      <c r="X339" s="734"/>
      <c r="Y339" s="731"/>
      <c r="Z339" s="731"/>
    </row>
    <row r="340">
      <c r="C340" s="734"/>
      <c r="D340" s="731"/>
      <c r="E340" s="731"/>
      <c r="F340" s="734"/>
      <c r="G340" s="731"/>
      <c r="H340" s="731"/>
      <c r="I340" s="734"/>
      <c r="J340" s="731"/>
      <c r="K340" s="731"/>
      <c r="L340" s="734"/>
      <c r="M340" s="731"/>
      <c r="N340" s="731"/>
      <c r="O340" s="730"/>
      <c r="P340" s="736">
        <v>11.0</v>
      </c>
      <c r="Q340" s="736">
        <v>26.0</v>
      </c>
      <c r="R340" s="766">
        <f t="shared" si="76"/>
        <v>2.133333333</v>
      </c>
      <c r="S340" s="731"/>
      <c r="T340" s="731"/>
      <c r="U340" s="734"/>
      <c r="V340" s="731"/>
      <c r="W340" s="731"/>
      <c r="X340" s="734"/>
      <c r="Y340" s="731"/>
      <c r="Z340" s="731"/>
    </row>
    <row r="341">
      <c r="C341" s="734"/>
      <c r="D341" s="731"/>
      <c r="E341" s="731"/>
      <c r="F341" s="734"/>
      <c r="G341" s="731"/>
      <c r="H341" s="731"/>
      <c r="I341" s="734"/>
      <c r="J341" s="731"/>
      <c r="K341" s="731"/>
      <c r="L341" s="734"/>
      <c r="M341" s="731"/>
      <c r="N341" s="736" t="s">
        <v>51</v>
      </c>
      <c r="O341" s="730"/>
      <c r="P341" s="736">
        <v>2.0</v>
      </c>
      <c r="Q341" s="736">
        <v>31.0</v>
      </c>
      <c r="R341" s="766"/>
      <c r="S341" s="731"/>
      <c r="T341" s="731"/>
      <c r="U341" s="734"/>
      <c r="V341" s="731"/>
      <c r="W341" s="731"/>
      <c r="X341" s="734"/>
      <c r="Y341" s="731"/>
      <c r="Z341" s="731"/>
    </row>
    <row r="342">
      <c r="C342" s="734"/>
      <c r="D342" s="731"/>
      <c r="E342" s="731"/>
      <c r="F342" s="734"/>
      <c r="G342" s="731"/>
      <c r="H342" s="731"/>
      <c r="I342" s="734"/>
      <c r="J342" s="731"/>
      <c r="K342" s="731"/>
      <c r="L342" s="734"/>
      <c r="M342" s="731"/>
      <c r="N342" s="731"/>
      <c r="O342" s="730"/>
      <c r="P342" s="736">
        <v>4.0</v>
      </c>
      <c r="Q342" s="736">
        <v>44.0</v>
      </c>
      <c r="R342" s="766">
        <f t="shared" ref="R342:R345" si="77">P342-P341+Q342/60-Q341/60</f>
        <v>2.216666667</v>
      </c>
      <c r="S342" s="771">
        <f>60/R342</f>
        <v>27.06766917</v>
      </c>
      <c r="T342" s="731"/>
      <c r="U342" s="734"/>
      <c r="V342" s="731"/>
      <c r="W342" s="731"/>
      <c r="X342" s="734"/>
      <c r="Y342" s="731"/>
      <c r="Z342" s="731"/>
    </row>
    <row r="343">
      <c r="C343" s="734"/>
      <c r="D343" s="731"/>
      <c r="E343" s="731"/>
      <c r="F343" s="734"/>
      <c r="G343" s="731"/>
      <c r="H343" s="731"/>
      <c r="I343" s="734"/>
      <c r="J343" s="731"/>
      <c r="K343" s="731"/>
      <c r="L343" s="734"/>
      <c r="M343" s="731"/>
      <c r="N343" s="731"/>
      <c r="O343" s="730"/>
      <c r="P343" s="736">
        <v>6.0</v>
      </c>
      <c r="Q343" s="736">
        <v>58.0</v>
      </c>
      <c r="R343" s="766">
        <f t="shared" si="77"/>
        <v>2.233333333</v>
      </c>
      <c r="S343" s="731"/>
      <c r="T343" s="731"/>
      <c r="U343" s="734"/>
      <c r="V343" s="731"/>
      <c r="W343" s="731"/>
      <c r="X343" s="734"/>
      <c r="Y343" s="731"/>
      <c r="Z343" s="731"/>
    </row>
    <row r="344">
      <c r="C344" s="734"/>
      <c r="D344" s="731"/>
      <c r="E344" s="731"/>
      <c r="F344" s="734"/>
      <c r="G344" s="731"/>
      <c r="H344" s="731"/>
      <c r="I344" s="734"/>
      <c r="J344" s="731"/>
      <c r="K344" s="731"/>
      <c r="L344" s="734"/>
      <c r="M344" s="731"/>
      <c r="N344" s="731"/>
      <c r="O344" s="730"/>
      <c r="P344" s="736">
        <v>9.0</v>
      </c>
      <c r="Q344" s="736">
        <v>11.0</v>
      </c>
      <c r="R344" s="766">
        <f t="shared" si="77"/>
        <v>2.216666667</v>
      </c>
      <c r="S344" s="731"/>
      <c r="T344" s="731"/>
      <c r="U344" s="734"/>
      <c r="V344" s="731"/>
      <c r="W344" s="731"/>
      <c r="X344" s="734"/>
      <c r="Y344" s="731"/>
      <c r="Z344" s="731"/>
    </row>
    <row r="345">
      <c r="C345" s="734"/>
      <c r="D345" s="731"/>
      <c r="E345" s="731"/>
      <c r="F345" s="734"/>
      <c r="G345" s="731"/>
      <c r="H345" s="731"/>
      <c r="I345" s="734"/>
      <c r="J345" s="731"/>
      <c r="K345" s="731"/>
      <c r="L345" s="734"/>
      <c r="M345" s="731"/>
      <c r="N345" s="731"/>
      <c r="O345" s="730"/>
      <c r="P345" s="736">
        <v>11.0</v>
      </c>
      <c r="Q345" s="736">
        <v>24.0</v>
      </c>
      <c r="R345" s="766">
        <f t="shared" si="77"/>
        <v>2.216666667</v>
      </c>
      <c r="S345" s="731"/>
      <c r="T345" s="731"/>
      <c r="U345" s="734"/>
      <c r="V345" s="731"/>
      <c r="W345" s="731"/>
      <c r="X345" s="734"/>
      <c r="Y345" s="731"/>
      <c r="Z345" s="731"/>
    </row>
    <row r="346">
      <c r="C346" s="734"/>
      <c r="D346" s="731"/>
      <c r="E346" s="731"/>
      <c r="F346" s="734"/>
      <c r="G346" s="731"/>
      <c r="H346" s="731"/>
      <c r="I346" s="734"/>
      <c r="J346" s="731"/>
      <c r="K346" s="731"/>
      <c r="L346" s="734"/>
      <c r="M346" s="731"/>
      <c r="N346" s="736" t="s">
        <v>55</v>
      </c>
      <c r="O346" s="730"/>
      <c r="P346" s="736">
        <v>23.0</v>
      </c>
      <c r="Q346" s="736">
        <v>11.0</v>
      </c>
      <c r="R346" s="766"/>
      <c r="S346" s="731"/>
      <c r="T346" s="731"/>
      <c r="U346" s="734"/>
      <c r="V346" s="731"/>
      <c r="W346" s="731"/>
      <c r="X346" s="734"/>
      <c r="Y346" s="731"/>
      <c r="Z346" s="731"/>
    </row>
    <row r="347">
      <c r="C347" s="734"/>
      <c r="D347" s="731"/>
      <c r="E347" s="731"/>
      <c r="F347" s="734"/>
      <c r="G347" s="731"/>
      <c r="H347" s="731"/>
      <c r="I347" s="734"/>
      <c r="J347" s="731"/>
      <c r="K347" s="731"/>
      <c r="L347" s="734"/>
      <c r="M347" s="731"/>
      <c r="N347" s="731"/>
      <c r="O347" s="730"/>
      <c r="P347" s="736">
        <v>25.0</v>
      </c>
      <c r="Q347" s="736">
        <v>29.0</v>
      </c>
      <c r="R347" s="766">
        <f t="shared" ref="R347:R350" si="78">P347-P346+Q347/60-Q346/60</f>
        <v>2.3</v>
      </c>
      <c r="S347" s="731"/>
      <c r="T347" s="731"/>
      <c r="U347" s="734"/>
      <c r="V347" s="731"/>
      <c r="W347" s="731"/>
      <c r="X347" s="734"/>
      <c r="Y347" s="731"/>
      <c r="Z347" s="731"/>
    </row>
    <row r="348">
      <c r="C348" s="734"/>
      <c r="D348" s="731"/>
      <c r="E348" s="731"/>
      <c r="F348" s="734"/>
      <c r="G348" s="731"/>
      <c r="H348" s="731"/>
      <c r="I348" s="734"/>
      <c r="J348" s="731"/>
      <c r="K348" s="731"/>
      <c r="L348" s="734"/>
      <c r="M348" s="731"/>
      <c r="N348" s="731"/>
      <c r="O348" s="730"/>
      <c r="P348" s="736">
        <v>27.0</v>
      </c>
      <c r="Q348" s="736">
        <v>47.0</v>
      </c>
      <c r="R348" s="766">
        <f t="shared" si="78"/>
        <v>2.3</v>
      </c>
      <c r="S348" s="731"/>
      <c r="T348" s="731"/>
      <c r="U348" s="734"/>
      <c r="V348" s="731"/>
      <c r="W348" s="731"/>
      <c r="X348" s="734"/>
      <c r="Y348" s="731"/>
      <c r="Z348" s="731"/>
    </row>
    <row r="349">
      <c r="C349" s="734"/>
      <c r="D349" s="731"/>
      <c r="E349" s="731"/>
      <c r="F349" s="734"/>
      <c r="G349" s="731"/>
      <c r="H349" s="731"/>
      <c r="I349" s="734"/>
      <c r="J349" s="731"/>
      <c r="K349" s="731"/>
      <c r="L349" s="734"/>
      <c r="M349" s="731"/>
      <c r="N349" s="731"/>
      <c r="O349" s="730"/>
      <c r="P349" s="736">
        <v>30.0</v>
      </c>
      <c r="Q349" s="736">
        <v>5.0</v>
      </c>
      <c r="R349" s="766">
        <f t="shared" si="78"/>
        <v>2.3</v>
      </c>
      <c r="S349" s="731"/>
      <c r="T349" s="731"/>
      <c r="U349" s="734"/>
      <c r="V349" s="731"/>
      <c r="W349" s="731"/>
      <c r="X349" s="734"/>
      <c r="Y349" s="731"/>
      <c r="Z349" s="731"/>
    </row>
    <row r="350">
      <c r="C350" s="734"/>
      <c r="D350" s="731"/>
      <c r="E350" s="731"/>
      <c r="F350" s="734"/>
      <c r="G350" s="731"/>
      <c r="H350" s="731"/>
      <c r="I350" s="734"/>
      <c r="J350" s="731"/>
      <c r="K350" s="731"/>
      <c r="L350" s="734"/>
      <c r="M350" s="731"/>
      <c r="N350" s="731"/>
      <c r="O350" s="730"/>
      <c r="P350" s="736">
        <v>32.0</v>
      </c>
      <c r="Q350" s="736">
        <v>23.0</v>
      </c>
      <c r="R350" s="766">
        <f t="shared" si="78"/>
        <v>2.3</v>
      </c>
      <c r="S350" s="771">
        <f>60/R350</f>
        <v>26.08695652</v>
      </c>
      <c r="T350" s="731"/>
      <c r="U350" s="734"/>
      <c r="V350" s="731"/>
      <c r="W350" s="731"/>
      <c r="X350" s="734"/>
      <c r="Y350" s="731"/>
      <c r="Z350" s="731"/>
    </row>
    <row r="351">
      <c r="C351" s="734"/>
      <c r="D351" s="731"/>
      <c r="E351" s="731"/>
      <c r="F351" s="734"/>
      <c r="G351" s="731"/>
      <c r="H351" s="731"/>
      <c r="I351" s="734"/>
      <c r="J351" s="731"/>
      <c r="K351" s="731"/>
      <c r="L351" s="734"/>
      <c r="M351" s="731"/>
      <c r="N351" s="736" t="s">
        <v>435</v>
      </c>
      <c r="O351" s="730"/>
      <c r="P351" s="736">
        <v>31.0</v>
      </c>
      <c r="Q351" s="736">
        <v>2.0</v>
      </c>
      <c r="R351" s="766"/>
      <c r="S351" s="731"/>
      <c r="T351" s="731"/>
      <c r="U351" s="734"/>
      <c r="V351" s="731"/>
      <c r="W351" s="731"/>
      <c r="X351" s="734"/>
      <c r="Y351" s="731"/>
      <c r="Z351" s="731"/>
    </row>
    <row r="352">
      <c r="C352" s="734"/>
      <c r="D352" s="731"/>
      <c r="E352" s="731"/>
      <c r="F352" s="734"/>
      <c r="G352" s="731"/>
      <c r="H352" s="731"/>
      <c r="I352" s="734"/>
      <c r="J352" s="731"/>
      <c r="K352" s="731"/>
      <c r="L352" s="734"/>
      <c r="M352" s="731"/>
      <c r="N352" s="731"/>
      <c r="O352" s="730"/>
      <c r="P352" s="736">
        <v>32.0</v>
      </c>
      <c r="Q352" s="736">
        <v>32.0</v>
      </c>
      <c r="R352" s="766">
        <f t="shared" ref="R352:R354" si="79">P352-P351+Q352/60-Q351/60</f>
        <v>1.5</v>
      </c>
      <c r="S352" s="731"/>
      <c r="T352" s="731"/>
      <c r="U352" s="734"/>
      <c r="V352" s="731"/>
      <c r="W352" s="731"/>
      <c r="X352" s="734"/>
      <c r="Y352" s="731"/>
      <c r="Z352" s="731"/>
    </row>
    <row r="353">
      <c r="C353" s="734"/>
      <c r="D353" s="731"/>
      <c r="E353" s="731"/>
      <c r="F353" s="734"/>
      <c r="G353" s="731"/>
      <c r="H353" s="731"/>
      <c r="I353" s="734"/>
      <c r="J353" s="731"/>
      <c r="K353" s="731"/>
      <c r="L353" s="734"/>
      <c r="M353" s="731"/>
      <c r="N353" s="731"/>
      <c r="O353" s="730"/>
      <c r="P353" s="736">
        <v>34.0</v>
      </c>
      <c r="Q353" s="736">
        <v>2.0</v>
      </c>
      <c r="R353" s="766">
        <f t="shared" si="79"/>
        <v>1.5</v>
      </c>
      <c r="S353" s="731"/>
      <c r="T353" s="731"/>
      <c r="U353" s="734"/>
      <c r="V353" s="731"/>
      <c r="W353" s="731"/>
      <c r="X353" s="734"/>
      <c r="Y353" s="731"/>
      <c r="Z353" s="731"/>
    </row>
    <row r="354">
      <c r="C354" s="734"/>
      <c r="D354" s="731"/>
      <c r="E354" s="731"/>
      <c r="F354" s="734"/>
      <c r="G354" s="731"/>
      <c r="H354" s="731"/>
      <c r="I354" s="734"/>
      <c r="J354" s="731"/>
      <c r="K354" s="731"/>
      <c r="L354" s="734"/>
      <c r="M354" s="731"/>
      <c r="N354" s="731"/>
      <c r="O354" s="730"/>
      <c r="P354" s="736">
        <v>35.0</v>
      </c>
      <c r="Q354" s="736">
        <v>32.0</v>
      </c>
      <c r="R354" s="766">
        <f t="shared" si="79"/>
        <v>1.5</v>
      </c>
      <c r="S354" s="731">
        <f>60/R354</f>
        <v>40</v>
      </c>
      <c r="T354" s="731"/>
      <c r="U354" s="734"/>
      <c r="V354" s="731"/>
      <c r="W354" s="731"/>
      <c r="X354" s="734"/>
      <c r="Y354" s="731"/>
      <c r="Z354" s="731"/>
    </row>
    <row r="355">
      <c r="C355" s="734"/>
      <c r="D355" s="731"/>
      <c r="E355" s="731"/>
      <c r="F355" s="734"/>
      <c r="G355" s="731"/>
      <c r="H355" s="731"/>
      <c r="I355" s="734"/>
      <c r="J355" s="731"/>
      <c r="K355" s="731"/>
      <c r="L355" s="734"/>
      <c r="M355" s="731"/>
      <c r="N355" s="736" t="s">
        <v>436</v>
      </c>
      <c r="O355" s="730"/>
      <c r="P355" s="736">
        <v>11.0</v>
      </c>
      <c r="Q355" s="736">
        <v>15.0</v>
      </c>
      <c r="R355" s="766"/>
      <c r="S355" s="731"/>
      <c r="T355" s="731"/>
      <c r="U355" s="734"/>
      <c r="V355" s="731"/>
      <c r="W355" s="731"/>
      <c r="X355" s="734"/>
      <c r="Y355" s="731"/>
      <c r="Z355" s="731"/>
    </row>
    <row r="356">
      <c r="C356" s="734"/>
      <c r="D356" s="731"/>
      <c r="E356" s="731"/>
      <c r="F356" s="734"/>
      <c r="G356" s="731"/>
      <c r="H356" s="731"/>
      <c r="I356" s="734"/>
      <c r="J356" s="731"/>
      <c r="K356" s="731"/>
      <c r="L356" s="734"/>
      <c r="M356" s="731"/>
      <c r="N356" s="731"/>
      <c r="O356" s="730"/>
      <c r="P356" s="736">
        <v>12.0</v>
      </c>
      <c r="Q356" s="736">
        <v>40.0</v>
      </c>
      <c r="R356" s="766">
        <f t="shared" ref="R356:R358" si="80">P356-P355+Q356/60-Q355/60</f>
        <v>1.416666667</v>
      </c>
      <c r="S356" s="771">
        <f>60/R356</f>
        <v>42.35294118</v>
      </c>
      <c r="T356" s="731"/>
      <c r="U356" s="734"/>
      <c r="V356" s="731"/>
      <c r="W356" s="731"/>
      <c r="X356" s="734"/>
      <c r="Y356" s="731"/>
      <c r="Z356" s="731"/>
    </row>
    <row r="357">
      <c r="C357" s="734"/>
      <c r="D357" s="731"/>
      <c r="E357" s="731"/>
      <c r="F357" s="734"/>
      <c r="G357" s="731"/>
      <c r="H357" s="731"/>
      <c r="I357" s="734"/>
      <c r="J357" s="731"/>
      <c r="K357" s="731"/>
      <c r="L357" s="734"/>
      <c r="M357" s="731"/>
      <c r="N357" s="731"/>
      <c r="O357" s="730"/>
      <c r="P357" s="736">
        <v>14.0</v>
      </c>
      <c r="Q357" s="736">
        <v>5.0</v>
      </c>
      <c r="R357" s="766">
        <f t="shared" si="80"/>
        <v>1.416666667</v>
      </c>
      <c r="S357" s="731"/>
      <c r="T357" s="731"/>
      <c r="U357" s="734"/>
      <c r="V357" s="731"/>
      <c r="W357" s="731"/>
      <c r="X357" s="734"/>
      <c r="Y357" s="731"/>
      <c r="Z357" s="731"/>
    </row>
    <row r="358">
      <c r="C358" s="734"/>
      <c r="D358" s="731"/>
      <c r="E358" s="731"/>
      <c r="F358" s="734"/>
      <c r="G358" s="731"/>
      <c r="H358" s="731"/>
      <c r="I358" s="734"/>
      <c r="J358" s="731"/>
      <c r="K358" s="731"/>
      <c r="L358" s="734"/>
      <c r="M358" s="731"/>
      <c r="N358" s="731"/>
      <c r="O358" s="730"/>
      <c r="P358" s="736">
        <v>15.0</v>
      </c>
      <c r="Q358" s="736">
        <v>30.0</v>
      </c>
      <c r="R358" s="766">
        <f t="shared" si="80"/>
        <v>1.416666667</v>
      </c>
      <c r="S358" s="731"/>
      <c r="T358" s="731"/>
      <c r="U358" s="734"/>
      <c r="V358" s="731"/>
      <c r="W358" s="731"/>
      <c r="X358" s="734"/>
      <c r="Y358" s="731"/>
      <c r="Z358" s="731"/>
    </row>
    <row r="359">
      <c r="C359" s="734"/>
      <c r="D359" s="731"/>
      <c r="E359" s="731"/>
      <c r="F359" s="734"/>
      <c r="G359" s="731"/>
      <c r="H359" s="731"/>
      <c r="I359" s="734"/>
      <c r="J359" s="731"/>
      <c r="K359" s="731"/>
      <c r="L359" s="734"/>
      <c r="M359" s="731"/>
      <c r="N359" s="736" t="s">
        <v>437</v>
      </c>
      <c r="O359" s="730"/>
      <c r="P359" s="736">
        <v>49.0</v>
      </c>
      <c r="Q359" s="736">
        <v>11.0</v>
      </c>
      <c r="R359" s="766"/>
      <c r="S359" s="731"/>
      <c r="T359" s="731"/>
      <c r="U359" s="734"/>
      <c r="V359" s="731"/>
      <c r="W359" s="731"/>
      <c r="X359" s="734"/>
      <c r="Y359" s="731"/>
      <c r="Z359" s="731"/>
    </row>
    <row r="360">
      <c r="C360" s="734"/>
      <c r="D360" s="731"/>
      <c r="E360" s="731"/>
      <c r="F360" s="734"/>
      <c r="G360" s="731"/>
      <c r="H360" s="731"/>
      <c r="I360" s="734"/>
      <c r="J360" s="731"/>
      <c r="K360" s="731"/>
      <c r="L360" s="734"/>
      <c r="M360" s="731"/>
      <c r="N360" s="731"/>
      <c r="O360" s="730"/>
      <c r="P360" s="736">
        <v>51.0</v>
      </c>
      <c r="Q360" s="736">
        <v>29.0</v>
      </c>
      <c r="R360" s="766">
        <f t="shared" ref="R360:R361" si="81">P360-P359+Q360/60-Q359/60</f>
        <v>2.3</v>
      </c>
      <c r="S360" s="731"/>
      <c r="T360" s="731"/>
      <c r="U360" s="734"/>
      <c r="V360" s="731"/>
      <c r="W360" s="731"/>
      <c r="X360" s="734"/>
      <c r="Y360" s="731"/>
      <c r="Z360" s="731"/>
    </row>
    <row r="361">
      <c r="C361" s="734"/>
      <c r="D361" s="731"/>
      <c r="E361" s="731"/>
      <c r="F361" s="734"/>
      <c r="G361" s="731"/>
      <c r="H361" s="731"/>
      <c r="I361" s="734"/>
      <c r="J361" s="731"/>
      <c r="K361" s="731"/>
      <c r="L361" s="734"/>
      <c r="M361" s="731"/>
      <c r="N361" s="731"/>
      <c r="O361" s="730"/>
      <c r="P361" s="736">
        <v>53.0</v>
      </c>
      <c r="Q361" s="736">
        <v>47.0</v>
      </c>
      <c r="R361" s="766">
        <f t="shared" si="81"/>
        <v>2.3</v>
      </c>
      <c r="S361" s="731"/>
      <c r="T361" s="731"/>
      <c r="U361" s="734"/>
      <c r="V361" s="731"/>
      <c r="W361" s="731"/>
      <c r="X361" s="734"/>
      <c r="Y361" s="731"/>
      <c r="Z361" s="731"/>
    </row>
    <row r="362">
      <c r="C362" s="734"/>
      <c r="D362" s="731"/>
      <c r="E362" s="731"/>
      <c r="F362" s="734"/>
      <c r="G362" s="731"/>
      <c r="H362" s="731"/>
      <c r="I362" s="734"/>
      <c r="J362" s="731"/>
      <c r="K362" s="731"/>
      <c r="L362" s="734"/>
      <c r="M362" s="731"/>
      <c r="N362" s="731"/>
      <c r="O362" s="730"/>
      <c r="P362" s="731"/>
      <c r="Q362" s="731"/>
      <c r="R362" s="766"/>
      <c r="S362" s="731"/>
      <c r="T362" s="731"/>
      <c r="U362" s="734"/>
      <c r="V362" s="731"/>
      <c r="W362" s="731"/>
      <c r="X362" s="734"/>
      <c r="Y362" s="731"/>
      <c r="Z362" s="731"/>
    </row>
    <row r="363">
      <c r="C363" s="734"/>
      <c r="D363" s="731"/>
      <c r="E363" s="731"/>
      <c r="F363" s="734"/>
      <c r="G363" s="731"/>
      <c r="H363" s="731"/>
      <c r="I363" s="734"/>
      <c r="J363" s="731"/>
      <c r="K363" s="731"/>
      <c r="L363" s="734"/>
      <c r="M363" s="731"/>
      <c r="N363" s="731"/>
      <c r="O363" s="730"/>
      <c r="P363" s="731"/>
      <c r="Q363" s="731"/>
      <c r="R363" s="766"/>
      <c r="S363" s="731"/>
      <c r="T363" s="731"/>
      <c r="U363" s="734"/>
      <c r="V363" s="731"/>
      <c r="W363" s="731"/>
      <c r="X363" s="734"/>
      <c r="Y363" s="731"/>
      <c r="Z363" s="731"/>
    </row>
    <row r="364">
      <c r="C364" s="734"/>
      <c r="D364" s="731"/>
      <c r="E364" s="731"/>
      <c r="F364" s="734"/>
      <c r="G364" s="731"/>
      <c r="H364" s="731"/>
      <c r="I364" s="734"/>
      <c r="J364" s="731"/>
      <c r="K364" s="731"/>
      <c r="L364" s="734"/>
      <c r="M364" s="731"/>
      <c r="N364" s="736" t="s">
        <v>57</v>
      </c>
      <c r="O364" s="745">
        <v>3.0</v>
      </c>
      <c r="P364" s="736">
        <v>59.0</v>
      </c>
      <c r="Q364" s="731"/>
      <c r="R364" s="766"/>
      <c r="S364" s="731"/>
      <c r="T364" s="731"/>
      <c r="U364" s="734"/>
      <c r="V364" s="731"/>
      <c r="W364" s="731"/>
      <c r="X364" s="734"/>
      <c r="Y364" s="731"/>
      <c r="Z364" s="731"/>
    </row>
    <row r="365">
      <c r="C365" s="734"/>
      <c r="D365" s="731"/>
      <c r="E365" s="731"/>
      <c r="F365" s="734"/>
      <c r="G365" s="731"/>
      <c r="H365" s="731"/>
      <c r="I365" s="734"/>
      <c r="J365" s="731"/>
      <c r="K365" s="731"/>
      <c r="L365" s="734"/>
      <c r="M365" s="731"/>
      <c r="N365" s="736"/>
      <c r="O365" s="745">
        <v>4.0</v>
      </c>
      <c r="P365" s="736">
        <v>51.0</v>
      </c>
      <c r="Q365" s="731">
        <f>60*O365-60*O364-P364+P365</f>
        <v>52</v>
      </c>
      <c r="R365" s="766"/>
      <c r="S365" s="731"/>
      <c r="T365" s="731"/>
      <c r="U365" s="734"/>
      <c r="V365" s="731"/>
      <c r="W365" s="731"/>
      <c r="X365" s="734"/>
      <c r="Y365" s="731"/>
      <c r="Z365" s="731"/>
    </row>
    <row r="366">
      <c r="C366" s="734"/>
      <c r="D366" s="731"/>
      <c r="E366" s="731"/>
      <c r="F366" s="734"/>
      <c r="G366" s="731"/>
      <c r="H366" s="731"/>
      <c r="I366" s="734"/>
      <c r="J366" s="731"/>
      <c r="K366" s="731"/>
      <c r="L366" s="734"/>
      <c r="M366" s="731"/>
      <c r="N366" s="731"/>
      <c r="O366" s="745">
        <v>6.0</v>
      </c>
      <c r="P366" s="736">
        <v>55.0</v>
      </c>
      <c r="Q366" s="731"/>
      <c r="R366" s="766"/>
      <c r="S366" s="731"/>
      <c r="T366" s="731"/>
      <c r="U366" s="734"/>
      <c r="V366" s="731"/>
      <c r="W366" s="731"/>
      <c r="X366" s="734"/>
      <c r="Y366" s="731"/>
      <c r="Z366" s="731"/>
    </row>
    <row r="367">
      <c r="C367" s="734"/>
      <c r="D367" s="731"/>
      <c r="E367" s="731"/>
      <c r="F367" s="734"/>
      <c r="G367" s="731"/>
      <c r="H367" s="731"/>
      <c r="I367" s="734"/>
      <c r="J367" s="731"/>
      <c r="K367" s="731"/>
      <c r="L367" s="734"/>
      <c r="M367" s="731"/>
      <c r="N367" s="731"/>
      <c r="O367" s="745">
        <v>7.0</v>
      </c>
      <c r="P367" s="736">
        <v>47.0</v>
      </c>
      <c r="Q367" s="731">
        <f>60*O367-60*O366-P366+P367</f>
        <v>52</v>
      </c>
      <c r="R367" s="766"/>
      <c r="S367" s="731"/>
      <c r="T367" s="731"/>
      <c r="U367" s="734"/>
      <c r="V367" s="731"/>
      <c r="W367" s="731"/>
      <c r="X367" s="734"/>
      <c r="Y367" s="731"/>
      <c r="Z367" s="731"/>
    </row>
    <row r="368">
      <c r="C368" s="734"/>
      <c r="D368" s="731"/>
      <c r="E368" s="731"/>
      <c r="F368" s="734"/>
      <c r="G368" s="731"/>
      <c r="H368" s="731"/>
      <c r="I368" s="734"/>
      <c r="J368" s="731"/>
      <c r="K368" s="731"/>
      <c r="L368" s="734"/>
      <c r="M368" s="731"/>
      <c r="N368" s="736" t="s">
        <v>55</v>
      </c>
      <c r="O368" s="745">
        <v>14.0</v>
      </c>
      <c r="P368" s="736">
        <v>4.0</v>
      </c>
      <c r="Q368" s="731"/>
      <c r="R368" s="766"/>
      <c r="S368" s="731"/>
      <c r="T368" s="731"/>
      <c r="U368" s="734"/>
      <c r="V368" s="731"/>
      <c r="W368" s="731"/>
      <c r="X368" s="734"/>
      <c r="Y368" s="731"/>
      <c r="Z368" s="731"/>
    </row>
    <row r="369">
      <c r="C369" s="734"/>
      <c r="D369" s="731"/>
      <c r="E369" s="731"/>
      <c r="F369" s="734"/>
      <c r="G369" s="731"/>
      <c r="H369" s="731"/>
      <c r="I369" s="734"/>
      <c r="J369" s="731"/>
      <c r="K369" s="731"/>
      <c r="L369" s="734"/>
      <c r="M369" s="731"/>
      <c r="N369" s="731"/>
      <c r="O369" s="745">
        <v>14.0</v>
      </c>
      <c r="P369" s="736">
        <v>58.0</v>
      </c>
      <c r="Q369" s="731">
        <f>60*O369-60*O368-P368+P369</f>
        <v>54</v>
      </c>
      <c r="R369" s="766"/>
      <c r="S369" s="731"/>
      <c r="T369" s="731"/>
      <c r="U369" s="734"/>
      <c r="V369" s="731"/>
      <c r="W369" s="731"/>
      <c r="X369" s="734"/>
      <c r="Y369" s="731"/>
      <c r="Z369" s="731"/>
    </row>
    <row r="370">
      <c r="C370" s="734"/>
      <c r="D370" s="731"/>
      <c r="E370" s="731"/>
      <c r="F370" s="734"/>
      <c r="G370" s="731"/>
      <c r="H370" s="731"/>
      <c r="I370" s="734"/>
      <c r="J370" s="731"/>
      <c r="K370" s="731"/>
      <c r="L370" s="734"/>
      <c r="M370" s="731"/>
      <c r="N370" s="731"/>
      <c r="O370" s="745">
        <v>16.0</v>
      </c>
      <c r="P370" s="736">
        <v>48.0</v>
      </c>
      <c r="Q370" s="731"/>
      <c r="R370" s="766"/>
      <c r="S370" s="731"/>
      <c r="T370" s="731"/>
      <c r="U370" s="734"/>
      <c r="V370" s="731"/>
      <c r="W370" s="731"/>
      <c r="X370" s="734"/>
      <c r="Y370" s="731"/>
      <c r="Z370" s="731"/>
    </row>
    <row r="371">
      <c r="C371" s="734"/>
      <c r="D371" s="731"/>
      <c r="E371" s="731"/>
      <c r="F371" s="734"/>
      <c r="G371" s="731"/>
      <c r="H371" s="731"/>
      <c r="I371" s="734"/>
      <c r="J371" s="731"/>
      <c r="K371" s="731"/>
      <c r="L371" s="734"/>
      <c r="M371" s="731"/>
      <c r="N371" s="731"/>
      <c r="O371" s="745">
        <v>17.0</v>
      </c>
      <c r="P371" s="736">
        <v>42.0</v>
      </c>
      <c r="Q371" s="731">
        <f>60*O371-60*O370-P370+P371</f>
        <v>54</v>
      </c>
      <c r="R371" s="766"/>
      <c r="S371" s="731"/>
      <c r="T371" s="731"/>
      <c r="U371" s="734"/>
      <c r="V371" s="731"/>
      <c r="W371" s="731"/>
      <c r="X371" s="734"/>
      <c r="Y371" s="731"/>
      <c r="Z371" s="731"/>
    </row>
    <row r="372">
      <c r="C372" s="734"/>
      <c r="D372" s="731"/>
      <c r="E372" s="731"/>
      <c r="F372" s="734"/>
      <c r="G372" s="731"/>
      <c r="H372" s="731"/>
      <c r="I372" s="734"/>
      <c r="J372" s="731"/>
      <c r="K372" s="731"/>
      <c r="L372" s="734"/>
      <c r="M372" s="731"/>
      <c r="N372" s="736" t="s">
        <v>57</v>
      </c>
      <c r="O372" s="745">
        <v>5.0</v>
      </c>
      <c r="P372" s="736">
        <v>51.0</v>
      </c>
      <c r="Q372" s="731"/>
      <c r="R372" s="766"/>
      <c r="S372" s="731"/>
      <c r="T372" s="731"/>
      <c r="U372" s="734"/>
      <c r="V372" s="731"/>
      <c r="W372" s="731"/>
      <c r="X372" s="734"/>
      <c r="Y372" s="731"/>
      <c r="Z372" s="731"/>
    </row>
    <row r="373">
      <c r="C373" s="734"/>
      <c r="D373" s="731"/>
      <c r="E373" s="731"/>
      <c r="F373" s="734"/>
      <c r="G373" s="731"/>
      <c r="H373" s="731"/>
      <c r="I373" s="734"/>
      <c r="J373" s="731"/>
      <c r="K373" s="731"/>
      <c r="L373" s="734"/>
      <c r="M373" s="731"/>
      <c r="N373" s="731"/>
      <c r="O373" s="745">
        <v>6.0</v>
      </c>
      <c r="P373" s="736">
        <v>22.0</v>
      </c>
      <c r="Q373" s="731">
        <f>60*O373-60*O372-P372+P373</f>
        <v>31</v>
      </c>
      <c r="R373" s="766"/>
      <c r="S373" s="731"/>
      <c r="T373" s="731"/>
      <c r="U373" s="734"/>
      <c r="V373" s="731"/>
      <c r="W373" s="731"/>
      <c r="X373" s="734"/>
      <c r="Y373" s="731"/>
      <c r="Z373" s="731"/>
    </row>
    <row r="374">
      <c r="C374" s="734"/>
      <c r="D374" s="731"/>
      <c r="E374" s="731"/>
      <c r="F374" s="734"/>
      <c r="G374" s="731"/>
      <c r="H374" s="731"/>
      <c r="I374" s="734"/>
      <c r="J374" s="731"/>
      <c r="K374" s="731"/>
      <c r="L374" s="734"/>
      <c r="M374" s="731"/>
      <c r="N374" s="731"/>
      <c r="O374" s="745">
        <v>10.0</v>
      </c>
      <c r="P374" s="736">
        <v>6.0</v>
      </c>
      <c r="Q374" s="731"/>
      <c r="R374" s="766"/>
      <c r="S374" s="731"/>
      <c r="T374" s="731"/>
      <c r="U374" s="734"/>
      <c r="V374" s="731"/>
      <c r="W374" s="731"/>
      <c r="X374" s="734"/>
      <c r="Y374" s="731"/>
      <c r="Z374" s="731"/>
    </row>
    <row r="375">
      <c r="C375" s="734"/>
      <c r="D375" s="731"/>
      <c r="E375" s="731"/>
      <c r="F375" s="734"/>
      <c r="G375" s="731"/>
      <c r="H375" s="731"/>
      <c r="I375" s="734"/>
      <c r="J375" s="731"/>
      <c r="K375" s="731"/>
      <c r="L375" s="734"/>
      <c r="M375" s="731"/>
      <c r="N375" s="731"/>
      <c r="O375" s="745">
        <v>10.0</v>
      </c>
      <c r="P375" s="736">
        <v>37.0</v>
      </c>
      <c r="Q375" s="731">
        <f>60*O375-60*O374-P374+P375</f>
        <v>31</v>
      </c>
      <c r="R375" s="766"/>
      <c r="S375" s="731"/>
      <c r="T375" s="731"/>
      <c r="U375" s="734"/>
      <c r="V375" s="731"/>
      <c r="W375" s="731"/>
      <c r="X375" s="734"/>
      <c r="Y375" s="731"/>
      <c r="Z375" s="731"/>
    </row>
    <row r="376">
      <c r="C376" s="734"/>
      <c r="D376" s="731"/>
      <c r="E376" s="731"/>
      <c r="F376" s="734"/>
      <c r="G376" s="731"/>
      <c r="H376" s="731"/>
      <c r="I376" s="734"/>
      <c r="J376" s="731"/>
      <c r="K376" s="731"/>
      <c r="L376" s="734"/>
      <c r="M376" s="731"/>
      <c r="N376" s="736" t="s">
        <v>55</v>
      </c>
      <c r="O376" s="745">
        <v>15.0</v>
      </c>
      <c r="P376" s="736">
        <v>53.0</v>
      </c>
      <c r="Q376" s="731"/>
      <c r="R376" s="766"/>
      <c r="S376" s="731"/>
      <c r="T376" s="731"/>
      <c r="U376" s="734"/>
      <c r="V376" s="731"/>
      <c r="W376" s="731"/>
      <c r="X376" s="734"/>
      <c r="Y376" s="731"/>
      <c r="Z376" s="731"/>
    </row>
    <row r="377">
      <c r="C377" s="734"/>
      <c r="D377" s="731"/>
      <c r="E377" s="731"/>
      <c r="F377" s="734"/>
      <c r="G377" s="731"/>
      <c r="H377" s="731"/>
      <c r="I377" s="734"/>
      <c r="J377" s="731"/>
      <c r="K377" s="731"/>
      <c r="L377" s="734"/>
      <c r="M377" s="731"/>
      <c r="N377" s="731"/>
      <c r="O377" s="745">
        <v>16.0</v>
      </c>
      <c r="P377" s="736">
        <v>25.0</v>
      </c>
      <c r="Q377" s="731">
        <f>60*O377-60*O376-P376+P377</f>
        <v>32</v>
      </c>
      <c r="R377" s="766"/>
      <c r="S377" s="731"/>
      <c r="T377" s="731"/>
      <c r="U377" s="734"/>
      <c r="V377" s="731"/>
      <c r="W377" s="731"/>
      <c r="X377" s="734"/>
      <c r="Y377" s="731"/>
      <c r="Z377" s="731"/>
    </row>
    <row r="378">
      <c r="C378" s="734"/>
      <c r="D378" s="731"/>
      <c r="E378" s="731"/>
      <c r="F378" s="734"/>
      <c r="G378" s="731"/>
      <c r="H378" s="731"/>
      <c r="I378" s="734"/>
      <c r="J378" s="731"/>
      <c r="K378" s="731"/>
      <c r="L378" s="734"/>
      <c r="M378" s="731"/>
      <c r="N378" s="731"/>
      <c r="O378" s="745">
        <v>18.0</v>
      </c>
      <c r="P378" s="736">
        <v>17.0</v>
      </c>
      <c r="Q378" s="731"/>
      <c r="R378" s="766"/>
      <c r="S378" s="731"/>
      <c r="T378" s="731"/>
      <c r="U378" s="734"/>
      <c r="V378" s="731"/>
      <c r="W378" s="731"/>
      <c r="X378" s="734"/>
      <c r="Y378" s="731"/>
      <c r="Z378" s="731"/>
    </row>
    <row r="379">
      <c r="C379" s="734"/>
      <c r="D379" s="731"/>
      <c r="E379" s="731"/>
      <c r="F379" s="734"/>
      <c r="G379" s="731"/>
      <c r="H379" s="731"/>
      <c r="I379" s="734"/>
      <c r="J379" s="731"/>
      <c r="K379" s="731"/>
      <c r="L379" s="734"/>
      <c r="M379" s="731"/>
      <c r="N379" s="731"/>
      <c r="O379" s="745">
        <v>18.0</v>
      </c>
      <c r="P379" s="736">
        <v>49.0</v>
      </c>
      <c r="Q379" s="731">
        <f>60*O379-60*O378-P378+P379</f>
        <v>32</v>
      </c>
      <c r="R379" s="766"/>
      <c r="S379" s="731"/>
      <c r="T379" s="731"/>
      <c r="U379" s="734"/>
      <c r="V379" s="731"/>
      <c r="W379" s="731"/>
      <c r="X379" s="734"/>
      <c r="Y379" s="731"/>
      <c r="Z379" s="731"/>
    </row>
    <row r="380">
      <c r="C380" s="734"/>
      <c r="D380" s="731"/>
      <c r="E380" s="731"/>
      <c r="F380" s="734"/>
      <c r="G380" s="731"/>
      <c r="H380" s="731"/>
      <c r="I380" s="734"/>
      <c r="J380" s="731"/>
      <c r="K380" s="731"/>
      <c r="L380" s="734"/>
      <c r="M380" s="731"/>
      <c r="N380" s="736" t="s">
        <v>57</v>
      </c>
      <c r="O380" s="745">
        <v>2.0</v>
      </c>
      <c r="P380" s="736">
        <v>39.0</v>
      </c>
      <c r="Q380" s="731"/>
      <c r="R380" s="766"/>
      <c r="S380" s="731"/>
      <c r="T380" s="731"/>
      <c r="U380" s="734"/>
      <c r="V380" s="731"/>
      <c r="W380" s="731"/>
      <c r="X380" s="734"/>
      <c r="Y380" s="731"/>
      <c r="Z380" s="731"/>
    </row>
    <row r="381">
      <c r="C381" s="734"/>
      <c r="D381" s="731"/>
      <c r="E381" s="731"/>
      <c r="F381" s="734"/>
      <c r="G381" s="731"/>
      <c r="H381" s="731"/>
      <c r="I381" s="734"/>
      <c r="J381" s="731"/>
      <c r="K381" s="731"/>
      <c r="L381" s="734"/>
      <c r="M381" s="731"/>
      <c r="N381" s="731"/>
      <c r="O381" s="745">
        <v>2.0</v>
      </c>
      <c r="P381" s="736">
        <v>54.0</v>
      </c>
      <c r="Q381" s="731">
        <f>60*O381-60*O380-P380+P381</f>
        <v>15</v>
      </c>
      <c r="R381" s="766"/>
      <c r="S381" s="731"/>
      <c r="T381" s="731"/>
      <c r="U381" s="734"/>
      <c r="V381" s="731"/>
      <c r="W381" s="731"/>
      <c r="X381" s="734"/>
      <c r="Y381" s="731"/>
      <c r="Z381" s="731"/>
    </row>
    <row r="382">
      <c r="C382" s="734"/>
      <c r="D382" s="731"/>
      <c r="E382" s="731"/>
      <c r="F382" s="734"/>
      <c r="G382" s="731"/>
      <c r="H382" s="731"/>
      <c r="I382" s="734"/>
      <c r="J382" s="731"/>
      <c r="K382" s="731"/>
      <c r="L382" s="734"/>
      <c r="M382" s="731"/>
      <c r="N382" s="731"/>
      <c r="O382" s="745">
        <v>5.0</v>
      </c>
      <c r="P382" s="736">
        <v>20.0</v>
      </c>
      <c r="Q382" s="731"/>
      <c r="R382" s="766"/>
      <c r="S382" s="731"/>
      <c r="T382" s="731"/>
      <c r="U382" s="734"/>
      <c r="V382" s="731"/>
      <c r="W382" s="731"/>
      <c r="X382" s="734"/>
      <c r="Y382" s="731"/>
      <c r="Z382" s="731"/>
    </row>
    <row r="383">
      <c r="C383" s="734"/>
      <c r="D383" s="731"/>
      <c r="E383" s="731"/>
      <c r="F383" s="734"/>
      <c r="G383" s="731"/>
      <c r="H383" s="731"/>
      <c r="I383" s="734"/>
      <c r="J383" s="731"/>
      <c r="K383" s="731"/>
      <c r="L383" s="734"/>
      <c r="M383" s="731"/>
      <c r="N383" s="731"/>
      <c r="O383" s="745">
        <v>5.0</v>
      </c>
      <c r="P383" s="736">
        <v>35.0</v>
      </c>
      <c r="Q383" s="731">
        <f>60*O383-60*O382-P382+P383</f>
        <v>15</v>
      </c>
      <c r="R383" s="766"/>
      <c r="S383" s="731"/>
      <c r="T383" s="731"/>
      <c r="U383" s="734"/>
      <c r="V383" s="731"/>
      <c r="W383" s="731"/>
      <c r="X383" s="734"/>
      <c r="Y383" s="731"/>
      <c r="Z383" s="731"/>
    </row>
    <row r="384">
      <c r="C384" s="734"/>
      <c r="D384" s="731"/>
      <c r="E384" s="731"/>
      <c r="F384" s="734"/>
      <c r="G384" s="731"/>
      <c r="H384" s="731"/>
      <c r="I384" s="734"/>
      <c r="J384" s="731"/>
      <c r="K384" s="731"/>
      <c r="L384" s="734"/>
      <c r="M384" s="731"/>
      <c r="N384" s="736" t="s">
        <v>55</v>
      </c>
      <c r="O384" s="745">
        <v>9.0</v>
      </c>
      <c r="P384" s="736">
        <v>33.0</v>
      </c>
      <c r="Q384" s="731"/>
      <c r="R384" s="766"/>
      <c r="S384" s="731"/>
      <c r="T384" s="731"/>
      <c r="U384" s="734"/>
      <c r="V384" s="731"/>
      <c r="W384" s="731"/>
      <c r="X384" s="734"/>
      <c r="Y384" s="731"/>
      <c r="Z384" s="731"/>
    </row>
    <row r="385">
      <c r="C385" s="734"/>
      <c r="D385" s="731"/>
      <c r="E385" s="731"/>
      <c r="F385" s="734"/>
      <c r="G385" s="731"/>
      <c r="H385" s="731"/>
      <c r="I385" s="734"/>
      <c r="J385" s="731"/>
      <c r="K385" s="731"/>
      <c r="L385" s="734"/>
      <c r="M385" s="731"/>
      <c r="N385" s="731"/>
      <c r="O385" s="745">
        <v>9.0</v>
      </c>
      <c r="P385" s="736">
        <v>50.0</v>
      </c>
      <c r="Q385" s="731">
        <f>60*O385-60*O384-P384+P385</f>
        <v>17</v>
      </c>
      <c r="R385" s="766"/>
      <c r="S385" s="731"/>
      <c r="T385" s="731"/>
      <c r="U385" s="734"/>
      <c r="V385" s="731"/>
      <c r="W385" s="731"/>
      <c r="X385" s="734"/>
      <c r="Y385" s="731"/>
      <c r="Z385" s="731"/>
    </row>
    <row r="386">
      <c r="C386" s="734"/>
      <c r="D386" s="731"/>
      <c r="E386" s="731"/>
      <c r="F386" s="734"/>
      <c r="G386" s="731"/>
      <c r="H386" s="731"/>
      <c r="I386" s="734"/>
      <c r="J386" s="731"/>
      <c r="K386" s="731"/>
      <c r="L386" s="734"/>
      <c r="M386" s="731"/>
      <c r="N386" s="731"/>
      <c r="O386" s="745">
        <v>12.0</v>
      </c>
      <c r="P386" s="736">
        <v>23.0</v>
      </c>
      <c r="Q386" s="731"/>
      <c r="R386" s="766"/>
      <c r="S386" s="731"/>
      <c r="T386" s="731"/>
      <c r="U386" s="734"/>
      <c r="V386" s="731"/>
      <c r="W386" s="731"/>
      <c r="X386" s="734"/>
      <c r="Y386" s="731"/>
      <c r="Z386" s="731"/>
    </row>
    <row r="387">
      <c r="C387" s="734"/>
      <c r="D387" s="731"/>
      <c r="E387" s="731"/>
      <c r="F387" s="734"/>
      <c r="G387" s="731"/>
      <c r="H387" s="731"/>
      <c r="I387" s="734"/>
      <c r="J387" s="731"/>
      <c r="K387" s="731"/>
      <c r="L387" s="734"/>
      <c r="M387" s="731"/>
      <c r="N387" s="731"/>
      <c r="O387" s="745">
        <v>12.0</v>
      </c>
      <c r="P387" s="736">
        <v>38.0</v>
      </c>
      <c r="Q387" s="731">
        <f>60*O387-60*O386-P386+P387</f>
        <v>15</v>
      </c>
      <c r="R387" s="766"/>
      <c r="S387" s="731"/>
      <c r="T387" s="731"/>
      <c r="U387" s="734"/>
      <c r="V387" s="731"/>
      <c r="W387" s="731"/>
      <c r="X387" s="734"/>
      <c r="Y387" s="731"/>
      <c r="Z387" s="731"/>
    </row>
    <row r="388">
      <c r="C388" s="734"/>
      <c r="D388" s="731"/>
      <c r="E388" s="731"/>
      <c r="F388" s="734"/>
      <c r="G388" s="731"/>
      <c r="H388" s="731"/>
      <c r="I388" s="734"/>
      <c r="J388" s="731"/>
      <c r="K388" s="731"/>
      <c r="L388" s="737" t="s">
        <v>438</v>
      </c>
      <c r="M388" s="736" t="s">
        <v>55</v>
      </c>
      <c r="N388" s="736" t="s">
        <v>439</v>
      </c>
      <c r="O388" s="745"/>
      <c r="P388" s="736">
        <v>6.0</v>
      </c>
      <c r="Q388" s="736">
        <v>12.0</v>
      </c>
      <c r="R388" s="766">
        <f>-P388*60-Q388+P389*60+Q389</f>
        <v>261</v>
      </c>
      <c r="S388" s="731"/>
      <c r="T388" s="731"/>
      <c r="U388" s="734"/>
      <c r="V388" s="731"/>
      <c r="W388" s="731"/>
      <c r="X388" s="734"/>
      <c r="Y388" s="731"/>
      <c r="Z388" s="731"/>
    </row>
    <row r="389">
      <c r="C389" s="734"/>
      <c r="D389" s="731"/>
      <c r="E389" s="731"/>
      <c r="F389" s="734"/>
      <c r="G389" s="731"/>
      <c r="H389" s="731"/>
      <c r="I389" s="734"/>
      <c r="J389" s="731"/>
      <c r="K389" s="731"/>
      <c r="L389" s="734"/>
      <c r="M389" s="731"/>
      <c r="N389" s="731"/>
      <c r="O389" s="745"/>
      <c r="P389" s="736">
        <v>10.0</v>
      </c>
      <c r="Q389" s="736">
        <v>33.0</v>
      </c>
      <c r="R389" s="766">
        <f>R388/60</f>
        <v>4.35</v>
      </c>
      <c r="S389" s="731"/>
      <c r="T389" s="731"/>
      <c r="U389" s="734"/>
      <c r="V389" s="731"/>
      <c r="W389" s="731"/>
      <c r="X389" s="734"/>
      <c r="Y389" s="731"/>
      <c r="Z389" s="731"/>
    </row>
    <row r="390">
      <c r="C390" s="734"/>
      <c r="D390" s="731"/>
      <c r="E390" s="731"/>
      <c r="F390" s="734"/>
      <c r="G390" s="731"/>
      <c r="H390" s="731"/>
      <c r="I390" s="734"/>
      <c r="J390" s="731"/>
      <c r="K390" s="731"/>
      <c r="L390" s="734"/>
      <c r="M390" s="731"/>
      <c r="N390" s="736" t="s">
        <v>440</v>
      </c>
      <c r="O390" s="730"/>
      <c r="P390" s="736">
        <v>21.0</v>
      </c>
      <c r="Q390" s="736">
        <v>19.0</v>
      </c>
      <c r="R390" s="766">
        <f>-P390*60-Q390+P391*60+Q391</f>
        <v>261</v>
      </c>
      <c r="S390" s="731"/>
      <c r="T390" s="731"/>
      <c r="U390" s="734"/>
      <c r="V390" s="731"/>
      <c r="W390" s="731"/>
      <c r="X390" s="734"/>
      <c r="Y390" s="731"/>
      <c r="Z390" s="731"/>
    </row>
    <row r="391">
      <c r="C391" s="734"/>
      <c r="D391" s="731"/>
      <c r="E391" s="731"/>
      <c r="F391" s="734"/>
      <c r="G391" s="731"/>
      <c r="H391" s="731"/>
      <c r="I391" s="734"/>
      <c r="J391" s="731"/>
      <c r="K391" s="731"/>
      <c r="L391" s="734"/>
      <c r="M391" s="731"/>
      <c r="N391" s="731"/>
      <c r="O391" s="730"/>
      <c r="P391" s="736">
        <v>25.0</v>
      </c>
      <c r="Q391" s="736">
        <v>40.0</v>
      </c>
      <c r="R391" s="766">
        <f>R390/60</f>
        <v>4.35</v>
      </c>
      <c r="S391" s="731"/>
      <c r="T391" s="731"/>
      <c r="U391" s="734"/>
      <c r="V391" s="731"/>
      <c r="W391" s="731"/>
      <c r="X391" s="734"/>
      <c r="Y391" s="731"/>
      <c r="Z391" s="731"/>
    </row>
    <row r="392">
      <c r="C392" s="734"/>
      <c r="D392" s="731"/>
      <c r="E392" s="731"/>
      <c r="F392" s="734"/>
      <c r="G392" s="731"/>
      <c r="H392" s="731"/>
      <c r="I392" s="734"/>
      <c r="J392" s="731"/>
      <c r="K392" s="731"/>
      <c r="L392" s="734"/>
      <c r="M392" s="731"/>
      <c r="N392" s="736" t="s">
        <v>237</v>
      </c>
      <c r="O392" s="730"/>
      <c r="P392" s="736">
        <v>36.0</v>
      </c>
      <c r="Q392" s="736">
        <v>4.0</v>
      </c>
      <c r="R392" s="766">
        <f>-P392*60-Q392+P393*60+Q393</f>
        <v>244</v>
      </c>
      <c r="S392" s="731"/>
      <c r="T392" s="731"/>
      <c r="U392" s="734"/>
      <c r="V392" s="731"/>
      <c r="W392" s="731"/>
      <c r="X392" s="734"/>
      <c r="Y392" s="731"/>
      <c r="Z392" s="731"/>
    </row>
    <row r="393">
      <c r="C393" s="734"/>
      <c r="D393" s="731"/>
      <c r="E393" s="731"/>
      <c r="F393" s="734"/>
      <c r="G393" s="731"/>
      <c r="H393" s="731"/>
      <c r="I393" s="734"/>
      <c r="J393" s="731"/>
      <c r="K393" s="731"/>
      <c r="L393" s="734"/>
      <c r="M393" s="731"/>
      <c r="N393" s="731"/>
      <c r="O393" s="730"/>
      <c r="P393" s="736">
        <v>40.0</v>
      </c>
      <c r="Q393" s="736">
        <v>8.0</v>
      </c>
      <c r="R393" s="766">
        <f>R392/60</f>
        <v>4.066666667</v>
      </c>
      <c r="S393" s="731"/>
      <c r="T393" s="731"/>
      <c r="U393" s="734"/>
      <c r="V393" s="731"/>
      <c r="W393" s="731"/>
      <c r="X393" s="734"/>
      <c r="Y393" s="731"/>
      <c r="Z393" s="731"/>
    </row>
    <row r="394">
      <c r="C394" s="734"/>
      <c r="D394" s="731"/>
      <c r="E394" s="731"/>
      <c r="F394" s="734"/>
      <c r="G394" s="731"/>
      <c r="H394" s="731"/>
      <c r="I394" s="734"/>
      <c r="J394" s="731"/>
      <c r="K394" s="731"/>
      <c r="L394" s="734"/>
      <c r="M394" s="731"/>
      <c r="N394" s="736" t="s">
        <v>441</v>
      </c>
      <c r="O394" s="730"/>
      <c r="P394" s="736">
        <v>55.0</v>
      </c>
      <c r="Q394" s="736">
        <v>32.0</v>
      </c>
      <c r="R394" s="766">
        <f>-P394*60-Q394+P395*60+Q395</f>
        <v>261</v>
      </c>
      <c r="S394" s="731"/>
      <c r="T394" s="731"/>
      <c r="U394" s="734"/>
      <c r="V394" s="731"/>
      <c r="W394" s="731"/>
      <c r="X394" s="734"/>
      <c r="Y394" s="731"/>
      <c r="Z394" s="731"/>
    </row>
    <row r="395">
      <c r="C395" s="734"/>
      <c r="D395" s="731"/>
      <c r="E395" s="731"/>
      <c r="F395" s="734"/>
      <c r="G395" s="731"/>
      <c r="H395" s="731"/>
      <c r="I395" s="734"/>
      <c r="J395" s="731"/>
      <c r="K395" s="731"/>
      <c r="L395" s="734"/>
      <c r="M395" s="731"/>
      <c r="N395" s="731"/>
      <c r="O395" s="730"/>
      <c r="P395" s="736">
        <v>59.0</v>
      </c>
      <c r="Q395" s="736">
        <v>53.0</v>
      </c>
      <c r="R395" s="766">
        <f>R394/60</f>
        <v>4.35</v>
      </c>
      <c r="S395" s="731"/>
      <c r="T395" s="731"/>
      <c r="U395" s="734"/>
      <c r="V395" s="731"/>
      <c r="W395" s="731"/>
      <c r="X395" s="734"/>
      <c r="Y395" s="731"/>
      <c r="Z395" s="731"/>
    </row>
    <row r="396">
      <c r="C396" s="734"/>
      <c r="D396" s="731"/>
      <c r="E396" s="731"/>
      <c r="F396" s="734"/>
      <c r="G396" s="731"/>
      <c r="H396" s="731"/>
      <c r="I396" s="734"/>
      <c r="J396" s="731"/>
      <c r="K396" s="731"/>
      <c r="L396" s="734"/>
      <c r="M396" s="731"/>
      <c r="N396" s="736" t="s">
        <v>442</v>
      </c>
      <c r="O396" s="730"/>
      <c r="P396" s="736">
        <v>28.0</v>
      </c>
      <c r="Q396" s="736">
        <v>20.0</v>
      </c>
      <c r="R396" s="766">
        <f>-P396*60-Q396+P397*60+Q397</f>
        <v>261</v>
      </c>
      <c r="S396" s="731"/>
      <c r="T396" s="731"/>
      <c r="U396" s="734"/>
      <c r="V396" s="731"/>
      <c r="W396" s="731"/>
      <c r="X396" s="734"/>
      <c r="Y396" s="731"/>
      <c r="Z396" s="731"/>
    </row>
    <row r="397">
      <c r="C397" s="734"/>
      <c r="D397" s="731"/>
      <c r="E397" s="731"/>
      <c r="F397" s="734"/>
      <c r="G397" s="731"/>
      <c r="H397" s="731"/>
      <c r="I397" s="734"/>
      <c r="J397" s="731"/>
      <c r="K397" s="731"/>
      <c r="L397" s="734"/>
      <c r="M397" s="731"/>
      <c r="N397" s="731"/>
      <c r="O397" s="730"/>
      <c r="P397" s="736">
        <v>32.0</v>
      </c>
      <c r="Q397" s="736">
        <v>41.0</v>
      </c>
      <c r="R397" s="766">
        <f>R396/60</f>
        <v>4.35</v>
      </c>
      <c r="S397" s="731"/>
      <c r="T397" s="731"/>
      <c r="U397" s="734"/>
      <c r="V397" s="731"/>
      <c r="W397" s="731"/>
      <c r="X397" s="734"/>
      <c r="Y397" s="731"/>
      <c r="Z397" s="731"/>
    </row>
    <row r="398">
      <c r="C398" s="734"/>
      <c r="D398" s="731"/>
      <c r="E398" s="731"/>
      <c r="F398" s="734"/>
      <c r="G398" s="731"/>
      <c r="H398" s="731"/>
      <c r="I398" s="734"/>
      <c r="J398" s="731"/>
      <c r="K398" s="731"/>
      <c r="L398" s="734"/>
      <c r="M398" s="731"/>
      <c r="N398" s="736" t="s">
        <v>443</v>
      </c>
      <c r="O398" s="730"/>
      <c r="P398" s="736">
        <v>49.0</v>
      </c>
      <c r="Q398" s="736">
        <v>55.0</v>
      </c>
      <c r="R398" s="766">
        <f>-P398*60-Q398+P399*60+Q399</f>
        <v>300</v>
      </c>
      <c r="S398" s="731"/>
      <c r="T398" s="731"/>
      <c r="U398" s="734"/>
      <c r="V398" s="731"/>
      <c r="W398" s="731"/>
      <c r="X398" s="734"/>
      <c r="Y398" s="731"/>
      <c r="Z398" s="731"/>
    </row>
    <row r="399">
      <c r="C399" s="734"/>
      <c r="D399" s="731"/>
      <c r="E399" s="731"/>
      <c r="F399" s="734"/>
      <c r="G399" s="731"/>
      <c r="H399" s="731"/>
      <c r="I399" s="734"/>
      <c r="J399" s="731"/>
      <c r="K399" s="731"/>
      <c r="L399" s="734"/>
      <c r="M399" s="731"/>
      <c r="N399" s="731"/>
      <c r="O399" s="730"/>
      <c r="P399" s="736">
        <v>54.0</v>
      </c>
      <c r="Q399" s="736">
        <v>55.0</v>
      </c>
      <c r="R399" s="766">
        <f>R398/60</f>
        <v>5</v>
      </c>
      <c r="S399" s="731"/>
      <c r="T399" s="731"/>
      <c r="U399" s="734"/>
      <c r="V399" s="731"/>
      <c r="W399" s="731"/>
      <c r="X399" s="734"/>
      <c r="Y399" s="731"/>
      <c r="Z399" s="731"/>
    </row>
    <row r="400">
      <c r="C400" s="734"/>
      <c r="D400" s="731"/>
      <c r="E400" s="731"/>
      <c r="F400" s="734"/>
      <c r="G400" s="731"/>
      <c r="H400" s="731"/>
      <c r="I400" s="734"/>
      <c r="J400" s="731"/>
      <c r="K400" s="731"/>
      <c r="L400" s="737" t="s">
        <v>165</v>
      </c>
      <c r="M400" s="731"/>
      <c r="N400" s="731"/>
      <c r="O400" s="730"/>
      <c r="P400" s="736">
        <v>1.0</v>
      </c>
      <c r="Q400" s="736">
        <v>19.0</v>
      </c>
      <c r="R400" s="766">
        <f>-P400*60-Q400+P401*60+Q401</f>
        <v>177</v>
      </c>
      <c r="S400" s="731"/>
      <c r="T400" s="731"/>
      <c r="U400" s="734"/>
      <c r="V400" s="731"/>
      <c r="W400" s="731"/>
      <c r="X400" s="734"/>
      <c r="Y400" s="731"/>
      <c r="Z400" s="731"/>
    </row>
    <row r="401">
      <c r="C401" s="734"/>
      <c r="D401" s="731"/>
      <c r="E401" s="731"/>
      <c r="F401" s="734"/>
      <c r="G401" s="731"/>
      <c r="H401" s="731"/>
      <c r="I401" s="734"/>
      <c r="J401" s="731"/>
      <c r="K401" s="731"/>
      <c r="L401" s="734"/>
      <c r="M401" s="731"/>
      <c r="N401" s="731"/>
      <c r="O401" s="730"/>
      <c r="P401" s="736">
        <v>4.0</v>
      </c>
      <c r="Q401" s="736">
        <v>16.0</v>
      </c>
      <c r="R401" s="766">
        <f>R400/60</f>
        <v>2.95</v>
      </c>
      <c r="S401" s="731"/>
      <c r="T401" s="731"/>
      <c r="U401" s="734"/>
      <c r="V401" s="731"/>
      <c r="W401" s="731"/>
      <c r="X401" s="734"/>
      <c r="Y401" s="731"/>
      <c r="Z401" s="731"/>
    </row>
    <row r="402">
      <c r="C402" s="734"/>
      <c r="D402" s="731"/>
      <c r="E402" s="731"/>
      <c r="F402" s="734"/>
      <c r="G402" s="731"/>
      <c r="H402" s="731"/>
      <c r="I402" s="734"/>
      <c r="J402" s="731"/>
      <c r="K402" s="731"/>
      <c r="L402" s="734"/>
      <c r="M402" s="731"/>
      <c r="N402" s="731"/>
      <c r="O402" s="730"/>
      <c r="P402" s="736">
        <v>18.0</v>
      </c>
      <c r="Q402" s="736">
        <v>23.0</v>
      </c>
      <c r="R402" s="766">
        <f>-P402*60-Q402+P403*60+Q403</f>
        <v>204</v>
      </c>
      <c r="S402" s="731"/>
      <c r="T402" s="731"/>
      <c r="U402" s="734"/>
      <c r="V402" s="731"/>
      <c r="W402" s="731"/>
      <c r="X402" s="734"/>
      <c r="Y402" s="731"/>
      <c r="Z402" s="731"/>
    </row>
    <row r="403">
      <c r="C403" s="734"/>
      <c r="D403" s="731"/>
      <c r="E403" s="731"/>
      <c r="F403" s="734"/>
      <c r="G403" s="731"/>
      <c r="H403" s="731"/>
      <c r="I403" s="734"/>
      <c r="J403" s="731"/>
      <c r="K403" s="731"/>
      <c r="L403" s="734"/>
      <c r="M403" s="731"/>
      <c r="N403" s="731"/>
      <c r="O403" s="730"/>
      <c r="P403" s="736">
        <v>21.0</v>
      </c>
      <c r="Q403" s="736">
        <v>47.0</v>
      </c>
      <c r="R403" s="766">
        <f>R402/60</f>
        <v>3.4</v>
      </c>
      <c r="S403" s="731"/>
      <c r="T403" s="731"/>
      <c r="U403" s="734"/>
      <c r="V403" s="731"/>
      <c r="W403" s="731"/>
      <c r="X403" s="734"/>
      <c r="Y403" s="731"/>
      <c r="Z403" s="731"/>
    </row>
    <row r="404">
      <c r="C404" s="734"/>
      <c r="D404" s="731"/>
      <c r="E404" s="731"/>
      <c r="F404" s="734"/>
      <c r="G404" s="731"/>
      <c r="H404" s="731"/>
      <c r="I404" s="734"/>
      <c r="J404" s="731"/>
      <c r="K404" s="731"/>
      <c r="L404" s="734"/>
      <c r="M404" s="731"/>
      <c r="N404" s="731"/>
      <c r="O404" s="730"/>
      <c r="P404" s="736">
        <v>48.0</v>
      </c>
      <c r="Q404" s="736">
        <v>49.0</v>
      </c>
      <c r="R404" s="766">
        <f>-P404*60-Q404+P405*60+Q405</f>
        <v>177</v>
      </c>
      <c r="S404" s="731"/>
      <c r="T404" s="731"/>
      <c r="U404" s="734"/>
      <c r="V404" s="731"/>
      <c r="W404" s="731"/>
      <c r="X404" s="734"/>
      <c r="Y404" s="731"/>
      <c r="Z404" s="731"/>
    </row>
    <row r="405">
      <c r="C405" s="734"/>
      <c r="D405" s="731"/>
      <c r="E405" s="731"/>
      <c r="F405" s="734"/>
      <c r="G405" s="731"/>
      <c r="H405" s="731"/>
      <c r="I405" s="734"/>
      <c r="J405" s="731"/>
      <c r="K405" s="731"/>
      <c r="L405" s="734"/>
      <c r="M405" s="731"/>
      <c r="N405" s="731"/>
      <c r="O405" s="730"/>
      <c r="P405" s="736">
        <v>51.0</v>
      </c>
      <c r="Q405" s="736">
        <v>46.0</v>
      </c>
      <c r="R405" s="766">
        <f>R404/60</f>
        <v>2.95</v>
      </c>
      <c r="S405" s="731"/>
      <c r="T405" s="731"/>
      <c r="U405" s="734"/>
      <c r="V405" s="731"/>
      <c r="W405" s="731"/>
      <c r="X405" s="734"/>
      <c r="Y405" s="731"/>
      <c r="Z405" s="731"/>
    </row>
    <row r="406">
      <c r="C406" s="734"/>
      <c r="D406" s="731"/>
      <c r="E406" s="731"/>
      <c r="F406" s="734"/>
      <c r="G406" s="731"/>
      <c r="H406" s="731"/>
      <c r="I406" s="734"/>
      <c r="J406" s="731"/>
      <c r="K406" s="731"/>
      <c r="L406" s="734"/>
      <c r="M406" s="731"/>
      <c r="N406" s="731"/>
      <c r="O406" s="730"/>
      <c r="P406" s="736">
        <v>37.0</v>
      </c>
      <c r="Q406" s="736">
        <v>35.0</v>
      </c>
      <c r="R406" s="766">
        <f>-P406*60-Q406+P407*60+Q407</f>
        <v>177</v>
      </c>
      <c r="S406" s="731"/>
      <c r="T406" s="731"/>
      <c r="U406" s="734"/>
      <c r="V406" s="731"/>
      <c r="W406" s="731"/>
      <c r="X406" s="734"/>
      <c r="Y406" s="731"/>
      <c r="Z406" s="731"/>
    </row>
    <row r="407">
      <c r="C407" s="734"/>
      <c r="D407" s="731"/>
      <c r="E407" s="731"/>
      <c r="F407" s="734"/>
      <c r="G407" s="731"/>
      <c r="H407" s="731"/>
      <c r="I407" s="734"/>
      <c r="J407" s="731"/>
      <c r="K407" s="731"/>
      <c r="L407" s="734"/>
      <c r="M407" s="731"/>
      <c r="N407" s="731"/>
      <c r="O407" s="730"/>
      <c r="P407" s="736">
        <v>40.0</v>
      </c>
      <c r="Q407" s="736">
        <v>32.0</v>
      </c>
      <c r="R407" s="766">
        <f>R406/60</f>
        <v>2.95</v>
      </c>
      <c r="S407" s="731"/>
      <c r="T407" s="731"/>
      <c r="U407" s="734"/>
      <c r="V407" s="731"/>
      <c r="W407" s="731"/>
      <c r="X407" s="734"/>
      <c r="Y407" s="731"/>
      <c r="Z407" s="731"/>
    </row>
    <row r="408">
      <c r="C408" s="734"/>
      <c r="D408" s="731"/>
      <c r="E408" s="731"/>
      <c r="F408" s="734"/>
      <c r="G408" s="731"/>
      <c r="H408" s="731"/>
      <c r="I408" s="734"/>
      <c r="J408" s="731"/>
      <c r="K408" s="731"/>
      <c r="L408" s="734"/>
      <c r="M408" s="731"/>
      <c r="N408" s="731"/>
      <c r="O408" s="730"/>
      <c r="P408" s="736">
        <v>16.0</v>
      </c>
      <c r="Q408" s="736">
        <v>58.0</v>
      </c>
      <c r="R408" s="766">
        <f>-P408*60-Q408+P409*60+Q409</f>
        <v>177</v>
      </c>
      <c r="S408" s="731"/>
      <c r="T408" s="731"/>
      <c r="U408" s="734"/>
      <c r="V408" s="731"/>
      <c r="W408" s="731"/>
      <c r="X408" s="734"/>
      <c r="Y408" s="731"/>
      <c r="Z408" s="731"/>
    </row>
    <row r="409">
      <c r="C409" s="734"/>
      <c r="D409" s="731"/>
      <c r="E409" s="731"/>
      <c r="F409" s="734"/>
      <c r="G409" s="731"/>
      <c r="H409" s="731"/>
      <c r="I409" s="734"/>
      <c r="J409" s="731"/>
      <c r="K409" s="731"/>
      <c r="L409" s="734"/>
      <c r="M409" s="731"/>
      <c r="N409" s="731"/>
      <c r="O409" s="730"/>
      <c r="P409" s="736">
        <v>19.0</v>
      </c>
      <c r="Q409" s="736">
        <v>55.0</v>
      </c>
      <c r="R409" s="766">
        <f>R408/60</f>
        <v>2.95</v>
      </c>
      <c r="S409" s="731"/>
      <c r="T409" s="731"/>
      <c r="U409" s="734"/>
      <c r="V409" s="731"/>
      <c r="W409" s="731"/>
      <c r="X409" s="734"/>
      <c r="Y409" s="731"/>
      <c r="Z409" s="731"/>
    </row>
    <row r="410">
      <c r="C410" s="734"/>
      <c r="D410" s="731"/>
      <c r="E410" s="731"/>
      <c r="F410" s="734"/>
      <c r="G410" s="731"/>
      <c r="H410" s="731"/>
      <c r="I410" s="734"/>
      <c r="J410" s="731"/>
      <c r="K410" s="731"/>
      <c r="L410" s="734"/>
      <c r="M410" s="731"/>
      <c r="N410" s="731"/>
      <c r="O410" s="730"/>
      <c r="P410" s="736">
        <v>33.0</v>
      </c>
      <c r="Q410" s="736">
        <v>13.0</v>
      </c>
      <c r="R410" s="766">
        <f>-P410*60-Q410+P411*60+Q411</f>
        <v>177</v>
      </c>
      <c r="S410" s="731"/>
      <c r="T410" s="731"/>
      <c r="U410" s="734"/>
      <c r="V410" s="731"/>
      <c r="W410" s="731"/>
      <c r="X410" s="734"/>
      <c r="Y410" s="731"/>
      <c r="Z410" s="731"/>
    </row>
    <row r="411">
      <c r="C411" s="734"/>
      <c r="D411" s="731"/>
      <c r="E411" s="731"/>
      <c r="F411" s="734"/>
      <c r="G411" s="731"/>
      <c r="H411" s="731"/>
      <c r="I411" s="734"/>
      <c r="J411" s="731"/>
      <c r="K411" s="731"/>
      <c r="L411" s="734"/>
      <c r="M411" s="731"/>
      <c r="N411" s="731"/>
      <c r="O411" s="730"/>
      <c r="P411" s="736">
        <v>36.0</v>
      </c>
      <c r="Q411" s="736">
        <v>10.0</v>
      </c>
      <c r="R411" s="766">
        <f>R410/60</f>
        <v>2.95</v>
      </c>
      <c r="S411" s="731"/>
      <c r="T411" s="731"/>
      <c r="U411" s="734"/>
      <c r="V411" s="731"/>
      <c r="W411" s="731"/>
      <c r="X411" s="734"/>
      <c r="Y411" s="731"/>
      <c r="Z411" s="731"/>
    </row>
    <row r="412">
      <c r="C412" s="734"/>
      <c r="D412" s="731"/>
      <c r="E412" s="731"/>
      <c r="F412" s="734"/>
      <c r="G412" s="731"/>
      <c r="H412" s="731"/>
      <c r="I412" s="734"/>
      <c r="J412" s="731"/>
      <c r="K412" s="731"/>
      <c r="L412" s="734"/>
      <c r="M412" s="731"/>
      <c r="N412" s="731"/>
      <c r="O412" s="730"/>
      <c r="P412" s="736">
        <v>3.0</v>
      </c>
      <c r="Q412" s="736">
        <v>1.0</v>
      </c>
      <c r="R412" s="766">
        <f>-P412*60-Q412+P413*60+Q413</f>
        <v>204</v>
      </c>
      <c r="S412" s="731"/>
      <c r="T412" s="731"/>
      <c r="U412" s="734"/>
      <c r="V412" s="731"/>
      <c r="W412" s="731"/>
      <c r="X412" s="734"/>
      <c r="Y412" s="731"/>
      <c r="Z412" s="731"/>
    </row>
    <row r="413">
      <c r="C413" s="734"/>
      <c r="D413" s="731"/>
      <c r="E413" s="731"/>
      <c r="F413" s="734"/>
      <c r="G413" s="731"/>
      <c r="H413" s="731"/>
      <c r="I413" s="734"/>
      <c r="J413" s="731"/>
      <c r="K413" s="731"/>
      <c r="L413" s="734"/>
      <c r="M413" s="731"/>
      <c r="N413" s="731"/>
      <c r="O413" s="730"/>
      <c r="P413" s="736">
        <v>6.0</v>
      </c>
      <c r="Q413" s="736">
        <v>25.0</v>
      </c>
      <c r="R413" s="766">
        <f>R412/60</f>
        <v>3.4</v>
      </c>
      <c r="S413" s="731"/>
      <c r="T413" s="731"/>
      <c r="U413" s="734"/>
      <c r="V413" s="731"/>
      <c r="W413" s="731"/>
      <c r="X413" s="734"/>
      <c r="Y413" s="731"/>
      <c r="Z413" s="731"/>
    </row>
    <row r="414">
      <c r="C414" s="734"/>
      <c r="D414" s="731"/>
      <c r="E414" s="731"/>
      <c r="F414" s="734"/>
      <c r="G414" s="731"/>
      <c r="H414" s="731"/>
      <c r="I414" s="734"/>
      <c r="J414" s="731"/>
      <c r="K414" s="731"/>
      <c r="L414" s="734"/>
      <c r="M414" s="731"/>
      <c r="N414" s="731"/>
      <c r="O414" s="730"/>
      <c r="P414" s="736">
        <v>23.0</v>
      </c>
      <c r="Q414" s="736">
        <v>42.0</v>
      </c>
      <c r="R414" s="766">
        <f>-P414*60-Q414+P415*60+Q415</f>
        <v>203</v>
      </c>
      <c r="S414" s="731"/>
      <c r="T414" s="731"/>
      <c r="U414" s="734"/>
      <c r="V414" s="731"/>
      <c r="W414" s="731"/>
      <c r="X414" s="734"/>
      <c r="Y414" s="731"/>
      <c r="Z414" s="731"/>
    </row>
    <row r="415">
      <c r="C415" s="734"/>
      <c r="D415" s="731"/>
      <c r="E415" s="731"/>
      <c r="F415" s="734"/>
      <c r="G415" s="731"/>
      <c r="H415" s="731"/>
      <c r="I415" s="734"/>
      <c r="J415" s="731"/>
      <c r="K415" s="731"/>
      <c r="L415" s="734"/>
      <c r="M415" s="731"/>
      <c r="N415" s="731"/>
      <c r="O415" s="730"/>
      <c r="P415" s="736">
        <v>27.0</v>
      </c>
      <c r="Q415" s="736">
        <v>5.0</v>
      </c>
      <c r="R415" s="766">
        <f>R414/60</f>
        <v>3.383333333</v>
      </c>
      <c r="S415" s="731"/>
      <c r="T415" s="731"/>
      <c r="U415" s="734"/>
      <c r="V415" s="731"/>
      <c r="W415" s="731"/>
      <c r="X415" s="734"/>
      <c r="Y415" s="731"/>
      <c r="Z415" s="731"/>
    </row>
    <row r="416">
      <c r="C416" s="734"/>
      <c r="D416" s="731"/>
      <c r="E416" s="731"/>
      <c r="F416" s="734"/>
      <c r="G416" s="731"/>
      <c r="H416" s="731"/>
      <c r="I416" s="734"/>
      <c r="J416" s="731"/>
      <c r="K416" s="731"/>
      <c r="L416" s="734"/>
      <c r="M416" s="736" t="s">
        <v>432</v>
      </c>
      <c r="N416" s="736">
        <v>10.0</v>
      </c>
      <c r="O416" s="730"/>
      <c r="P416" s="736">
        <v>4.0</v>
      </c>
      <c r="Q416" s="736">
        <v>15.0</v>
      </c>
      <c r="R416" s="766">
        <f>-P416*60-Q416+P417*60+Q417</f>
        <v>260</v>
      </c>
      <c r="S416" s="731"/>
      <c r="T416" s="731"/>
      <c r="U416" s="734"/>
      <c r="V416" s="731"/>
      <c r="W416" s="731"/>
      <c r="X416" s="734"/>
      <c r="Y416" s="731"/>
      <c r="Z416" s="731"/>
    </row>
    <row r="417">
      <c r="C417" s="734"/>
      <c r="D417" s="731"/>
      <c r="E417" s="731"/>
      <c r="F417" s="734"/>
      <c r="G417" s="731"/>
      <c r="H417" s="731"/>
      <c r="I417" s="734"/>
      <c r="J417" s="731"/>
      <c r="K417" s="731"/>
      <c r="L417" s="734"/>
      <c r="M417" s="731"/>
      <c r="N417" s="731"/>
      <c r="O417" s="730"/>
      <c r="P417" s="736">
        <v>8.0</v>
      </c>
      <c r="Q417" s="736">
        <v>35.0</v>
      </c>
      <c r="R417" s="766">
        <f>R416/60</f>
        <v>4.333333333</v>
      </c>
      <c r="S417" s="731"/>
      <c r="T417" s="731"/>
      <c r="U417" s="734"/>
      <c r="V417" s="731"/>
      <c r="W417" s="731"/>
      <c r="X417" s="734"/>
      <c r="Y417" s="731"/>
      <c r="Z417" s="731"/>
    </row>
    <row r="418">
      <c r="C418" s="734"/>
      <c r="D418" s="731"/>
      <c r="E418" s="731"/>
      <c r="F418" s="734"/>
      <c r="G418" s="731"/>
      <c r="H418" s="731"/>
      <c r="I418" s="734"/>
      <c r="J418" s="731"/>
      <c r="K418" s="731"/>
      <c r="L418" s="734"/>
      <c r="M418" s="736"/>
      <c r="N418" s="736">
        <v>20.0</v>
      </c>
      <c r="O418" s="730"/>
      <c r="P418" s="736">
        <v>36.0</v>
      </c>
      <c r="Q418" s="736">
        <v>46.0</v>
      </c>
      <c r="R418" s="766">
        <f>-P418*60-Q418+P419*60+Q419</f>
        <v>300</v>
      </c>
      <c r="S418" s="731"/>
      <c r="T418" s="731"/>
      <c r="U418" s="734"/>
      <c r="V418" s="731"/>
      <c r="W418" s="731"/>
      <c r="X418" s="734"/>
      <c r="Y418" s="731"/>
      <c r="Z418" s="731"/>
    </row>
    <row r="419">
      <c r="C419" s="734"/>
      <c r="D419" s="731"/>
      <c r="E419" s="731"/>
      <c r="F419" s="734"/>
      <c r="G419" s="731"/>
      <c r="H419" s="731"/>
      <c r="I419" s="734"/>
      <c r="J419" s="731"/>
      <c r="K419" s="731"/>
      <c r="L419" s="734"/>
      <c r="M419" s="731"/>
      <c r="N419" s="731"/>
      <c r="O419" s="730"/>
      <c r="P419" s="736">
        <v>41.0</v>
      </c>
      <c r="Q419" s="736">
        <v>46.0</v>
      </c>
      <c r="R419" s="766">
        <f>R418/60</f>
        <v>5</v>
      </c>
      <c r="S419" s="731"/>
      <c r="T419" s="731"/>
      <c r="U419" s="734"/>
      <c r="V419" s="731"/>
      <c r="W419" s="731"/>
      <c r="X419" s="734"/>
      <c r="Y419" s="731"/>
      <c r="Z419" s="731"/>
    </row>
    <row r="420">
      <c r="C420" s="734"/>
      <c r="D420" s="731"/>
      <c r="E420" s="731"/>
      <c r="F420" s="734"/>
      <c r="G420" s="731"/>
      <c r="H420" s="731"/>
      <c r="I420" s="734"/>
      <c r="J420" s="731"/>
      <c r="K420" s="731"/>
      <c r="L420" s="734"/>
      <c r="M420" s="736" t="s">
        <v>444</v>
      </c>
      <c r="N420" s="736">
        <v>10.0</v>
      </c>
      <c r="O420" s="730"/>
      <c r="P420" s="736">
        <v>13.0</v>
      </c>
      <c r="Q420" s="736">
        <v>13.0</v>
      </c>
      <c r="R420" s="766">
        <f>-P420*60-Q420+P421*60+Q421</f>
        <v>240</v>
      </c>
      <c r="S420" s="731"/>
      <c r="T420" s="731"/>
      <c r="U420" s="734"/>
      <c r="V420" s="731"/>
      <c r="W420" s="731"/>
      <c r="X420" s="734"/>
      <c r="Y420" s="731"/>
      <c r="Z420" s="731"/>
    </row>
    <row r="421">
      <c r="C421" s="734"/>
      <c r="D421" s="731"/>
      <c r="E421" s="731"/>
      <c r="F421" s="734"/>
      <c r="G421" s="731"/>
      <c r="H421" s="731"/>
      <c r="I421" s="734"/>
      <c r="J421" s="731"/>
      <c r="K421" s="731"/>
      <c r="L421" s="734"/>
      <c r="M421" s="731"/>
      <c r="N421" s="731"/>
      <c r="O421" s="730"/>
      <c r="P421" s="736">
        <v>17.0</v>
      </c>
      <c r="Q421" s="736">
        <v>13.0</v>
      </c>
      <c r="R421" s="766">
        <f>R420/60</f>
        <v>4</v>
      </c>
      <c r="S421" s="731"/>
      <c r="T421" s="731"/>
      <c r="U421" s="734"/>
      <c r="V421" s="731"/>
      <c r="W421" s="731"/>
      <c r="X421" s="734"/>
      <c r="Y421" s="731"/>
      <c r="Z421" s="731"/>
    </row>
    <row r="422">
      <c r="C422" s="734"/>
      <c r="D422" s="731"/>
      <c r="E422" s="731"/>
      <c r="F422" s="734"/>
      <c r="G422" s="731"/>
      <c r="H422" s="731"/>
      <c r="I422" s="734"/>
      <c r="J422" s="731"/>
      <c r="K422" s="731"/>
      <c r="L422" s="734"/>
      <c r="M422" s="731"/>
      <c r="N422" s="736">
        <v>20.0</v>
      </c>
      <c r="O422" s="730"/>
      <c r="P422" s="736">
        <v>46.0</v>
      </c>
      <c r="Q422" s="736">
        <v>36.0</v>
      </c>
      <c r="R422" s="766">
        <f>-P422*60-Q422+P423*60+Q423</f>
        <v>277</v>
      </c>
      <c r="S422" s="731"/>
      <c r="T422" s="731"/>
      <c r="U422" s="734"/>
      <c r="V422" s="731"/>
      <c r="W422" s="731"/>
      <c r="X422" s="734"/>
      <c r="Y422" s="731"/>
      <c r="Z422" s="731"/>
    </row>
    <row r="423">
      <c r="C423" s="734"/>
      <c r="D423" s="731"/>
      <c r="E423" s="731"/>
      <c r="F423" s="734"/>
      <c r="G423" s="731"/>
      <c r="H423" s="731"/>
      <c r="I423" s="734"/>
      <c r="J423" s="731"/>
      <c r="K423" s="731"/>
      <c r="L423" s="734"/>
      <c r="M423" s="731"/>
      <c r="N423" s="731"/>
      <c r="O423" s="730"/>
      <c r="P423" s="736">
        <v>51.0</v>
      </c>
      <c r="Q423" s="736">
        <v>13.0</v>
      </c>
      <c r="R423" s="766">
        <f>R422/60</f>
        <v>4.616666667</v>
      </c>
      <c r="S423" s="731"/>
      <c r="T423" s="731"/>
      <c r="U423" s="734"/>
      <c r="V423" s="731"/>
      <c r="W423" s="731"/>
      <c r="X423" s="734"/>
      <c r="Y423" s="731"/>
      <c r="Z423" s="731"/>
    </row>
    <row r="424">
      <c r="C424" s="734"/>
      <c r="D424" s="731"/>
      <c r="E424" s="731"/>
      <c r="F424" s="734"/>
      <c r="G424" s="731"/>
      <c r="H424" s="731"/>
      <c r="I424" s="734"/>
      <c r="J424" s="731"/>
      <c r="K424" s="731"/>
      <c r="L424" s="734"/>
      <c r="M424" s="736" t="s">
        <v>60</v>
      </c>
      <c r="N424" s="736">
        <v>10.0</v>
      </c>
      <c r="O424" s="730"/>
      <c r="P424" s="736">
        <v>4.0</v>
      </c>
      <c r="Q424" s="736">
        <v>48.0</v>
      </c>
      <c r="R424" s="766">
        <f>-P424*60-Q424+P425*60+Q425</f>
        <v>118</v>
      </c>
      <c r="S424" s="731"/>
      <c r="T424" s="731"/>
      <c r="U424" s="734"/>
      <c r="V424" s="731"/>
      <c r="W424" s="731"/>
      <c r="X424" s="734"/>
      <c r="Y424" s="731"/>
      <c r="Z424" s="731"/>
    </row>
    <row r="425">
      <c r="C425" s="734"/>
      <c r="D425" s="731"/>
      <c r="E425" s="731"/>
      <c r="F425" s="734"/>
      <c r="G425" s="731"/>
      <c r="H425" s="731"/>
      <c r="I425" s="734"/>
      <c r="J425" s="731"/>
      <c r="K425" s="731"/>
      <c r="L425" s="734"/>
      <c r="M425" s="731"/>
      <c r="N425" s="731"/>
      <c r="O425" s="730"/>
      <c r="P425" s="736">
        <v>6.0</v>
      </c>
      <c r="Q425" s="736">
        <v>46.0</v>
      </c>
      <c r="R425" s="766">
        <f>R424/60</f>
        <v>1.966666667</v>
      </c>
      <c r="S425" s="731"/>
      <c r="T425" s="731"/>
      <c r="U425" s="734"/>
      <c r="V425" s="731"/>
      <c r="W425" s="731"/>
      <c r="X425" s="734"/>
      <c r="Y425" s="731"/>
      <c r="Z425" s="731"/>
    </row>
    <row r="426">
      <c r="C426" s="734"/>
      <c r="D426" s="731"/>
      <c r="E426" s="731"/>
      <c r="F426" s="734"/>
      <c r="G426" s="731"/>
      <c r="H426" s="731"/>
      <c r="I426" s="734"/>
      <c r="J426" s="731"/>
      <c r="K426" s="731"/>
      <c r="L426" s="734"/>
      <c r="M426" s="731"/>
      <c r="N426" s="736">
        <v>20.0</v>
      </c>
      <c r="O426" s="730"/>
      <c r="P426" s="736">
        <v>26.0</v>
      </c>
      <c r="Q426" s="736">
        <v>46.0</v>
      </c>
      <c r="R426" s="766">
        <f>-P426*60-Q426+P427*60+Q427</f>
        <v>136</v>
      </c>
      <c r="S426" s="731"/>
      <c r="T426" s="731"/>
      <c r="U426" s="734"/>
      <c r="V426" s="731"/>
      <c r="W426" s="731"/>
      <c r="X426" s="734"/>
      <c r="Y426" s="731"/>
      <c r="Z426" s="731"/>
    </row>
    <row r="427">
      <c r="C427" s="734"/>
      <c r="D427" s="731"/>
      <c r="E427" s="731"/>
      <c r="F427" s="734"/>
      <c r="G427" s="731"/>
      <c r="H427" s="731"/>
      <c r="I427" s="734"/>
      <c r="J427" s="731"/>
      <c r="K427" s="731"/>
      <c r="L427" s="734"/>
      <c r="M427" s="731"/>
      <c r="N427" s="731"/>
      <c r="O427" s="730"/>
      <c r="P427" s="736">
        <v>29.0</v>
      </c>
      <c r="Q427" s="736">
        <v>2.0</v>
      </c>
      <c r="R427" s="766">
        <f>R426/60</f>
        <v>2.266666667</v>
      </c>
      <c r="S427" s="731"/>
      <c r="T427" s="731"/>
      <c r="U427" s="734"/>
      <c r="V427" s="731"/>
      <c r="W427" s="731"/>
      <c r="X427" s="734"/>
      <c r="Y427" s="731"/>
      <c r="Z427" s="731"/>
    </row>
    <row r="428">
      <c r="C428" s="734"/>
      <c r="D428" s="731"/>
      <c r="E428" s="731"/>
      <c r="F428" s="734"/>
      <c r="G428" s="731"/>
      <c r="H428" s="731"/>
      <c r="I428" s="734"/>
      <c r="J428" s="731"/>
      <c r="K428" s="731"/>
      <c r="L428" s="734"/>
      <c r="M428" s="736" t="s">
        <v>445</v>
      </c>
      <c r="N428" s="736">
        <v>10.0</v>
      </c>
      <c r="O428" s="730"/>
      <c r="P428" s="736">
        <v>9.0</v>
      </c>
      <c r="Q428" s="736">
        <v>59.0</v>
      </c>
      <c r="R428" s="766">
        <f>-P428*60-Q428+P429*60+Q429</f>
        <v>153</v>
      </c>
      <c r="S428" s="731"/>
      <c r="T428" s="731"/>
      <c r="U428" s="734"/>
      <c r="V428" s="731"/>
      <c r="W428" s="731"/>
      <c r="X428" s="734"/>
      <c r="Y428" s="731"/>
      <c r="Z428" s="731"/>
    </row>
    <row r="429">
      <c r="C429" s="734"/>
      <c r="D429" s="731"/>
      <c r="E429" s="731"/>
      <c r="F429" s="734"/>
      <c r="G429" s="731"/>
      <c r="H429" s="731"/>
      <c r="I429" s="734"/>
      <c r="J429" s="731"/>
      <c r="K429" s="731"/>
      <c r="L429" s="734"/>
      <c r="M429" s="731"/>
      <c r="N429" s="731"/>
      <c r="O429" s="730"/>
      <c r="P429" s="736">
        <v>12.0</v>
      </c>
      <c r="Q429" s="736">
        <v>32.0</v>
      </c>
      <c r="R429" s="766">
        <f>R428/60</f>
        <v>2.55</v>
      </c>
      <c r="S429" s="731"/>
      <c r="T429" s="731"/>
      <c r="U429" s="734"/>
      <c r="V429" s="731"/>
      <c r="W429" s="731"/>
      <c r="X429" s="734"/>
      <c r="Y429" s="731"/>
      <c r="Z429" s="731"/>
    </row>
    <row r="430">
      <c r="C430" s="734"/>
      <c r="D430" s="731"/>
      <c r="E430" s="731"/>
      <c r="F430" s="734"/>
      <c r="G430" s="731"/>
      <c r="H430" s="731"/>
      <c r="I430" s="734"/>
      <c r="J430" s="731"/>
      <c r="K430" s="731"/>
      <c r="L430" s="734"/>
      <c r="M430" s="731"/>
      <c r="N430" s="736">
        <v>20.0</v>
      </c>
      <c r="O430" s="730"/>
      <c r="P430" s="736">
        <v>32.0</v>
      </c>
      <c r="Q430" s="736">
        <v>30.0</v>
      </c>
      <c r="R430" s="766">
        <f>-P430*60-Q430+P431*60+Q431</f>
        <v>176</v>
      </c>
      <c r="S430" s="731"/>
      <c r="T430" s="731"/>
      <c r="U430" s="734"/>
      <c r="V430" s="731"/>
      <c r="W430" s="731"/>
      <c r="X430" s="734"/>
      <c r="Y430" s="731"/>
      <c r="Z430" s="731"/>
    </row>
    <row r="431">
      <c r="C431" s="734"/>
      <c r="D431" s="731"/>
      <c r="E431" s="731"/>
      <c r="F431" s="734"/>
      <c r="G431" s="731"/>
      <c r="H431" s="731"/>
      <c r="I431" s="734"/>
      <c r="J431" s="731"/>
      <c r="K431" s="731"/>
      <c r="L431" s="734"/>
      <c r="M431" s="731"/>
      <c r="N431" s="731"/>
      <c r="O431" s="730"/>
      <c r="P431" s="736">
        <v>35.0</v>
      </c>
      <c r="Q431" s="736">
        <v>26.0</v>
      </c>
      <c r="R431" s="766">
        <f>R430/60</f>
        <v>2.933333333</v>
      </c>
      <c r="S431" s="731"/>
      <c r="T431" s="731"/>
      <c r="U431" s="734"/>
      <c r="V431" s="731"/>
      <c r="W431" s="731"/>
      <c r="X431" s="734"/>
      <c r="Y431" s="731"/>
      <c r="Z431" s="731"/>
    </row>
    <row r="432">
      <c r="C432" s="734"/>
      <c r="D432" s="731"/>
      <c r="E432" s="731"/>
      <c r="F432" s="734"/>
      <c r="G432" s="731"/>
      <c r="H432" s="731"/>
      <c r="I432" s="734"/>
      <c r="J432" s="731"/>
      <c r="K432" s="731"/>
      <c r="L432" s="734"/>
      <c r="M432" s="736" t="s">
        <v>65</v>
      </c>
      <c r="N432" s="736">
        <v>10.0</v>
      </c>
      <c r="O432" s="730"/>
      <c r="P432" s="736">
        <v>49.0</v>
      </c>
      <c r="Q432" s="736">
        <v>21.0</v>
      </c>
      <c r="R432" s="766">
        <f>-P432*60-Q432+P433*60+Q433</f>
        <v>118</v>
      </c>
      <c r="S432" s="731"/>
      <c r="T432" s="731"/>
      <c r="U432" s="734"/>
      <c r="V432" s="731"/>
      <c r="W432" s="731"/>
      <c r="X432" s="734"/>
      <c r="Y432" s="731"/>
      <c r="Z432" s="731"/>
    </row>
    <row r="433">
      <c r="C433" s="734"/>
      <c r="D433" s="731"/>
      <c r="E433" s="731"/>
      <c r="F433" s="734"/>
      <c r="G433" s="731"/>
      <c r="H433" s="731"/>
      <c r="I433" s="734"/>
      <c r="J433" s="731"/>
      <c r="K433" s="731"/>
      <c r="L433" s="734"/>
      <c r="M433" s="731"/>
      <c r="N433" s="731"/>
      <c r="O433" s="730"/>
      <c r="P433" s="736">
        <v>51.0</v>
      </c>
      <c r="Q433" s="736">
        <v>19.0</v>
      </c>
      <c r="R433" s="766">
        <f>R432/60</f>
        <v>1.966666667</v>
      </c>
      <c r="S433" s="731"/>
      <c r="T433" s="731"/>
      <c r="U433" s="734"/>
      <c r="V433" s="731"/>
      <c r="W433" s="731"/>
      <c r="X433" s="734"/>
      <c r="Y433" s="731"/>
      <c r="Z433" s="731"/>
    </row>
    <row r="434">
      <c r="C434" s="734"/>
      <c r="D434" s="731"/>
      <c r="E434" s="731"/>
      <c r="F434" s="734"/>
      <c r="G434" s="731"/>
      <c r="H434" s="731"/>
      <c r="I434" s="734"/>
      <c r="J434" s="731"/>
      <c r="K434" s="731"/>
      <c r="L434" s="734"/>
      <c r="M434" s="731"/>
      <c r="N434" s="736">
        <v>20.0</v>
      </c>
      <c r="O434" s="730"/>
      <c r="P434" s="736">
        <v>18.0</v>
      </c>
      <c r="Q434" s="736">
        <v>40.0</v>
      </c>
      <c r="R434" s="766">
        <f>-P434*60-Q434+P435*60+Q435</f>
        <v>136</v>
      </c>
      <c r="S434" s="731"/>
      <c r="T434" s="731"/>
      <c r="U434" s="734"/>
      <c r="V434" s="731"/>
      <c r="W434" s="731"/>
      <c r="X434" s="734"/>
      <c r="Y434" s="731"/>
      <c r="Z434" s="731"/>
    </row>
    <row r="435">
      <c r="C435" s="734"/>
      <c r="D435" s="731"/>
      <c r="E435" s="731"/>
      <c r="F435" s="734"/>
      <c r="G435" s="731"/>
      <c r="H435" s="731"/>
      <c r="I435" s="734"/>
      <c r="J435" s="731"/>
      <c r="K435" s="731"/>
      <c r="L435" s="734"/>
      <c r="M435" s="731"/>
      <c r="N435" s="731"/>
      <c r="O435" s="730"/>
      <c r="P435" s="736">
        <v>20.0</v>
      </c>
      <c r="Q435" s="736">
        <v>56.0</v>
      </c>
      <c r="R435" s="766">
        <f>R434/60</f>
        <v>2.266666667</v>
      </c>
      <c r="S435" s="731"/>
      <c r="T435" s="731"/>
      <c r="U435" s="734"/>
      <c r="V435" s="731"/>
      <c r="W435" s="731"/>
      <c r="X435" s="734"/>
      <c r="Y435" s="731"/>
      <c r="Z435" s="731"/>
    </row>
    <row r="436">
      <c r="C436" s="734"/>
      <c r="D436" s="731"/>
      <c r="E436" s="731"/>
      <c r="F436" s="734"/>
      <c r="G436" s="731"/>
      <c r="H436" s="731"/>
      <c r="I436" s="734"/>
      <c r="J436" s="731"/>
      <c r="K436" s="731"/>
      <c r="L436" s="734"/>
      <c r="M436" s="736" t="s">
        <v>434</v>
      </c>
      <c r="N436" s="736">
        <v>5.0</v>
      </c>
      <c r="O436" s="730"/>
      <c r="P436" s="736">
        <v>56.0</v>
      </c>
      <c r="Q436" s="736">
        <v>23.0</v>
      </c>
      <c r="R436" s="766">
        <f>-P436*60-Q436+P437*60+Q437</f>
        <v>241</v>
      </c>
      <c r="S436" s="731"/>
      <c r="T436" s="731"/>
      <c r="U436" s="734"/>
      <c r="V436" s="731"/>
      <c r="W436" s="731"/>
      <c r="X436" s="734"/>
      <c r="Y436" s="731"/>
      <c r="Z436" s="731"/>
    </row>
    <row r="437">
      <c r="C437" s="734"/>
      <c r="D437" s="731"/>
      <c r="E437" s="731"/>
      <c r="F437" s="734"/>
      <c r="G437" s="731"/>
      <c r="H437" s="731"/>
      <c r="I437" s="734"/>
      <c r="J437" s="731"/>
      <c r="K437" s="731"/>
      <c r="L437" s="734"/>
      <c r="M437" s="731"/>
      <c r="N437" s="731"/>
      <c r="O437" s="730"/>
      <c r="P437" s="736">
        <v>60.0</v>
      </c>
      <c r="Q437" s="736">
        <v>24.0</v>
      </c>
      <c r="R437" s="766">
        <f>R436/60</f>
        <v>4.016666667</v>
      </c>
      <c r="S437" s="731"/>
      <c r="T437" s="731"/>
      <c r="U437" s="734"/>
      <c r="V437" s="731"/>
      <c r="W437" s="731"/>
      <c r="X437" s="734"/>
      <c r="Y437" s="731"/>
      <c r="Z437" s="731"/>
    </row>
    <row r="438">
      <c r="C438" s="734"/>
      <c r="D438" s="731"/>
      <c r="E438" s="731"/>
      <c r="F438" s="734"/>
      <c r="G438" s="731"/>
      <c r="H438" s="731"/>
      <c r="I438" s="734"/>
      <c r="J438" s="731"/>
      <c r="K438" s="731"/>
      <c r="L438" s="734"/>
      <c r="M438" s="731"/>
      <c r="N438" s="736">
        <v>10.0</v>
      </c>
      <c r="O438" s="730"/>
      <c r="P438" s="736">
        <v>26.0</v>
      </c>
      <c r="Q438" s="736">
        <v>10.0</v>
      </c>
      <c r="R438" s="766">
        <f>-P438*60-Q438+P439*60+Q439</f>
        <v>277</v>
      </c>
      <c r="S438" s="731"/>
      <c r="T438" s="731"/>
      <c r="U438" s="734"/>
      <c r="V438" s="731"/>
      <c r="W438" s="731"/>
      <c r="X438" s="734"/>
      <c r="Y438" s="731"/>
      <c r="Z438" s="731"/>
    </row>
    <row r="439">
      <c r="C439" s="734"/>
      <c r="D439" s="731"/>
      <c r="E439" s="731"/>
      <c r="F439" s="734"/>
      <c r="G439" s="731"/>
      <c r="H439" s="731"/>
      <c r="I439" s="734"/>
      <c r="J439" s="731"/>
      <c r="K439" s="731"/>
      <c r="L439" s="734"/>
      <c r="M439" s="731"/>
      <c r="N439" s="731"/>
      <c r="O439" s="730"/>
      <c r="P439" s="736">
        <v>30.0</v>
      </c>
      <c r="Q439" s="736">
        <v>47.0</v>
      </c>
      <c r="R439" s="766">
        <f>R438/60</f>
        <v>4.616666667</v>
      </c>
      <c r="S439" s="731"/>
      <c r="T439" s="731"/>
      <c r="U439" s="734"/>
      <c r="V439" s="731"/>
      <c r="W439" s="731"/>
      <c r="X439" s="734"/>
      <c r="Y439" s="731"/>
      <c r="Z439" s="731"/>
    </row>
    <row r="440">
      <c r="C440" s="734"/>
      <c r="D440" s="731"/>
      <c r="E440" s="731"/>
      <c r="F440" s="734"/>
      <c r="G440" s="731"/>
      <c r="H440" s="731"/>
      <c r="I440" s="734"/>
      <c r="J440" s="731"/>
      <c r="K440" s="731"/>
      <c r="L440" s="734"/>
      <c r="M440" s="736" t="s">
        <v>51</v>
      </c>
      <c r="N440" s="736">
        <v>5.0</v>
      </c>
      <c r="O440" s="730"/>
      <c r="P440" s="736">
        <v>46.0</v>
      </c>
      <c r="Q440" s="736">
        <v>5.0</v>
      </c>
      <c r="R440" s="766">
        <f>-P440*60-Q440+P441*60+Q441</f>
        <v>237</v>
      </c>
      <c r="S440" s="731"/>
      <c r="T440" s="731"/>
      <c r="U440" s="734"/>
      <c r="V440" s="731"/>
      <c r="W440" s="731"/>
      <c r="X440" s="734"/>
      <c r="Y440" s="731"/>
      <c r="Z440" s="731"/>
    </row>
    <row r="441">
      <c r="C441" s="734"/>
      <c r="D441" s="731"/>
      <c r="E441" s="731"/>
      <c r="F441" s="734"/>
      <c r="G441" s="731"/>
      <c r="H441" s="731"/>
      <c r="I441" s="734"/>
      <c r="J441" s="731"/>
      <c r="K441" s="731"/>
      <c r="L441" s="734"/>
      <c r="M441" s="731"/>
      <c r="N441" s="731"/>
      <c r="O441" s="730"/>
      <c r="P441" s="736">
        <v>50.0</v>
      </c>
      <c r="Q441" s="736">
        <v>2.0</v>
      </c>
      <c r="R441" s="766">
        <f>R440/60</f>
        <v>3.95</v>
      </c>
      <c r="S441" s="731"/>
      <c r="T441" s="731"/>
      <c r="U441" s="734"/>
      <c r="V441" s="731"/>
      <c r="W441" s="731"/>
      <c r="X441" s="734"/>
      <c r="Y441" s="731"/>
      <c r="Z441" s="731"/>
    </row>
    <row r="442">
      <c r="C442" s="734"/>
      <c r="D442" s="731"/>
      <c r="E442" s="731"/>
      <c r="F442" s="734"/>
      <c r="G442" s="731"/>
      <c r="H442" s="731"/>
      <c r="I442" s="734"/>
      <c r="J442" s="731"/>
      <c r="K442" s="731"/>
      <c r="L442" s="734"/>
      <c r="M442" s="731"/>
      <c r="N442" s="736">
        <v>10.0</v>
      </c>
      <c r="O442" s="730"/>
      <c r="P442" s="736">
        <v>16.0</v>
      </c>
      <c r="Q442" s="736">
        <v>2.0</v>
      </c>
      <c r="R442" s="766">
        <f>-P442*60-Q442+P443*60+Q443</f>
        <v>273</v>
      </c>
      <c r="S442" s="731"/>
      <c r="T442" s="731"/>
      <c r="U442" s="734"/>
      <c r="V442" s="731"/>
      <c r="W442" s="731"/>
      <c r="X442" s="734"/>
      <c r="Y442" s="731"/>
      <c r="Z442" s="731"/>
    </row>
    <row r="443">
      <c r="C443" s="734"/>
      <c r="D443" s="731"/>
      <c r="E443" s="731"/>
      <c r="F443" s="734"/>
      <c r="G443" s="731"/>
      <c r="H443" s="731"/>
      <c r="I443" s="734"/>
      <c r="J443" s="731"/>
      <c r="K443" s="731"/>
      <c r="L443" s="734"/>
      <c r="M443" s="731"/>
      <c r="N443" s="731"/>
      <c r="O443" s="730"/>
      <c r="P443" s="736">
        <v>20.0</v>
      </c>
      <c r="Q443" s="736">
        <v>35.0</v>
      </c>
      <c r="R443" s="766">
        <f>R442/60</f>
        <v>4.55</v>
      </c>
      <c r="S443" s="731"/>
      <c r="T443" s="731"/>
      <c r="U443" s="734"/>
      <c r="V443" s="731"/>
      <c r="W443" s="731"/>
      <c r="X443" s="734"/>
      <c r="Y443" s="731"/>
      <c r="Z443" s="731"/>
    </row>
    <row r="444">
      <c r="C444" s="734"/>
      <c r="D444" s="731"/>
      <c r="E444" s="731"/>
      <c r="F444" s="734"/>
      <c r="G444" s="731"/>
      <c r="H444" s="731"/>
      <c r="I444" s="734"/>
      <c r="J444" s="731"/>
      <c r="K444" s="731"/>
      <c r="L444" s="734"/>
      <c r="M444" s="736" t="s">
        <v>57</v>
      </c>
      <c r="N444" s="736">
        <v>5.0</v>
      </c>
      <c r="O444" s="730"/>
      <c r="P444" s="736">
        <v>56.0</v>
      </c>
      <c r="Q444" s="736">
        <v>49.0</v>
      </c>
      <c r="R444" s="766">
        <f>-P444*60-Q444+P445*60+Q445</f>
        <v>237</v>
      </c>
      <c r="S444" s="731"/>
      <c r="T444" s="731"/>
      <c r="U444" s="734"/>
      <c r="V444" s="731"/>
      <c r="W444" s="731"/>
      <c r="X444" s="734"/>
      <c r="Y444" s="731"/>
      <c r="Z444" s="731"/>
    </row>
    <row r="445">
      <c r="C445" s="734"/>
      <c r="D445" s="731"/>
      <c r="E445" s="731"/>
      <c r="F445" s="734"/>
      <c r="G445" s="731"/>
      <c r="H445" s="731"/>
      <c r="I445" s="734"/>
      <c r="J445" s="731"/>
      <c r="K445" s="731"/>
      <c r="L445" s="734"/>
      <c r="M445" s="731"/>
      <c r="N445" s="731"/>
      <c r="O445" s="730"/>
      <c r="P445" s="736">
        <v>60.0</v>
      </c>
      <c r="Q445" s="736">
        <v>46.0</v>
      </c>
      <c r="R445" s="766">
        <f>R444/60</f>
        <v>3.95</v>
      </c>
      <c r="S445" s="731"/>
      <c r="T445" s="731"/>
      <c r="U445" s="734"/>
      <c r="V445" s="731"/>
      <c r="W445" s="731"/>
      <c r="X445" s="734"/>
      <c r="Y445" s="731"/>
      <c r="Z445" s="731"/>
    </row>
    <row r="446">
      <c r="C446" s="734"/>
      <c r="D446" s="731"/>
      <c r="E446" s="731"/>
      <c r="F446" s="734"/>
      <c r="G446" s="731"/>
      <c r="H446" s="731"/>
      <c r="I446" s="734"/>
      <c r="J446" s="731"/>
      <c r="K446" s="731"/>
      <c r="L446" s="734"/>
      <c r="M446" s="736" t="s">
        <v>431</v>
      </c>
      <c r="N446" s="736">
        <v>5.0</v>
      </c>
      <c r="O446" s="730"/>
      <c r="P446" s="736">
        <v>33.0</v>
      </c>
      <c r="Q446" s="736">
        <v>44.0</v>
      </c>
      <c r="R446" s="766">
        <f>-P446*60-Q446+P447*60+Q447</f>
        <v>261</v>
      </c>
      <c r="S446" s="731"/>
      <c r="T446" s="731"/>
      <c r="U446" s="734"/>
      <c r="V446" s="731"/>
      <c r="W446" s="731"/>
      <c r="X446" s="734"/>
      <c r="Y446" s="731"/>
      <c r="Z446" s="731"/>
    </row>
    <row r="447">
      <c r="C447" s="734"/>
      <c r="D447" s="731"/>
      <c r="E447" s="731"/>
      <c r="F447" s="734"/>
      <c r="G447" s="731"/>
      <c r="H447" s="731"/>
      <c r="I447" s="734"/>
      <c r="J447" s="731"/>
      <c r="K447" s="731"/>
      <c r="L447" s="734"/>
      <c r="M447" s="731"/>
      <c r="N447" s="731"/>
      <c r="O447" s="730"/>
      <c r="P447" s="736">
        <v>38.0</v>
      </c>
      <c r="Q447" s="736">
        <v>5.0</v>
      </c>
      <c r="R447" s="766">
        <f>R446/60</f>
        <v>4.35</v>
      </c>
      <c r="S447" s="731"/>
      <c r="T447" s="731"/>
      <c r="U447" s="734"/>
      <c r="V447" s="731"/>
      <c r="W447" s="731"/>
      <c r="X447" s="734"/>
      <c r="Y447" s="731"/>
      <c r="Z447" s="731"/>
    </row>
    <row r="448">
      <c r="C448" s="734"/>
      <c r="D448" s="731"/>
      <c r="E448" s="731"/>
      <c r="F448" s="734"/>
      <c r="G448" s="731"/>
      <c r="H448" s="731"/>
      <c r="I448" s="734"/>
      <c r="J448" s="731"/>
      <c r="K448" s="731"/>
      <c r="L448" s="734"/>
      <c r="M448" s="731"/>
      <c r="N448" s="736">
        <v>10.0</v>
      </c>
      <c r="O448" s="730"/>
      <c r="P448" s="736">
        <v>2.0</v>
      </c>
      <c r="Q448" s="736">
        <v>21.0</v>
      </c>
      <c r="R448" s="766">
        <f>-P448*60-Q448+P449*60+Q449</f>
        <v>301</v>
      </c>
      <c r="S448" s="731"/>
      <c r="T448" s="731"/>
      <c r="U448" s="734"/>
      <c r="V448" s="731"/>
      <c r="W448" s="731"/>
      <c r="X448" s="734"/>
      <c r="Y448" s="731"/>
      <c r="Z448" s="731"/>
    </row>
    <row r="449">
      <c r="C449" s="734"/>
      <c r="D449" s="731"/>
      <c r="E449" s="731"/>
      <c r="F449" s="734"/>
      <c r="G449" s="731"/>
      <c r="H449" s="731"/>
      <c r="I449" s="734"/>
      <c r="J449" s="731"/>
      <c r="K449" s="731"/>
      <c r="L449" s="734"/>
      <c r="M449" s="731"/>
      <c r="N449" s="731"/>
      <c r="O449" s="730"/>
      <c r="P449" s="736">
        <v>7.0</v>
      </c>
      <c r="Q449" s="736">
        <v>22.0</v>
      </c>
      <c r="R449" s="766">
        <f>R448/60</f>
        <v>5.016666667</v>
      </c>
      <c r="S449" s="731"/>
      <c r="T449" s="731"/>
      <c r="U449" s="734"/>
      <c r="V449" s="731"/>
      <c r="W449" s="731"/>
      <c r="X449" s="734"/>
      <c r="Y449" s="731"/>
      <c r="Z449" s="731"/>
    </row>
    <row r="450">
      <c r="C450" s="734"/>
      <c r="D450" s="731"/>
      <c r="E450" s="731"/>
      <c r="F450" s="734"/>
      <c r="G450" s="731"/>
      <c r="H450" s="731"/>
      <c r="I450" s="734"/>
      <c r="J450" s="731"/>
      <c r="K450" s="731"/>
      <c r="L450" s="734"/>
      <c r="M450" s="736" t="s">
        <v>63</v>
      </c>
      <c r="N450" s="736">
        <v>10.0</v>
      </c>
      <c r="O450" s="730"/>
      <c r="P450" s="736">
        <v>41.0</v>
      </c>
      <c r="Q450" s="736">
        <v>59.0</v>
      </c>
      <c r="R450" s="766">
        <f>-P450*60-Q450+P451*60+Q451</f>
        <v>147</v>
      </c>
      <c r="S450" s="731"/>
      <c r="T450" s="731"/>
      <c r="U450" s="734"/>
      <c r="V450" s="731"/>
      <c r="W450" s="731"/>
      <c r="X450" s="734"/>
      <c r="Y450" s="731"/>
      <c r="Z450" s="731"/>
    </row>
    <row r="451">
      <c r="C451" s="734"/>
      <c r="D451" s="731"/>
      <c r="E451" s="731"/>
      <c r="F451" s="734"/>
      <c r="G451" s="731"/>
      <c r="H451" s="731"/>
      <c r="I451" s="734"/>
      <c r="J451" s="731"/>
      <c r="K451" s="731"/>
      <c r="L451" s="734"/>
      <c r="M451" s="731"/>
      <c r="N451" s="731"/>
      <c r="O451" s="730"/>
      <c r="P451" s="736">
        <v>44.0</v>
      </c>
      <c r="Q451" s="736">
        <v>26.0</v>
      </c>
      <c r="R451" s="766">
        <f>R450/60</f>
        <v>2.45</v>
      </c>
      <c r="S451" s="731"/>
      <c r="T451" s="731"/>
      <c r="U451" s="734"/>
      <c r="V451" s="731"/>
      <c r="W451" s="731"/>
      <c r="X451" s="734"/>
      <c r="Y451" s="731"/>
      <c r="Z451" s="731"/>
    </row>
    <row r="452">
      <c r="C452" s="734"/>
      <c r="D452" s="731"/>
      <c r="E452" s="731"/>
      <c r="F452" s="734"/>
      <c r="G452" s="731"/>
      <c r="H452" s="731"/>
      <c r="I452" s="734"/>
      <c r="J452" s="731"/>
      <c r="K452" s="731"/>
      <c r="L452" s="734"/>
      <c r="M452" s="731"/>
      <c r="N452" s="736">
        <v>20.0</v>
      </c>
      <c r="O452" s="730"/>
      <c r="P452" s="736">
        <v>10.0</v>
      </c>
      <c r="Q452" s="736">
        <v>52.0</v>
      </c>
      <c r="R452" s="766">
        <f>-P452*60-Q452+P453*60+Q453</f>
        <v>170</v>
      </c>
      <c r="S452" s="731"/>
      <c r="T452" s="731"/>
      <c r="U452" s="734"/>
      <c r="V452" s="731"/>
      <c r="W452" s="731"/>
      <c r="X452" s="734"/>
      <c r="Y452" s="731"/>
      <c r="Z452" s="731"/>
    </row>
    <row r="453">
      <c r="C453" s="734"/>
      <c r="D453" s="731"/>
      <c r="E453" s="731"/>
      <c r="F453" s="734"/>
      <c r="G453" s="731"/>
      <c r="H453" s="731"/>
      <c r="I453" s="734"/>
      <c r="J453" s="731"/>
      <c r="K453" s="731"/>
      <c r="L453" s="734"/>
      <c r="M453" s="731"/>
      <c r="N453" s="731"/>
      <c r="O453" s="730"/>
      <c r="P453" s="736">
        <v>13.0</v>
      </c>
      <c r="Q453" s="736">
        <v>42.0</v>
      </c>
      <c r="R453" s="766">
        <f>R452/60</f>
        <v>2.833333333</v>
      </c>
      <c r="S453" s="731"/>
      <c r="T453" s="731"/>
      <c r="U453" s="734"/>
      <c r="V453" s="731"/>
      <c r="W453" s="731"/>
      <c r="X453" s="734"/>
      <c r="Y453" s="731"/>
      <c r="Z453" s="731"/>
    </row>
    <row r="454">
      <c r="C454" s="734"/>
      <c r="D454" s="731"/>
      <c r="E454" s="731"/>
      <c r="F454" s="734"/>
      <c r="G454" s="731"/>
      <c r="H454" s="731"/>
      <c r="I454" s="734"/>
      <c r="J454" s="731"/>
      <c r="K454" s="731"/>
      <c r="L454" s="734"/>
      <c r="M454" s="736" t="s">
        <v>55</v>
      </c>
      <c r="N454" s="736">
        <v>5.0</v>
      </c>
      <c r="O454" s="730"/>
      <c r="P454" s="736">
        <v>32.0</v>
      </c>
      <c r="Q454" s="736">
        <v>38.0</v>
      </c>
      <c r="R454" s="766">
        <f>-P454*60-Q454+P455*60+Q455</f>
        <v>261</v>
      </c>
      <c r="S454" s="731"/>
      <c r="T454" s="731"/>
      <c r="U454" s="734"/>
      <c r="V454" s="731"/>
      <c r="W454" s="731"/>
      <c r="X454" s="734"/>
      <c r="Y454" s="731"/>
      <c r="Z454" s="731"/>
    </row>
    <row r="455">
      <c r="C455" s="734"/>
      <c r="D455" s="731"/>
      <c r="E455" s="731"/>
      <c r="F455" s="734"/>
      <c r="G455" s="731"/>
      <c r="H455" s="731"/>
      <c r="I455" s="734"/>
      <c r="J455" s="731"/>
      <c r="K455" s="731"/>
      <c r="L455" s="734"/>
      <c r="M455" s="731"/>
      <c r="N455" s="731"/>
      <c r="O455" s="730"/>
      <c r="P455" s="736">
        <v>36.0</v>
      </c>
      <c r="Q455" s="736">
        <v>59.0</v>
      </c>
      <c r="R455" s="766">
        <f>R454/60</f>
        <v>4.35</v>
      </c>
      <c r="S455" s="731"/>
      <c r="T455" s="731"/>
      <c r="U455" s="734"/>
      <c r="V455" s="731"/>
      <c r="W455" s="731"/>
      <c r="X455" s="734"/>
      <c r="Y455" s="731"/>
      <c r="Z455" s="731"/>
    </row>
    <row r="456">
      <c r="C456" s="734"/>
      <c r="D456" s="731"/>
      <c r="E456" s="731"/>
      <c r="F456" s="734"/>
      <c r="G456" s="731"/>
      <c r="H456" s="731"/>
      <c r="I456" s="734"/>
      <c r="J456" s="731"/>
      <c r="K456" s="731"/>
      <c r="L456" s="734"/>
      <c r="M456" s="731"/>
      <c r="N456" s="736">
        <v>10.0</v>
      </c>
      <c r="O456" s="730"/>
      <c r="P456" s="736">
        <v>2.0</v>
      </c>
      <c r="Q456" s="736">
        <v>31.0</v>
      </c>
      <c r="R456" s="766">
        <f>-P456*60-Q456+P457*60+Q457</f>
        <v>300</v>
      </c>
      <c r="S456" s="731"/>
      <c r="T456" s="731"/>
      <c r="U456" s="734"/>
      <c r="V456" s="731"/>
      <c r="W456" s="731"/>
      <c r="X456" s="734"/>
      <c r="Y456" s="731"/>
      <c r="Z456" s="731"/>
    </row>
    <row r="457">
      <c r="C457" s="734"/>
      <c r="D457" s="731"/>
      <c r="E457" s="731"/>
      <c r="F457" s="734"/>
      <c r="G457" s="731"/>
      <c r="H457" s="731"/>
      <c r="I457" s="734"/>
      <c r="J457" s="731"/>
      <c r="K457" s="731"/>
      <c r="L457" s="734"/>
      <c r="M457" s="731"/>
      <c r="N457" s="731"/>
      <c r="O457" s="730"/>
      <c r="P457" s="736">
        <v>7.0</v>
      </c>
      <c r="Q457" s="736">
        <v>31.0</v>
      </c>
      <c r="R457" s="766">
        <f>R456/60</f>
        <v>5</v>
      </c>
      <c r="S457" s="731"/>
      <c r="T457" s="731"/>
      <c r="U457" s="734"/>
      <c r="V457" s="731"/>
      <c r="W457" s="731"/>
      <c r="X457" s="734"/>
      <c r="Y457" s="731"/>
      <c r="Z457" s="731"/>
    </row>
    <row r="458">
      <c r="C458" s="734"/>
      <c r="D458" s="731"/>
      <c r="E458" s="731"/>
      <c r="F458" s="734"/>
      <c r="G458" s="731"/>
      <c r="H458" s="731"/>
      <c r="I458" s="734"/>
      <c r="J458" s="731"/>
      <c r="K458" s="731"/>
      <c r="L458" s="734"/>
      <c r="M458" s="736" t="s">
        <v>96</v>
      </c>
      <c r="N458" s="736">
        <v>10.0</v>
      </c>
      <c r="O458" s="730"/>
      <c r="P458" s="736">
        <v>41.0</v>
      </c>
      <c r="Q458" s="736">
        <v>8.0</v>
      </c>
      <c r="R458" s="766">
        <f>-P458*60-Q458+P459*60+Q459</f>
        <v>118</v>
      </c>
      <c r="S458" s="731"/>
      <c r="T458" s="731"/>
      <c r="U458" s="734"/>
      <c r="V458" s="731"/>
      <c r="W458" s="731"/>
      <c r="X458" s="734"/>
      <c r="Y458" s="731"/>
      <c r="Z458" s="731"/>
    </row>
    <row r="459">
      <c r="C459" s="734"/>
      <c r="D459" s="731"/>
      <c r="E459" s="731"/>
      <c r="F459" s="734"/>
      <c r="G459" s="731"/>
      <c r="H459" s="731"/>
      <c r="I459" s="734"/>
      <c r="J459" s="731"/>
      <c r="K459" s="731"/>
      <c r="L459" s="734"/>
      <c r="M459" s="731"/>
      <c r="N459" s="731"/>
      <c r="O459" s="730"/>
      <c r="P459" s="736">
        <v>43.0</v>
      </c>
      <c r="Q459" s="736">
        <v>6.0</v>
      </c>
      <c r="R459" s="766">
        <f>R458/60</f>
        <v>1.966666667</v>
      </c>
      <c r="S459" s="731"/>
      <c r="T459" s="731"/>
      <c r="U459" s="734"/>
      <c r="V459" s="731"/>
      <c r="W459" s="731"/>
      <c r="X459" s="734"/>
      <c r="Y459" s="731"/>
      <c r="Z459" s="731"/>
    </row>
    <row r="460">
      <c r="C460" s="734"/>
      <c r="D460" s="731"/>
      <c r="E460" s="731"/>
      <c r="F460" s="734"/>
      <c r="G460" s="731"/>
      <c r="H460" s="731"/>
      <c r="I460" s="734"/>
      <c r="J460" s="731"/>
      <c r="K460" s="731"/>
      <c r="L460" s="734"/>
      <c r="M460" s="731"/>
      <c r="N460" s="736">
        <v>20.0</v>
      </c>
      <c r="O460" s="730"/>
      <c r="P460" s="736">
        <v>11.0</v>
      </c>
      <c r="Q460" s="736">
        <v>30.0</v>
      </c>
      <c r="R460" s="766">
        <f>-P460*60-Q460+P461*60+Q461</f>
        <v>136</v>
      </c>
      <c r="S460" s="731"/>
      <c r="T460" s="731"/>
      <c r="U460" s="734"/>
      <c r="V460" s="731"/>
      <c r="W460" s="731"/>
      <c r="X460" s="734"/>
      <c r="Y460" s="731"/>
      <c r="Z460" s="731"/>
    </row>
    <row r="461">
      <c r="C461" s="734"/>
      <c r="D461" s="731"/>
      <c r="E461" s="731"/>
      <c r="F461" s="734"/>
      <c r="G461" s="731"/>
      <c r="H461" s="731"/>
      <c r="I461" s="734"/>
      <c r="J461" s="731"/>
      <c r="K461" s="731"/>
      <c r="L461" s="734"/>
      <c r="M461" s="731"/>
      <c r="N461" s="731"/>
      <c r="O461" s="730"/>
      <c r="P461" s="736">
        <v>13.0</v>
      </c>
      <c r="Q461" s="736">
        <v>46.0</v>
      </c>
      <c r="R461" s="766">
        <f>R460/60</f>
        <v>2.266666667</v>
      </c>
      <c r="S461" s="731"/>
      <c r="T461" s="731"/>
      <c r="U461" s="734"/>
      <c r="V461" s="731"/>
      <c r="W461" s="731"/>
      <c r="X461" s="734"/>
      <c r="Y461" s="731"/>
      <c r="Z461" s="731"/>
    </row>
    <row r="462">
      <c r="C462" s="734"/>
      <c r="D462" s="731"/>
      <c r="E462" s="731"/>
      <c r="F462" s="734"/>
      <c r="G462" s="731"/>
      <c r="H462" s="731"/>
      <c r="I462" s="734"/>
      <c r="J462" s="731"/>
      <c r="K462" s="731"/>
      <c r="L462" s="734"/>
      <c r="M462" s="736" t="s">
        <v>446</v>
      </c>
      <c r="N462" s="736">
        <v>5.0</v>
      </c>
      <c r="O462" s="730"/>
      <c r="P462" s="736">
        <v>30.0</v>
      </c>
      <c r="Q462" s="736">
        <v>21.0</v>
      </c>
      <c r="R462" s="766">
        <f>-P462*60-Q462+P463*60+Q463</f>
        <v>237</v>
      </c>
      <c r="S462" s="731"/>
      <c r="T462" s="731"/>
      <c r="U462" s="734"/>
      <c r="V462" s="731"/>
      <c r="W462" s="731"/>
      <c r="X462" s="734"/>
      <c r="Y462" s="731"/>
      <c r="Z462" s="731"/>
    </row>
    <row r="463">
      <c r="C463" s="734"/>
      <c r="D463" s="731"/>
      <c r="E463" s="731"/>
      <c r="F463" s="734"/>
      <c r="G463" s="731"/>
      <c r="H463" s="731"/>
      <c r="I463" s="734"/>
      <c r="J463" s="731"/>
      <c r="K463" s="731"/>
      <c r="L463" s="734"/>
      <c r="M463" s="731"/>
      <c r="N463" s="731"/>
      <c r="O463" s="730"/>
      <c r="P463" s="736">
        <v>34.0</v>
      </c>
      <c r="Q463" s="736">
        <v>18.0</v>
      </c>
      <c r="R463" s="766">
        <f>R462/60</f>
        <v>3.95</v>
      </c>
      <c r="S463" s="731"/>
      <c r="T463" s="731"/>
      <c r="U463" s="734"/>
      <c r="V463" s="731"/>
      <c r="W463" s="731"/>
      <c r="X463" s="734"/>
      <c r="Y463" s="731"/>
      <c r="Z463" s="731"/>
    </row>
    <row r="464">
      <c r="C464" s="734"/>
      <c r="D464" s="731"/>
      <c r="E464" s="731"/>
      <c r="F464" s="734"/>
      <c r="G464" s="731"/>
      <c r="H464" s="731"/>
      <c r="I464" s="734"/>
      <c r="J464" s="731"/>
      <c r="K464" s="731"/>
      <c r="L464" s="734"/>
      <c r="M464" s="736" t="s">
        <v>273</v>
      </c>
      <c r="N464" s="736">
        <v>5.0</v>
      </c>
      <c r="O464" s="730"/>
      <c r="P464" s="736">
        <v>59.0</v>
      </c>
      <c r="Q464" s="736">
        <v>31.0</v>
      </c>
      <c r="R464" s="766">
        <f>-P464*60-Q464+P465*60+Q465</f>
        <v>237</v>
      </c>
      <c r="S464" s="731"/>
      <c r="T464" s="731"/>
      <c r="U464" s="734"/>
      <c r="V464" s="731"/>
      <c r="W464" s="731"/>
      <c r="X464" s="734"/>
      <c r="Y464" s="731"/>
      <c r="Z464" s="731"/>
    </row>
    <row r="465">
      <c r="C465" s="734"/>
      <c r="D465" s="731"/>
      <c r="E465" s="731"/>
      <c r="F465" s="734"/>
      <c r="G465" s="731"/>
      <c r="H465" s="731"/>
      <c r="I465" s="734"/>
      <c r="J465" s="731"/>
      <c r="K465" s="731"/>
      <c r="L465" s="734"/>
      <c r="M465" s="731"/>
      <c r="N465" s="731"/>
      <c r="O465" s="730"/>
      <c r="P465" s="736">
        <v>63.0</v>
      </c>
      <c r="Q465" s="736">
        <v>28.0</v>
      </c>
      <c r="R465" s="766">
        <f>R464/60</f>
        <v>3.95</v>
      </c>
      <c r="S465" s="731"/>
      <c r="T465" s="731"/>
      <c r="U465" s="734"/>
      <c r="V465" s="731"/>
      <c r="W465" s="731"/>
      <c r="X465" s="734"/>
      <c r="Y465" s="731"/>
      <c r="Z465" s="731"/>
    </row>
    <row r="466">
      <c r="C466" s="734"/>
      <c r="D466" s="731"/>
      <c r="E466" s="731"/>
      <c r="F466" s="734"/>
      <c r="G466" s="731"/>
      <c r="H466" s="731"/>
      <c r="I466" s="734"/>
      <c r="J466" s="731"/>
      <c r="K466" s="731"/>
      <c r="L466" s="734"/>
      <c r="M466" s="736" t="s">
        <v>447</v>
      </c>
      <c r="N466" s="736">
        <v>5.0</v>
      </c>
      <c r="O466" s="730"/>
      <c r="P466" s="736">
        <v>10.0</v>
      </c>
      <c r="Q466" s="736">
        <v>43.0</v>
      </c>
      <c r="R466" s="766">
        <f>-P466*60-Q466+P467*60+Q467</f>
        <v>261</v>
      </c>
      <c r="S466" s="731"/>
      <c r="T466" s="731"/>
      <c r="U466" s="734"/>
      <c r="V466" s="731"/>
      <c r="W466" s="731"/>
      <c r="X466" s="734"/>
      <c r="Y466" s="731"/>
      <c r="Z466" s="731"/>
    </row>
    <row r="467">
      <c r="C467" s="734"/>
      <c r="D467" s="731"/>
      <c r="E467" s="731"/>
      <c r="F467" s="734"/>
      <c r="G467" s="731"/>
      <c r="H467" s="731"/>
      <c r="I467" s="734"/>
      <c r="J467" s="731"/>
      <c r="K467" s="731"/>
      <c r="L467" s="734"/>
      <c r="M467" s="731"/>
      <c r="N467" s="731"/>
      <c r="O467" s="730"/>
      <c r="P467" s="736">
        <v>15.0</v>
      </c>
      <c r="Q467" s="736">
        <v>4.0</v>
      </c>
      <c r="R467" s="766">
        <f>R466/60</f>
        <v>4.35</v>
      </c>
      <c r="S467" s="731"/>
      <c r="T467" s="731"/>
      <c r="U467" s="734"/>
      <c r="V467" s="731"/>
      <c r="W467" s="731"/>
      <c r="X467" s="734"/>
      <c r="Y467" s="731"/>
      <c r="Z467" s="731"/>
    </row>
    <row r="468">
      <c r="C468" s="734"/>
      <c r="D468" s="731"/>
      <c r="E468" s="731"/>
      <c r="F468" s="734"/>
      <c r="G468" s="731"/>
      <c r="H468" s="731"/>
      <c r="I468" s="734"/>
      <c r="J468" s="731"/>
      <c r="K468" s="731"/>
      <c r="L468" s="734"/>
      <c r="M468" s="731"/>
      <c r="N468" s="736">
        <v>10.0</v>
      </c>
      <c r="O468" s="730"/>
      <c r="P468" s="736">
        <v>46.0</v>
      </c>
      <c r="Q468" s="736">
        <v>27.0</v>
      </c>
      <c r="R468" s="766">
        <f>-P468*60-Q468+P469*60+Q469</f>
        <v>300</v>
      </c>
      <c r="S468" s="731"/>
      <c r="T468" s="731"/>
      <c r="U468" s="734"/>
      <c r="V468" s="731"/>
      <c r="W468" s="731"/>
      <c r="X468" s="734"/>
      <c r="Y468" s="731"/>
      <c r="Z468" s="731"/>
    </row>
    <row r="469">
      <c r="C469" s="734"/>
      <c r="D469" s="731"/>
      <c r="E469" s="731"/>
      <c r="F469" s="734"/>
      <c r="G469" s="731"/>
      <c r="H469" s="731"/>
      <c r="I469" s="734"/>
      <c r="J469" s="731"/>
      <c r="K469" s="731"/>
      <c r="L469" s="734"/>
      <c r="M469" s="731"/>
      <c r="N469" s="731"/>
      <c r="O469" s="730"/>
      <c r="P469" s="736">
        <v>51.0</v>
      </c>
      <c r="Q469" s="736">
        <v>27.0</v>
      </c>
      <c r="R469" s="766">
        <f>R468/60</f>
        <v>5</v>
      </c>
      <c r="S469" s="731"/>
      <c r="T469" s="731"/>
      <c r="U469" s="734"/>
      <c r="V469" s="731"/>
      <c r="W469" s="731"/>
      <c r="X469" s="734"/>
      <c r="Y469" s="731"/>
      <c r="Z469" s="731"/>
    </row>
    <row r="470">
      <c r="C470" s="734"/>
      <c r="D470" s="731"/>
      <c r="E470" s="731"/>
      <c r="F470" s="734"/>
      <c r="G470" s="731"/>
      <c r="H470" s="731"/>
      <c r="I470" s="734"/>
      <c r="J470" s="731"/>
      <c r="K470" s="731"/>
      <c r="L470" s="734"/>
      <c r="M470" s="736" t="s">
        <v>436</v>
      </c>
      <c r="N470" s="736">
        <v>1.0</v>
      </c>
      <c r="O470" s="730"/>
      <c r="P470" s="736">
        <v>57.0</v>
      </c>
      <c r="Q470" s="736">
        <v>18.0</v>
      </c>
      <c r="R470" s="766">
        <f>-P470*60-Q470+P471*60+Q471</f>
        <v>90</v>
      </c>
      <c r="S470" s="731"/>
      <c r="T470" s="731"/>
      <c r="U470" s="734"/>
      <c r="V470" s="731"/>
      <c r="W470" s="731"/>
      <c r="X470" s="734"/>
      <c r="Y470" s="731"/>
      <c r="Z470" s="731"/>
    </row>
    <row r="471">
      <c r="C471" s="734"/>
      <c r="D471" s="731"/>
      <c r="E471" s="731"/>
      <c r="F471" s="734"/>
      <c r="G471" s="731"/>
      <c r="H471" s="731"/>
      <c r="I471" s="734"/>
      <c r="J471" s="731"/>
      <c r="K471" s="731"/>
      <c r="L471" s="734"/>
      <c r="M471" s="731"/>
      <c r="N471" s="731"/>
      <c r="O471" s="730"/>
      <c r="P471" s="736">
        <v>58.0</v>
      </c>
      <c r="Q471" s="736">
        <v>48.0</v>
      </c>
      <c r="R471" s="766">
        <f>R470/60</f>
        <v>1.5</v>
      </c>
      <c r="S471" s="731"/>
      <c r="T471" s="731"/>
      <c r="U471" s="734"/>
      <c r="V471" s="731"/>
      <c r="W471" s="731"/>
      <c r="X471" s="734"/>
      <c r="Y471" s="731"/>
      <c r="Z471" s="731"/>
    </row>
    <row r="472">
      <c r="C472" s="734"/>
      <c r="D472" s="731"/>
      <c r="E472" s="731"/>
      <c r="F472" s="734"/>
      <c r="G472" s="731"/>
      <c r="H472" s="731"/>
      <c r="I472" s="734"/>
      <c r="J472" s="731"/>
      <c r="K472" s="731"/>
      <c r="L472" s="734"/>
      <c r="M472" s="731"/>
      <c r="N472" s="736">
        <v>15.0</v>
      </c>
      <c r="O472" s="730"/>
      <c r="P472" s="736">
        <v>23.0</v>
      </c>
      <c r="Q472" s="736">
        <v>57.0</v>
      </c>
      <c r="R472" s="766">
        <f>-P472*60-Q472+P473*60+Q473</f>
        <v>832</v>
      </c>
      <c r="S472" s="731"/>
      <c r="T472" s="731"/>
      <c r="U472" s="734"/>
      <c r="V472" s="731"/>
      <c r="W472" s="731"/>
      <c r="X472" s="734"/>
      <c r="Y472" s="731"/>
      <c r="Z472" s="731"/>
    </row>
    <row r="473">
      <c r="C473" s="734"/>
      <c r="D473" s="731"/>
      <c r="E473" s="731"/>
      <c r="F473" s="734"/>
      <c r="G473" s="731"/>
      <c r="H473" s="731"/>
      <c r="I473" s="734"/>
      <c r="J473" s="731"/>
      <c r="K473" s="731"/>
      <c r="L473" s="734"/>
      <c r="M473" s="731"/>
      <c r="N473" s="731"/>
      <c r="O473" s="730"/>
      <c r="P473" s="736">
        <v>37.0</v>
      </c>
      <c r="Q473" s="736">
        <v>49.0</v>
      </c>
      <c r="R473" s="766">
        <f>R472/60</f>
        <v>13.86666667</v>
      </c>
      <c r="S473" s="731"/>
      <c r="T473" s="731"/>
      <c r="U473" s="734"/>
      <c r="V473" s="731"/>
      <c r="W473" s="731"/>
      <c r="X473" s="734"/>
      <c r="Y473" s="731"/>
      <c r="Z473" s="731"/>
    </row>
    <row r="474">
      <c r="C474" s="734"/>
      <c r="D474" s="731"/>
      <c r="E474" s="731"/>
      <c r="F474" s="734"/>
      <c r="G474" s="731"/>
      <c r="H474" s="731"/>
      <c r="I474" s="734"/>
      <c r="J474" s="731"/>
      <c r="K474" s="731"/>
      <c r="L474" s="734"/>
      <c r="M474" s="736" t="s">
        <v>448</v>
      </c>
      <c r="N474" s="736">
        <v>1.0</v>
      </c>
      <c r="O474" s="730"/>
      <c r="P474" s="736">
        <v>50.0</v>
      </c>
      <c r="Q474" s="736">
        <v>58.0</v>
      </c>
      <c r="R474" s="766">
        <f>-P474*60-Q474+P475*60+Q475</f>
        <v>238</v>
      </c>
      <c r="S474" s="731"/>
      <c r="T474" s="731"/>
      <c r="U474" s="734"/>
      <c r="V474" s="731"/>
      <c r="W474" s="731"/>
      <c r="X474" s="734"/>
      <c r="Y474" s="731"/>
      <c r="Z474" s="731"/>
    </row>
    <row r="475">
      <c r="C475" s="734"/>
      <c r="D475" s="731"/>
      <c r="E475" s="731"/>
      <c r="F475" s="734"/>
      <c r="G475" s="731"/>
      <c r="H475" s="731"/>
      <c r="I475" s="734"/>
      <c r="J475" s="731"/>
      <c r="K475" s="731"/>
      <c r="L475" s="734"/>
      <c r="M475" s="731"/>
      <c r="N475" s="731"/>
      <c r="O475" s="730"/>
      <c r="P475" s="736">
        <v>54.0</v>
      </c>
      <c r="Q475" s="736">
        <v>56.0</v>
      </c>
      <c r="R475" s="766">
        <f>R474/60</f>
        <v>3.966666667</v>
      </c>
      <c r="S475" s="731"/>
      <c r="T475" s="731"/>
      <c r="U475" s="734"/>
      <c r="V475" s="731"/>
      <c r="W475" s="731"/>
      <c r="X475" s="734"/>
      <c r="Y475" s="731"/>
      <c r="Z475" s="731"/>
    </row>
    <row r="476">
      <c r="C476" s="734"/>
      <c r="D476" s="731"/>
      <c r="E476" s="731"/>
      <c r="F476" s="734"/>
      <c r="G476" s="731"/>
      <c r="H476" s="731"/>
      <c r="I476" s="734"/>
      <c r="J476" s="731"/>
      <c r="K476" s="731"/>
      <c r="L476" s="734"/>
      <c r="M476" s="736" t="s">
        <v>449</v>
      </c>
      <c r="N476" s="736">
        <v>2.0</v>
      </c>
      <c r="O476" s="730"/>
      <c r="P476" s="736">
        <v>2.0</v>
      </c>
      <c r="Q476" s="736">
        <v>47.0</v>
      </c>
      <c r="R476" s="766">
        <f>-P476*60-Q476+P477*60+Q477</f>
        <v>118</v>
      </c>
      <c r="S476" s="731"/>
      <c r="T476" s="731"/>
      <c r="U476" s="734"/>
      <c r="V476" s="731"/>
      <c r="W476" s="731"/>
      <c r="X476" s="734"/>
      <c r="Y476" s="731"/>
      <c r="Z476" s="731"/>
    </row>
    <row r="477">
      <c r="C477" s="734"/>
      <c r="D477" s="731"/>
      <c r="E477" s="731"/>
      <c r="F477" s="734"/>
      <c r="G477" s="731"/>
      <c r="H477" s="731"/>
      <c r="I477" s="734"/>
      <c r="J477" s="731"/>
      <c r="K477" s="731"/>
      <c r="L477" s="734"/>
      <c r="M477" s="731"/>
      <c r="N477" s="736"/>
      <c r="O477" s="730"/>
      <c r="P477" s="736">
        <v>4.0</v>
      </c>
      <c r="Q477" s="736">
        <v>45.0</v>
      </c>
      <c r="R477" s="766">
        <f>R476/60</f>
        <v>1.966666667</v>
      </c>
      <c r="S477" s="731"/>
      <c r="T477" s="731"/>
      <c r="U477" s="734"/>
      <c r="V477" s="731"/>
      <c r="W477" s="731"/>
      <c r="X477" s="734"/>
      <c r="Y477" s="731"/>
      <c r="Z477" s="731"/>
    </row>
    <row r="478">
      <c r="C478" s="734"/>
      <c r="D478" s="731"/>
      <c r="E478" s="731"/>
      <c r="F478" s="734"/>
      <c r="G478" s="731"/>
      <c r="H478" s="731"/>
      <c r="I478" s="734"/>
      <c r="J478" s="731"/>
      <c r="K478" s="731"/>
      <c r="L478" s="734"/>
      <c r="M478" s="731"/>
      <c r="N478" s="736">
        <v>3.0</v>
      </c>
      <c r="O478" s="730"/>
      <c r="P478" s="736">
        <v>13.0</v>
      </c>
      <c r="Q478" s="736">
        <v>23.0</v>
      </c>
      <c r="R478" s="766">
        <f>-P478*60-Q478+P479*60+Q479</f>
        <v>136</v>
      </c>
      <c r="S478" s="731"/>
      <c r="T478" s="731"/>
      <c r="U478" s="734"/>
      <c r="V478" s="731"/>
      <c r="W478" s="731"/>
      <c r="X478" s="734"/>
      <c r="Y478" s="731"/>
      <c r="Z478" s="731"/>
    </row>
    <row r="479">
      <c r="C479" s="734"/>
      <c r="D479" s="731"/>
      <c r="E479" s="731"/>
      <c r="F479" s="734"/>
      <c r="G479" s="731"/>
      <c r="H479" s="731"/>
      <c r="I479" s="734"/>
      <c r="J479" s="731"/>
      <c r="K479" s="731"/>
      <c r="L479" s="734"/>
      <c r="M479" s="731"/>
      <c r="N479" s="731"/>
      <c r="O479" s="730"/>
      <c r="P479" s="736">
        <v>15.0</v>
      </c>
      <c r="Q479" s="736">
        <v>39.0</v>
      </c>
      <c r="R479" s="766">
        <f>R478/60</f>
        <v>2.266666667</v>
      </c>
      <c r="S479" s="731"/>
      <c r="T479" s="731"/>
      <c r="U479" s="734"/>
      <c r="V479" s="731"/>
      <c r="W479" s="731"/>
      <c r="X479" s="734"/>
      <c r="Y479" s="731"/>
      <c r="Z479" s="731"/>
    </row>
    <row r="480">
      <c r="C480" s="734"/>
      <c r="D480" s="731"/>
      <c r="E480" s="731"/>
      <c r="F480" s="734"/>
      <c r="G480" s="731"/>
      <c r="H480" s="731"/>
      <c r="I480" s="734"/>
      <c r="J480" s="731"/>
      <c r="K480" s="731"/>
      <c r="L480" s="734"/>
      <c r="M480" s="731"/>
      <c r="N480" s="736">
        <v>5.0</v>
      </c>
      <c r="O480" s="730"/>
      <c r="P480" s="736">
        <v>25.0</v>
      </c>
      <c r="Q480" s="736">
        <v>10.0</v>
      </c>
      <c r="R480" s="766">
        <f>-P480*60-Q480+P481*60+Q481</f>
        <v>153</v>
      </c>
      <c r="S480" s="731"/>
      <c r="T480" s="731"/>
      <c r="U480" s="734"/>
      <c r="V480" s="731"/>
      <c r="W480" s="731"/>
      <c r="X480" s="734"/>
      <c r="Y480" s="731"/>
      <c r="Z480" s="731"/>
    </row>
    <row r="481">
      <c r="C481" s="734"/>
      <c r="D481" s="731"/>
      <c r="E481" s="731"/>
      <c r="F481" s="734"/>
      <c r="G481" s="731"/>
      <c r="H481" s="731"/>
      <c r="I481" s="734"/>
      <c r="J481" s="731"/>
      <c r="K481" s="731"/>
      <c r="L481" s="734"/>
      <c r="M481" s="731"/>
      <c r="N481" s="731"/>
      <c r="O481" s="730"/>
      <c r="P481" s="736">
        <v>27.0</v>
      </c>
      <c r="Q481" s="736">
        <v>43.0</v>
      </c>
      <c r="R481" s="766">
        <f>R480/60</f>
        <v>2.55</v>
      </c>
      <c r="S481" s="731"/>
      <c r="T481" s="731"/>
      <c r="U481" s="734"/>
      <c r="V481" s="731"/>
      <c r="W481" s="731"/>
      <c r="X481" s="734"/>
      <c r="Y481" s="731"/>
      <c r="Z481" s="731"/>
    </row>
    <row r="482">
      <c r="C482" s="734"/>
      <c r="D482" s="731"/>
      <c r="E482" s="731"/>
      <c r="F482" s="734"/>
      <c r="G482" s="731"/>
      <c r="H482" s="731"/>
      <c r="I482" s="734"/>
      <c r="J482" s="731"/>
      <c r="K482" s="731"/>
      <c r="L482" s="734"/>
      <c r="M482" s="736" t="s">
        <v>450</v>
      </c>
      <c r="N482" s="736">
        <v>3.0</v>
      </c>
      <c r="O482" s="730"/>
      <c r="P482" s="736">
        <v>39.0</v>
      </c>
      <c r="Q482" s="736">
        <v>1.0</v>
      </c>
      <c r="R482" s="766">
        <f>-P482*60-Q482+P483*60+Q483</f>
        <v>136</v>
      </c>
      <c r="S482" s="731"/>
      <c r="T482" s="731"/>
      <c r="U482" s="734"/>
      <c r="V482" s="731"/>
      <c r="W482" s="731"/>
      <c r="X482" s="734"/>
      <c r="Y482" s="731"/>
      <c r="Z482" s="731"/>
    </row>
    <row r="483">
      <c r="C483" s="734"/>
      <c r="D483" s="731"/>
      <c r="E483" s="731"/>
      <c r="F483" s="734"/>
      <c r="G483" s="731"/>
      <c r="H483" s="731"/>
      <c r="I483" s="734"/>
      <c r="J483" s="731"/>
      <c r="K483" s="731"/>
      <c r="L483" s="734"/>
      <c r="M483" s="731"/>
      <c r="N483" s="731"/>
      <c r="O483" s="730"/>
      <c r="P483" s="736">
        <v>41.0</v>
      </c>
      <c r="Q483" s="736">
        <v>17.0</v>
      </c>
      <c r="R483" s="766">
        <f>R482/60</f>
        <v>2.266666667</v>
      </c>
      <c r="S483" s="731"/>
      <c r="T483" s="731"/>
      <c r="U483" s="734"/>
      <c r="V483" s="731"/>
      <c r="W483" s="731"/>
      <c r="X483" s="734"/>
      <c r="Y483" s="731"/>
      <c r="Z483" s="731"/>
    </row>
    <row r="484">
      <c r="C484" s="734"/>
      <c r="D484" s="731"/>
      <c r="E484" s="731"/>
      <c r="F484" s="734"/>
      <c r="G484" s="731"/>
      <c r="H484" s="731"/>
      <c r="I484" s="734"/>
      <c r="J484" s="731"/>
      <c r="K484" s="731"/>
      <c r="L484" s="734"/>
      <c r="M484" s="736" t="s">
        <v>411</v>
      </c>
      <c r="N484" s="736">
        <v>2.0</v>
      </c>
      <c r="O484" s="730"/>
      <c r="P484" s="736">
        <v>50.0</v>
      </c>
      <c r="Q484" s="736">
        <v>6.0</v>
      </c>
      <c r="R484" s="766">
        <f>-P484*60-Q484+P485*60+Q485</f>
        <v>136</v>
      </c>
      <c r="S484" s="731"/>
      <c r="T484" s="731"/>
      <c r="U484" s="734"/>
      <c r="V484" s="731"/>
      <c r="W484" s="731"/>
      <c r="X484" s="734"/>
      <c r="Y484" s="731"/>
      <c r="Z484" s="731"/>
    </row>
    <row r="485">
      <c r="C485" s="734"/>
      <c r="D485" s="731"/>
      <c r="E485" s="731"/>
      <c r="F485" s="734"/>
      <c r="G485" s="731"/>
      <c r="H485" s="731"/>
      <c r="I485" s="734"/>
      <c r="J485" s="731"/>
      <c r="K485" s="731"/>
      <c r="L485" s="734"/>
      <c r="M485" s="731"/>
      <c r="N485" s="731"/>
      <c r="O485" s="730"/>
      <c r="P485" s="736">
        <v>52.0</v>
      </c>
      <c r="Q485" s="736">
        <v>22.0</v>
      </c>
      <c r="R485" s="766">
        <f>R484/60</f>
        <v>2.266666667</v>
      </c>
      <c r="S485" s="731"/>
      <c r="T485" s="731"/>
      <c r="U485" s="734"/>
      <c r="V485" s="731"/>
      <c r="W485" s="731"/>
      <c r="X485" s="734"/>
      <c r="Y485" s="731"/>
      <c r="Z485" s="731"/>
    </row>
    <row r="486">
      <c r="C486" s="734"/>
      <c r="D486" s="731"/>
      <c r="E486" s="731"/>
      <c r="F486" s="734"/>
      <c r="G486" s="731"/>
      <c r="H486" s="731"/>
      <c r="I486" s="734"/>
      <c r="J486" s="731"/>
      <c r="K486" s="731"/>
      <c r="L486" s="734"/>
      <c r="M486" s="731"/>
      <c r="N486" s="736">
        <v>3.0</v>
      </c>
      <c r="O486" s="730"/>
      <c r="P486" s="736">
        <v>1.0</v>
      </c>
      <c r="Q486" s="736">
        <v>24.0</v>
      </c>
      <c r="R486" s="766">
        <f>-P486*60-Q486+P487*60+Q487</f>
        <v>156</v>
      </c>
      <c r="S486" s="731"/>
      <c r="T486" s="731"/>
      <c r="U486" s="734"/>
      <c r="V486" s="731"/>
      <c r="W486" s="731"/>
      <c r="X486" s="734"/>
      <c r="Y486" s="731"/>
      <c r="Z486" s="731"/>
    </row>
    <row r="487">
      <c r="C487" s="734"/>
      <c r="D487" s="731"/>
      <c r="E487" s="731"/>
      <c r="F487" s="734"/>
      <c r="G487" s="731"/>
      <c r="H487" s="731"/>
      <c r="I487" s="734"/>
      <c r="J487" s="731"/>
      <c r="K487" s="731"/>
      <c r="L487" s="734"/>
      <c r="M487" s="731"/>
      <c r="N487" s="731"/>
      <c r="O487" s="730"/>
      <c r="P487" s="736">
        <v>4.0</v>
      </c>
      <c r="Q487" s="731"/>
      <c r="R487" s="766">
        <f>R486/60</f>
        <v>2.6</v>
      </c>
      <c r="S487" s="731"/>
      <c r="T487" s="731"/>
      <c r="U487" s="734"/>
      <c r="V487" s="731"/>
      <c r="W487" s="731"/>
      <c r="X487" s="734"/>
      <c r="Y487" s="731"/>
      <c r="Z487" s="731"/>
    </row>
    <row r="488">
      <c r="C488" s="734"/>
      <c r="D488" s="731"/>
      <c r="E488" s="731"/>
      <c r="F488" s="734"/>
      <c r="G488" s="731"/>
      <c r="H488" s="731"/>
      <c r="I488" s="734"/>
      <c r="J488" s="731"/>
      <c r="K488" s="731"/>
      <c r="L488" s="734"/>
      <c r="M488" s="736" t="s">
        <v>412</v>
      </c>
      <c r="N488" s="736">
        <v>2.0</v>
      </c>
      <c r="O488" s="730"/>
      <c r="P488" s="736">
        <v>15.0</v>
      </c>
      <c r="Q488" s="736">
        <v>35.0</v>
      </c>
      <c r="R488" s="766">
        <f>-P488*60-Q488+P489*60+Q489</f>
        <v>118</v>
      </c>
      <c r="S488" s="731"/>
      <c r="T488" s="731"/>
      <c r="U488" s="734"/>
      <c r="V488" s="731"/>
      <c r="W488" s="731"/>
      <c r="X488" s="734"/>
      <c r="Y488" s="731"/>
      <c r="Z488" s="731"/>
    </row>
    <row r="489">
      <c r="C489" s="734"/>
      <c r="D489" s="731"/>
      <c r="E489" s="731"/>
      <c r="F489" s="734"/>
      <c r="G489" s="731"/>
      <c r="H489" s="731"/>
      <c r="I489" s="734"/>
      <c r="J489" s="731"/>
      <c r="K489" s="731"/>
      <c r="L489" s="734"/>
      <c r="M489" s="731"/>
      <c r="N489" s="731"/>
      <c r="O489" s="730"/>
      <c r="P489" s="736">
        <v>17.0</v>
      </c>
      <c r="Q489" s="736">
        <v>33.0</v>
      </c>
      <c r="R489" s="766">
        <f>R488/60</f>
        <v>1.966666667</v>
      </c>
      <c r="S489" s="731"/>
      <c r="T489" s="731"/>
      <c r="U489" s="734"/>
      <c r="V489" s="731"/>
      <c r="W489" s="731"/>
      <c r="X489" s="734"/>
      <c r="Y489" s="731"/>
      <c r="Z489" s="731"/>
    </row>
    <row r="490">
      <c r="C490" s="734"/>
      <c r="D490" s="731"/>
      <c r="E490" s="731"/>
      <c r="F490" s="734"/>
      <c r="G490" s="731"/>
      <c r="H490" s="731"/>
      <c r="I490" s="734"/>
      <c r="J490" s="731"/>
      <c r="K490" s="731"/>
      <c r="L490" s="734"/>
      <c r="M490" s="731"/>
      <c r="N490" s="736">
        <v>3.0</v>
      </c>
      <c r="O490" s="730"/>
      <c r="P490" s="736">
        <v>27.0</v>
      </c>
      <c r="Q490" s="736">
        <v>28.0</v>
      </c>
      <c r="R490" s="766">
        <f>-P490*60-Q490+P491*60+Q491</f>
        <v>136</v>
      </c>
      <c r="S490" s="731"/>
      <c r="T490" s="731"/>
      <c r="U490" s="734"/>
      <c r="V490" s="731"/>
      <c r="W490" s="731"/>
      <c r="X490" s="734"/>
      <c r="Y490" s="731"/>
      <c r="Z490" s="731"/>
    </row>
    <row r="491">
      <c r="C491" s="734"/>
      <c r="D491" s="731"/>
      <c r="E491" s="731"/>
      <c r="F491" s="734"/>
      <c r="G491" s="731"/>
      <c r="H491" s="731"/>
      <c r="I491" s="734"/>
      <c r="J491" s="731"/>
      <c r="K491" s="731"/>
      <c r="L491" s="734"/>
      <c r="M491" s="731"/>
      <c r="N491" s="731"/>
      <c r="O491" s="745"/>
      <c r="P491" s="736">
        <v>29.0</v>
      </c>
      <c r="Q491" s="736">
        <v>44.0</v>
      </c>
      <c r="R491" s="766">
        <f>R490/60</f>
        <v>2.266666667</v>
      </c>
      <c r="S491" s="731"/>
      <c r="T491" s="731"/>
      <c r="U491" s="734"/>
      <c r="V491" s="731"/>
      <c r="W491" s="731"/>
      <c r="X491" s="734"/>
      <c r="Y491" s="731"/>
      <c r="Z491" s="731"/>
    </row>
    <row r="492">
      <c r="C492" s="734"/>
      <c r="D492" s="731"/>
      <c r="E492" s="731"/>
      <c r="F492" s="734"/>
      <c r="G492" s="731"/>
      <c r="H492" s="731"/>
      <c r="I492" s="734"/>
      <c r="J492" s="731"/>
      <c r="K492" s="731"/>
      <c r="L492" s="734"/>
      <c r="M492" s="731"/>
      <c r="N492" s="736">
        <v>5.0</v>
      </c>
      <c r="O492" s="730"/>
      <c r="P492" s="731"/>
      <c r="Q492" s="731"/>
      <c r="R492" s="766">
        <f>-P492*60-Q492+P493*60+Q493</f>
        <v>0</v>
      </c>
      <c r="S492" s="731"/>
      <c r="T492" s="731"/>
      <c r="U492" s="734"/>
      <c r="V492" s="731"/>
      <c r="W492" s="731"/>
      <c r="X492" s="734"/>
      <c r="Y492" s="731"/>
      <c r="Z492" s="731"/>
    </row>
    <row r="493">
      <c r="C493" s="734"/>
      <c r="D493" s="731"/>
      <c r="E493" s="731"/>
      <c r="F493" s="734"/>
      <c r="G493" s="731"/>
      <c r="H493" s="731"/>
      <c r="I493" s="734"/>
      <c r="J493" s="731"/>
      <c r="K493" s="731"/>
      <c r="L493" s="734"/>
      <c r="M493" s="731"/>
      <c r="N493" s="731"/>
      <c r="O493" s="730"/>
      <c r="P493" s="731"/>
      <c r="Q493" s="731"/>
      <c r="R493" s="766">
        <f>R492/60</f>
        <v>0</v>
      </c>
      <c r="S493" s="731"/>
      <c r="T493" s="731"/>
      <c r="U493" s="734"/>
      <c r="V493" s="731"/>
      <c r="W493" s="731"/>
      <c r="X493" s="734"/>
      <c r="Y493" s="731"/>
      <c r="Z493" s="731"/>
    </row>
    <row r="494">
      <c r="C494" s="734"/>
      <c r="D494" s="731"/>
      <c r="E494" s="731"/>
      <c r="F494" s="734"/>
      <c r="G494" s="731"/>
      <c r="H494" s="731"/>
      <c r="I494" s="734"/>
      <c r="J494" s="731"/>
      <c r="K494" s="731"/>
      <c r="L494" s="734"/>
      <c r="M494" s="736" t="s">
        <v>413</v>
      </c>
      <c r="N494" s="736">
        <v>2.0</v>
      </c>
      <c r="O494" s="730"/>
      <c r="P494" s="736">
        <v>52.0</v>
      </c>
      <c r="Q494" s="736">
        <v>50.0</v>
      </c>
      <c r="R494" s="766">
        <f>-P494*60-Q494+P495*60+Q495</f>
        <v>118</v>
      </c>
      <c r="S494" s="731"/>
      <c r="T494" s="731"/>
      <c r="U494" s="734"/>
      <c r="V494" s="731"/>
      <c r="W494" s="731"/>
      <c r="X494" s="734"/>
      <c r="Y494" s="731"/>
      <c r="Z494" s="731"/>
    </row>
    <row r="495">
      <c r="C495" s="734"/>
      <c r="D495" s="731"/>
      <c r="E495" s="731"/>
      <c r="F495" s="734"/>
      <c r="G495" s="731"/>
      <c r="H495" s="731"/>
      <c r="I495" s="734"/>
      <c r="J495" s="731"/>
      <c r="K495" s="731"/>
      <c r="L495" s="734"/>
      <c r="M495" s="731"/>
      <c r="N495" s="731"/>
      <c r="O495" s="730"/>
      <c r="P495" s="736">
        <v>54.0</v>
      </c>
      <c r="Q495" s="736">
        <v>48.0</v>
      </c>
      <c r="R495" s="766">
        <f>R494/60</f>
        <v>1.966666667</v>
      </c>
      <c r="S495" s="731"/>
      <c r="T495" s="731"/>
      <c r="U495" s="734"/>
      <c r="V495" s="731"/>
      <c r="W495" s="731"/>
      <c r="X495" s="734"/>
      <c r="Y495" s="731"/>
      <c r="Z495" s="731"/>
    </row>
    <row r="496">
      <c r="C496" s="734"/>
      <c r="D496" s="731"/>
      <c r="E496" s="731"/>
      <c r="F496" s="734"/>
      <c r="G496" s="731"/>
      <c r="H496" s="731"/>
      <c r="I496" s="734"/>
      <c r="J496" s="731"/>
      <c r="K496" s="731"/>
      <c r="L496" s="734"/>
      <c r="M496" s="731"/>
      <c r="N496" s="736">
        <v>3.0</v>
      </c>
      <c r="O496" s="730"/>
      <c r="P496" s="736"/>
      <c r="Q496" s="736"/>
      <c r="R496" s="766">
        <f>-P496*60-Q496+P497*60+Q497</f>
        <v>0</v>
      </c>
      <c r="S496" s="731"/>
      <c r="T496" s="731"/>
      <c r="U496" s="734"/>
      <c r="V496" s="731"/>
      <c r="W496" s="731"/>
      <c r="X496" s="734"/>
      <c r="Y496" s="731"/>
      <c r="Z496" s="731"/>
    </row>
    <row r="497">
      <c r="C497" s="734"/>
      <c r="D497" s="731"/>
      <c r="E497" s="731"/>
      <c r="F497" s="734"/>
      <c r="G497" s="731"/>
      <c r="H497" s="731"/>
      <c r="I497" s="734"/>
      <c r="J497" s="731"/>
      <c r="K497" s="731"/>
      <c r="L497" s="734"/>
      <c r="M497" s="731"/>
      <c r="N497" s="731"/>
      <c r="O497" s="730"/>
      <c r="P497" s="731"/>
      <c r="Q497" s="731"/>
      <c r="R497" s="766">
        <f>R496/60</f>
        <v>0</v>
      </c>
      <c r="S497" s="731"/>
      <c r="T497" s="731"/>
      <c r="U497" s="734"/>
      <c r="V497" s="731"/>
      <c r="W497" s="731"/>
      <c r="X497" s="734"/>
      <c r="Y497" s="731"/>
      <c r="Z497" s="731"/>
    </row>
    <row r="498">
      <c r="C498" s="734"/>
      <c r="D498" s="731"/>
      <c r="E498" s="731"/>
      <c r="F498" s="734"/>
      <c r="G498" s="731"/>
      <c r="H498" s="731"/>
      <c r="I498" s="734"/>
      <c r="J498" s="731"/>
      <c r="K498" s="731"/>
      <c r="L498" s="734"/>
      <c r="M498" s="736">
        <v>556.0</v>
      </c>
      <c r="N498" s="736">
        <v>2.0</v>
      </c>
      <c r="O498" s="730"/>
      <c r="P498" s="736">
        <v>22.0</v>
      </c>
      <c r="Q498" s="736">
        <v>0.0</v>
      </c>
      <c r="R498" s="766">
        <f>-P498*60-Q498+P499*60+Q499</f>
        <v>136</v>
      </c>
      <c r="S498" s="731"/>
      <c r="T498" s="731"/>
      <c r="U498" s="734"/>
      <c r="V498" s="731"/>
      <c r="W498" s="731"/>
      <c r="X498" s="734"/>
      <c r="Y498" s="731"/>
      <c r="Z498" s="731"/>
    </row>
    <row r="499">
      <c r="C499" s="734"/>
      <c r="D499" s="731"/>
      <c r="E499" s="731"/>
      <c r="F499" s="734"/>
      <c r="G499" s="731"/>
      <c r="H499" s="731"/>
      <c r="I499" s="734"/>
      <c r="J499" s="731"/>
      <c r="K499" s="731"/>
      <c r="L499" s="734"/>
      <c r="M499" s="731"/>
      <c r="N499" s="731"/>
      <c r="O499" s="730"/>
      <c r="P499" s="736">
        <v>24.0</v>
      </c>
      <c r="Q499" s="736">
        <v>16.0</v>
      </c>
      <c r="R499" s="766">
        <f>R498/60</f>
        <v>2.266666667</v>
      </c>
      <c r="S499" s="731"/>
      <c r="T499" s="731"/>
      <c r="U499" s="734"/>
      <c r="V499" s="731"/>
      <c r="W499" s="731"/>
      <c r="X499" s="734"/>
      <c r="Y499" s="731"/>
      <c r="Z499" s="731"/>
    </row>
    <row r="500">
      <c r="C500" s="734"/>
      <c r="D500" s="731"/>
      <c r="E500" s="731"/>
      <c r="F500" s="734"/>
      <c r="G500" s="731"/>
      <c r="H500" s="731"/>
      <c r="I500" s="734"/>
      <c r="J500" s="731"/>
      <c r="K500" s="731"/>
      <c r="L500" s="734"/>
      <c r="M500" s="731"/>
      <c r="N500" s="736">
        <v>3.0</v>
      </c>
      <c r="O500" s="730"/>
      <c r="P500" s="736">
        <v>32.0</v>
      </c>
      <c r="Q500" s="736">
        <v>33.0</v>
      </c>
      <c r="R500" s="766">
        <f>-P500*60-Q500+P501*60+Q501</f>
        <v>156</v>
      </c>
      <c r="S500" s="731"/>
      <c r="T500" s="731"/>
      <c r="U500" s="734"/>
      <c r="V500" s="731"/>
      <c r="W500" s="731"/>
      <c r="X500" s="734"/>
      <c r="Y500" s="731"/>
      <c r="Z500" s="731"/>
    </row>
    <row r="501">
      <c r="C501" s="734"/>
      <c r="D501" s="731"/>
      <c r="E501" s="731"/>
      <c r="F501" s="734"/>
      <c r="G501" s="731"/>
      <c r="H501" s="731"/>
      <c r="I501" s="734"/>
      <c r="J501" s="731"/>
      <c r="K501" s="731"/>
      <c r="L501" s="734"/>
      <c r="M501" s="731"/>
      <c r="N501" s="731"/>
      <c r="O501" s="730"/>
      <c r="P501" s="736">
        <v>35.0</v>
      </c>
      <c r="Q501" s="736">
        <v>9.0</v>
      </c>
      <c r="R501" s="766">
        <f>R500/60</f>
        <v>2.6</v>
      </c>
      <c r="S501" s="731"/>
      <c r="T501" s="731"/>
      <c r="U501" s="734"/>
      <c r="V501" s="731"/>
      <c r="W501" s="731"/>
      <c r="X501" s="734"/>
      <c r="Y501" s="731"/>
      <c r="Z501" s="731"/>
    </row>
    <row r="502">
      <c r="C502" s="734"/>
      <c r="D502" s="731"/>
      <c r="E502" s="731"/>
      <c r="F502" s="734"/>
      <c r="G502" s="731"/>
      <c r="H502" s="731"/>
      <c r="I502" s="734"/>
      <c r="J502" s="731"/>
      <c r="K502" s="731"/>
      <c r="L502" s="734"/>
      <c r="M502" s="736"/>
      <c r="N502" s="736">
        <v>5.0</v>
      </c>
      <c r="O502" s="730"/>
      <c r="P502" s="736">
        <v>44.0</v>
      </c>
      <c r="Q502" s="736">
        <v>33.0</v>
      </c>
      <c r="R502" s="766">
        <f>-P502*60-Q502+P503*60+Q503</f>
        <v>177</v>
      </c>
      <c r="S502" s="731"/>
      <c r="T502" s="731"/>
      <c r="U502" s="734"/>
      <c r="V502" s="731"/>
      <c r="W502" s="731"/>
      <c r="X502" s="734"/>
      <c r="Y502" s="731"/>
      <c r="Z502" s="731"/>
    </row>
    <row r="503">
      <c r="C503" s="734"/>
      <c r="D503" s="731"/>
      <c r="E503" s="731"/>
      <c r="F503" s="734"/>
      <c r="G503" s="731"/>
      <c r="H503" s="731"/>
      <c r="I503" s="734"/>
      <c r="J503" s="731"/>
      <c r="K503" s="731"/>
      <c r="L503" s="734"/>
      <c r="M503" s="731"/>
      <c r="N503" s="731"/>
      <c r="O503" s="730"/>
      <c r="P503" s="736">
        <v>47.0</v>
      </c>
      <c r="Q503" s="736">
        <v>30.0</v>
      </c>
      <c r="R503" s="766">
        <f>R502/60</f>
        <v>2.95</v>
      </c>
      <c r="S503" s="731"/>
      <c r="T503" s="731"/>
      <c r="U503" s="734"/>
      <c r="V503" s="731"/>
      <c r="W503" s="731"/>
      <c r="X503" s="734"/>
      <c r="Y503" s="731"/>
      <c r="Z503" s="731"/>
    </row>
    <row r="504">
      <c r="C504" s="734"/>
      <c r="D504" s="731"/>
      <c r="E504" s="731"/>
      <c r="F504" s="734"/>
      <c r="G504" s="731"/>
      <c r="H504" s="731"/>
      <c r="I504" s="734"/>
      <c r="J504" s="731"/>
      <c r="K504" s="731"/>
      <c r="L504" s="734"/>
      <c r="M504" s="736" t="s">
        <v>169</v>
      </c>
      <c r="N504" s="736">
        <v>2.0</v>
      </c>
      <c r="O504" s="730"/>
      <c r="P504" s="736">
        <v>8.0</v>
      </c>
      <c r="Q504" s="736">
        <v>24.0</v>
      </c>
      <c r="R504" s="766">
        <f>-P504*60-Q504+P505*60+Q505</f>
        <v>118</v>
      </c>
      <c r="S504" s="731"/>
      <c r="T504" s="731"/>
      <c r="U504" s="734"/>
      <c r="V504" s="731"/>
      <c r="W504" s="731"/>
      <c r="X504" s="734"/>
      <c r="Y504" s="731"/>
      <c r="Z504" s="731"/>
    </row>
    <row r="505">
      <c r="C505" s="734"/>
      <c r="D505" s="731"/>
      <c r="E505" s="731"/>
      <c r="F505" s="734"/>
      <c r="G505" s="731"/>
      <c r="H505" s="731"/>
      <c r="I505" s="734"/>
      <c r="J505" s="731"/>
      <c r="K505" s="731"/>
      <c r="L505" s="734"/>
      <c r="M505" s="731"/>
      <c r="N505" s="731"/>
      <c r="O505" s="730"/>
      <c r="P505" s="736">
        <v>10.0</v>
      </c>
      <c r="Q505" s="736">
        <v>22.0</v>
      </c>
      <c r="R505" s="766">
        <f>R504/60</f>
        <v>1.966666667</v>
      </c>
      <c r="S505" s="731"/>
      <c r="T505" s="731"/>
      <c r="U505" s="734"/>
      <c r="V505" s="731"/>
      <c r="W505" s="731"/>
      <c r="X505" s="734"/>
      <c r="Y505" s="731"/>
      <c r="Z505" s="731"/>
    </row>
    <row r="506">
      <c r="C506" s="734"/>
      <c r="D506" s="731"/>
      <c r="E506" s="731"/>
      <c r="F506" s="734"/>
      <c r="G506" s="731"/>
      <c r="H506" s="731"/>
      <c r="I506" s="734"/>
      <c r="J506" s="731"/>
      <c r="K506" s="731"/>
      <c r="L506" s="734"/>
      <c r="M506" s="736"/>
      <c r="N506" s="736">
        <v>3.0</v>
      </c>
      <c r="O506" s="730"/>
      <c r="P506" s="736"/>
      <c r="Q506" s="736"/>
      <c r="R506" s="766">
        <f>-P506*60-Q506+P507*60+Q507</f>
        <v>0</v>
      </c>
      <c r="S506" s="731"/>
      <c r="T506" s="731"/>
      <c r="U506" s="734"/>
      <c r="V506" s="731"/>
      <c r="W506" s="731"/>
      <c r="X506" s="734"/>
      <c r="Y506" s="731"/>
      <c r="Z506" s="731"/>
    </row>
    <row r="507">
      <c r="C507" s="734"/>
      <c r="D507" s="731"/>
      <c r="E507" s="731"/>
      <c r="F507" s="734"/>
      <c r="G507" s="731"/>
      <c r="H507" s="731"/>
      <c r="I507" s="734"/>
      <c r="J507" s="731"/>
      <c r="K507" s="731"/>
      <c r="L507" s="734"/>
      <c r="M507" s="731"/>
      <c r="N507" s="731"/>
      <c r="O507" s="730"/>
      <c r="P507" s="736"/>
      <c r="Q507" s="736"/>
      <c r="R507" s="766">
        <f>R506/60</f>
        <v>0</v>
      </c>
      <c r="S507" s="731"/>
      <c r="T507" s="731"/>
      <c r="U507" s="734"/>
      <c r="V507" s="731"/>
      <c r="W507" s="731"/>
      <c r="X507" s="734"/>
      <c r="Y507" s="731"/>
      <c r="Z507" s="731"/>
    </row>
    <row r="508">
      <c r="C508" s="734"/>
      <c r="D508" s="731"/>
      <c r="E508" s="731"/>
      <c r="F508" s="734"/>
      <c r="G508" s="731"/>
      <c r="H508" s="731"/>
      <c r="I508" s="734"/>
      <c r="J508" s="731"/>
      <c r="K508" s="731"/>
      <c r="L508" s="734"/>
      <c r="M508" s="736" t="s">
        <v>414</v>
      </c>
      <c r="N508" s="736">
        <v>2.0</v>
      </c>
      <c r="O508" s="730"/>
      <c r="P508" s="736">
        <v>35.0</v>
      </c>
      <c r="Q508" s="736">
        <v>3.0</v>
      </c>
      <c r="R508" s="766">
        <f>-P508*60-Q508+P509*60+Q509</f>
        <v>118</v>
      </c>
      <c r="S508" s="731"/>
      <c r="T508" s="731"/>
      <c r="U508" s="734"/>
      <c r="V508" s="731"/>
      <c r="W508" s="731"/>
      <c r="X508" s="734"/>
      <c r="Y508" s="731"/>
      <c r="Z508" s="731"/>
    </row>
    <row r="509">
      <c r="C509" s="734"/>
      <c r="D509" s="731"/>
      <c r="E509" s="731"/>
      <c r="F509" s="734"/>
      <c r="G509" s="731"/>
      <c r="H509" s="731"/>
      <c r="I509" s="734"/>
      <c r="J509" s="731"/>
      <c r="K509" s="731"/>
      <c r="L509" s="734"/>
      <c r="M509" s="731"/>
      <c r="N509" s="731"/>
      <c r="O509" s="730"/>
      <c r="P509" s="736">
        <v>37.0</v>
      </c>
      <c r="Q509" s="736">
        <v>1.0</v>
      </c>
      <c r="R509" s="766">
        <f>R508/60</f>
        <v>1.966666667</v>
      </c>
      <c r="S509" s="731"/>
      <c r="T509" s="731"/>
      <c r="U509" s="734"/>
      <c r="V509" s="731"/>
      <c r="W509" s="731"/>
      <c r="X509" s="734"/>
      <c r="Y509" s="731"/>
      <c r="Z509" s="731"/>
    </row>
    <row r="510">
      <c r="C510" s="734"/>
      <c r="D510" s="731"/>
      <c r="E510" s="731"/>
      <c r="F510" s="734"/>
      <c r="G510" s="731"/>
      <c r="H510" s="731"/>
      <c r="I510" s="734"/>
      <c r="J510" s="731"/>
      <c r="K510" s="731"/>
      <c r="L510" s="734"/>
      <c r="M510" s="731"/>
      <c r="N510" s="736">
        <v>3.0</v>
      </c>
      <c r="O510" s="730"/>
      <c r="P510" s="731"/>
      <c r="Q510" s="731"/>
      <c r="R510" s="766">
        <f>-P510*60-Q510+P511*60+Q511</f>
        <v>0</v>
      </c>
      <c r="S510" s="731"/>
      <c r="T510" s="731"/>
      <c r="U510" s="734"/>
      <c r="V510" s="731"/>
      <c r="W510" s="731"/>
      <c r="X510" s="734"/>
      <c r="Y510" s="731"/>
      <c r="Z510" s="731"/>
    </row>
    <row r="511">
      <c r="C511" s="734"/>
      <c r="D511" s="731"/>
      <c r="E511" s="731"/>
      <c r="F511" s="734"/>
      <c r="G511" s="731"/>
      <c r="H511" s="731"/>
      <c r="I511" s="734"/>
      <c r="J511" s="731"/>
      <c r="K511" s="731"/>
      <c r="L511" s="734"/>
      <c r="M511" s="731"/>
      <c r="N511" s="731"/>
      <c r="O511" s="730"/>
      <c r="P511" s="731"/>
      <c r="Q511" s="731"/>
      <c r="R511" s="766">
        <f>R510/60</f>
        <v>0</v>
      </c>
      <c r="S511" s="731"/>
      <c r="T511" s="731"/>
      <c r="U511" s="734"/>
      <c r="V511" s="731"/>
      <c r="W511" s="731"/>
      <c r="X511" s="734"/>
      <c r="Y511" s="731"/>
      <c r="Z511" s="731"/>
    </row>
    <row r="512">
      <c r="C512" s="734"/>
      <c r="D512" s="731"/>
      <c r="E512" s="731"/>
      <c r="F512" s="734"/>
      <c r="G512" s="731"/>
      <c r="H512" s="731"/>
      <c r="I512" s="734"/>
      <c r="J512" s="731"/>
      <c r="K512" s="731"/>
      <c r="L512" s="734"/>
      <c r="M512" s="731"/>
      <c r="N512" s="736">
        <v>5.0</v>
      </c>
      <c r="O512" s="730"/>
      <c r="P512" s="731"/>
      <c r="Q512" s="731"/>
      <c r="R512" s="766">
        <f>-P512*60-Q512+P513*60+Q513</f>
        <v>0</v>
      </c>
      <c r="S512" s="731"/>
      <c r="T512" s="731"/>
      <c r="U512" s="734"/>
      <c r="V512" s="731"/>
      <c r="W512" s="731"/>
      <c r="X512" s="734"/>
      <c r="Y512" s="731"/>
      <c r="Z512" s="731"/>
    </row>
    <row r="513">
      <c r="C513" s="734"/>
      <c r="D513" s="731"/>
      <c r="E513" s="731"/>
      <c r="F513" s="734"/>
      <c r="G513" s="731"/>
      <c r="H513" s="731"/>
      <c r="I513" s="734"/>
      <c r="J513" s="731"/>
      <c r="K513" s="731"/>
      <c r="L513" s="734"/>
      <c r="M513" s="731"/>
      <c r="N513" s="731"/>
      <c r="O513" s="730"/>
      <c r="P513" s="731"/>
      <c r="Q513" s="731"/>
      <c r="R513" s="766">
        <f>R512/60</f>
        <v>0</v>
      </c>
      <c r="S513" s="731"/>
      <c r="T513" s="731"/>
      <c r="U513" s="734"/>
      <c r="V513" s="731"/>
      <c r="W513" s="731"/>
      <c r="X513" s="734"/>
      <c r="Y513" s="731"/>
      <c r="Z513" s="731"/>
    </row>
    <row r="514">
      <c r="C514" s="734"/>
      <c r="D514" s="731"/>
      <c r="E514" s="731"/>
      <c r="F514" s="734"/>
      <c r="G514" s="731"/>
      <c r="H514" s="731"/>
      <c r="I514" s="734"/>
      <c r="J514" s="731"/>
      <c r="K514" s="731"/>
      <c r="L514" s="734"/>
      <c r="M514" s="736" t="s">
        <v>128</v>
      </c>
      <c r="N514" s="736">
        <v>2.0</v>
      </c>
      <c r="O514" s="730"/>
      <c r="P514" s="736">
        <v>20.0</v>
      </c>
      <c r="Q514" s="736">
        <v>19.0</v>
      </c>
      <c r="R514" s="766">
        <f>-P514*60-Q514+P515*60+Q515</f>
        <v>118</v>
      </c>
      <c r="S514" s="731"/>
      <c r="T514" s="731"/>
      <c r="U514" s="734"/>
      <c r="V514" s="731"/>
      <c r="W514" s="731"/>
      <c r="X514" s="734"/>
      <c r="Y514" s="731"/>
      <c r="Z514" s="731"/>
    </row>
    <row r="515">
      <c r="C515" s="734"/>
      <c r="D515" s="731"/>
      <c r="E515" s="731"/>
      <c r="F515" s="734"/>
      <c r="G515" s="731"/>
      <c r="H515" s="731"/>
      <c r="I515" s="734"/>
      <c r="J515" s="731"/>
      <c r="K515" s="731"/>
      <c r="L515" s="734"/>
      <c r="M515" s="731"/>
      <c r="N515" s="731"/>
      <c r="O515" s="730"/>
      <c r="P515" s="736">
        <v>22.0</v>
      </c>
      <c r="Q515" s="736">
        <v>17.0</v>
      </c>
      <c r="R515" s="766">
        <f>R514/60</f>
        <v>1.966666667</v>
      </c>
      <c r="S515" s="731"/>
      <c r="T515" s="731"/>
      <c r="U515" s="734"/>
      <c r="V515" s="731"/>
      <c r="W515" s="731"/>
      <c r="X515" s="734"/>
      <c r="Y515" s="731"/>
      <c r="Z515" s="731"/>
    </row>
    <row r="516">
      <c r="C516" s="734"/>
      <c r="D516" s="731"/>
      <c r="E516" s="731"/>
      <c r="F516" s="734"/>
      <c r="G516" s="731"/>
      <c r="H516" s="731"/>
      <c r="I516" s="734"/>
      <c r="J516" s="731"/>
      <c r="K516" s="731"/>
      <c r="L516" s="734"/>
      <c r="M516" s="731"/>
      <c r="N516" s="736">
        <v>3.0</v>
      </c>
      <c r="O516" s="730"/>
      <c r="P516" s="736">
        <v>29.0</v>
      </c>
      <c r="Q516" s="736">
        <v>46.0</v>
      </c>
      <c r="R516" s="766">
        <f>-P516*60-Q516+P517*60+Q517</f>
        <v>136</v>
      </c>
      <c r="S516" s="731"/>
      <c r="T516" s="731"/>
      <c r="U516" s="734"/>
      <c r="V516" s="731"/>
      <c r="W516" s="731"/>
      <c r="X516" s="734"/>
      <c r="Y516" s="731"/>
      <c r="Z516" s="731"/>
    </row>
    <row r="517">
      <c r="C517" s="734"/>
      <c r="D517" s="731"/>
      <c r="E517" s="731"/>
      <c r="F517" s="734"/>
      <c r="G517" s="731"/>
      <c r="H517" s="731"/>
      <c r="I517" s="734"/>
      <c r="J517" s="731"/>
      <c r="K517" s="731"/>
      <c r="L517" s="734"/>
      <c r="M517" s="731"/>
      <c r="N517" s="731"/>
      <c r="O517" s="730"/>
      <c r="P517" s="736">
        <v>32.0</v>
      </c>
      <c r="Q517" s="736">
        <v>2.0</v>
      </c>
      <c r="R517" s="766">
        <f>R516/60</f>
        <v>2.266666667</v>
      </c>
      <c r="S517" s="731"/>
      <c r="T517" s="731"/>
      <c r="U517" s="734"/>
      <c r="V517" s="731"/>
      <c r="W517" s="731"/>
      <c r="X517" s="734"/>
      <c r="Y517" s="731"/>
      <c r="Z517" s="731"/>
    </row>
    <row r="518">
      <c r="C518" s="734"/>
      <c r="D518" s="731"/>
      <c r="E518" s="731"/>
      <c r="F518" s="734"/>
      <c r="G518" s="731"/>
      <c r="H518" s="731"/>
      <c r="I518" s="734"/>
      <c r="J518" s="731"/>
      <c r="K518" s="731"/>
      <c r="L518" s="734"/>
      <c r="M518" s="731"/>
      <c r="N518" s="736">
        <v>5.0</v>
      </c>
      <c r="O518" s="730"/>
      <c r="P518" s="731"/>
      <c r="Q518" s="731"/>
      <c r="R518" s="766">
        <f>-P518*60-Q518+P519*60+Q519</f>
        <v>0</v>
      </c>
      <c r="S518" s="731"/>
      <c r="T518" s="731"/>
      <c r="U518" s="734"/>
      <c r="V518" s="731"/>
      <c r="W518" s="731"/>
      <c r="X518" s="734"/>
      <c r="Y518" s="731"/>
      <c r="Z518" s="731"/>
    </row>
    <row r="519">
      <c r="C519" s="734"/>
      <c r="D519" s="731"/>
      <c r="E519" s="731"/>
      <c r="F519" s="734"/>
      <c r="G519" s="731"/>
      <c r="H519" s="731"/>
      <c r="I519" s="734"/>
      <c r="J519" s="731"/>
      <c r="K519" s="731"/>
      <c r="L519" s="734"/>
      <c r="M519" s="731"/>
      <c r="N519" s="731"/>
      <c r="O519" s="730"/>
      <c r="P519" s="731"/>
      <c r="Q519" s="731"/>
      <c r="R519" s="766">
        <f>R518/60</f>
        <v>0</v>
      </c>
      <c r="S519" s="731"/>
      <c r="T519" s="731"/>
      <c r="U519" s="734"/>
      <c r="V519" s="731"/>
      <c r="W519" s="731"/>
      <c r="X519" s="734"/>
      <c r="Y519" s="731"/>
      <c r="Z519" s="731"/>
    </row>
    <row r="520">
      <c r="C520" s="734"/>
      <c r="D520" s="731"/>
      <c r="E520" s="731"/>
      <c r="F520" s="734"/>
      <c r="G520" s="731"/>
      <c r="H520" s="731"/>
      <c r="I520" s="734"/>
      <c r="J520" s="731"/>
      <c r="K520" s="731"/>
      <c r="L520" s="734"/>
      <c r="M520" s="736" t="s">
        <v>415</v>
      </c>
      <c r="N520" s="736">
        <v>2.0</v>
      </c>
      <c r="O520" s="730"/>
      <c r="P520" s="736">
        <v>58.0</v>
      </c>
      <c r="Q520" s="736">
        <v>10.0</v>
      </c>
      <c r="R520" s="766">
        <f>-P520*60-Q520+P521*60+Q521</f>
        <v>136</v>
      </c>
      <c r="S520" s="731"/>
      <c r="T520" s="731"/>
      <c r="U520" s="734"/>
      <c r="V520" s="731"/>
      <c r="W520" s="731"/>
      <c r="X520" s="734"/>
      <c r="Y520" s="731"/>
      <c r="Z520" s="731"/>
    </row>
    <row r="521">
      <c r="C521" s="734"/>
      <c r="D521" s="731"/>
      <c r="E521" s="731"/>
      <c r="F521" s="734"/>
      <c r="G521" s="731"/>
      <c r="H521" s="731"/>
      <c r="I521" s="734"/>
      <c r="J521" s="731"/>
      <c r="K521" s="731"/>
      <c r="L521" s="734"/>
      <c r="M521" s="731"/>
      <c r="N521" s="731"/>
      <c r="O521" s="730"/>
      <c r="P521" s="736">
        <v>60.0</v>
      </c>
      <c r="Q521" s="736">
        <v>26.0</v>
      </c>
      <c r="R521" s="766">
        <f>R520/60</f>
        <v>2.266666667</v>
      </c>
      <c r="S521" s="731"/>
      <c r="T521" s="731"/>
      <c r="U521" s="734"/>
      <c r="V521" s="731"/>
      <c r="W521" s="731"/>
      <c r="X521" s="734"/>
      <c r="Y521" s="731"/>
      <c r="Z521" s="731"/>
    </row>
    <row r="522">
      <c r="C522" s="734"/>
      <c r="D522" s="731"/>
      <c r="E522" s="731"/>
      <c r="F522" s="734"/>
      <c r="G522" s="731"/>
      <c r="H522" s="731"/>
      <c r="I522" s="734"/>
      <c r="J522" s="731"/>
      <c r="K522" s="731"/>
      <c r="L522" s="734"/>
      <c r="M522" s="731"/>
      <c r="N522" s="736">
        <v>3.0</v>
      </c>
      <c r="O522" s="730"/>
      <c r="P522" s="736">
        <v>9.0</v>
      </c>
      <c r="Q522" s="736">
        <v>54.0</v>
      </c>
      <c r="R522" s="766">
        <f>-P522*60-Q522+P523*60+Q523</f>
        <v>156</v>
      </c>
      <c r="S522" s="731"/>
      <c r="T522" s="731"/>
      <c r="U522" s="734"/>
      <c r="V522" s="731"/>
      <c r="W522" s="731"/>
      <c r="X522" s="734"/>
      <c r="Y522" s="731"/>
      <c r="Z522" s="731"/>
    </row>
    <row r="523">
      <c r="C523" s="734"/>
      <c r="D523" s="731"/>
      <c r="E523" s="731"/>
      <c r="F523" s="734"/>
      <c r="G523" s="731"/>
      <c r="H523" s="731"/>
      <c r="I523" s="734"/>
      <c r="J523" s="731"/>
      <c r="K523" s="731"/>
      <c r="L523" s="734"/>
      <c r="M523" s="731"/>
      <c r="N523" s="731"/>
      <c r="O523" s="730"/>
      <c r="P523" s="736">
        <v>12.0</v>
      </c>
      <c r="Q523" s="736">
        <v>30.0</v>
      </c>
      <c r="R523" s="766">
        <f>R522/60</f>
        <v>2.6</v>
      </c>
      <c r="S523" s="731"/>
      <c r="T523" s="731"/>
      <c r="U523" s="734"/>
      <c r="V523" s="731"/>
      <c r="W523" s="731"/>
      <c r="X523" s="734"/>
      <c r="Y523" s="731"/>
      <c r="Z523" s="731"/>
    </row>
    <row r="524">
      <c r="C524" s="734"/>
      <c r="D524" s="731"/>
      <c r="E524" s="731"/>
      <c r="F524" s="734"/>
      <c r="G524" s="731"/>
      <c r="H524" s="731"/>
      <c r="I524" s="734"/>
      <c r="J524" s="731"/>
      <c r="K524" s="731"/>
      <c r="L524" s="734"/>
      <c r="M524" s="731"/>
      <c r="N524" s="736">
        <v>5.0</v>
      </c>
      <c r="O524" s="730"/>
      <c r="P524" s="736">
        <v>20.0</v>
      </c>
      <c r="Q524" s="736">
        <v>19.0</v>
      </c>
      <c r="R524" s="766">
        <f>-P524*60-Q524+P525*60+Q525</f>
        <v>176</v>
      </c>
      <c r="S524" s="731"/>
      <c r="T524" s="731"/>
      <c r="U524" s="734"/>
      <c r="V524" s="731"/>
      <c r="W524" s="731"/>
      <c r="X524" s="734"/>
      <c r="Y524" s="731"/>
      <c r="Z524" s="731"/>
    </row>
    <row r="525">
      <c r="C525" s="734"/>
      <c r="D525" s="731"/>
      <c r="E525" s="731"/>
      <c r="F525" s="734"/>
      <c r="G525" s="731"/>
      <c r="H525" s="731"/>
      <c r="I525" s="734"/>
      <c r="J525" s="731"/>
      <c r="K525" s="731"/>
      <c r="L525" s="734"/>
      <c r="M525" s="731"/>
      <c r="N525" s="731"/>
      <c r="O525" s="730"/>
      <c r="P525" s="736">
        <v>23.0</v>
      </c>
      <c r="Q525" s="736">
        <v>15.0</v>
      </c>
      <c r="R525" s="766">
        <f>R524/60</f>
        <v>2.933333333</v>
      </c>
      <c r="S525" s="731"/>
      <c r="T525" s="731"/>
      <c r="U525" s="734"/>
      <c r="V525" s="731"/>
      <c r="W525" s="731"/>
      <c r="X525" s="734"/>
      <c r="Y525" s="731"/>
      <c r="Z525" s="731"/>
    </row>
    <row r="526">
      <c r="C526" s="734"/>
      <c r="D526" s="731"/>
      <c r="E526" s="731"/>
      <c r="F526" s="734"/>
      <c r="G526" s="731"/>
      <c r="H526" s="731"/>
      <c r="I526" s="734"/>
      <c r="J526" s="731"/>
      <c r="K526" s="731"/>
      <c r="L526" s="734"/>
      <c r="M526" s="736" t="s">
        <v>140</v>
      </c>
      <c r="N526" s="736">
        <v>2.0</v>
      </c>
      <c r="O526" s="730"/>
      <c r="P526" s="736">
        <v>37.0</v>
      </c>
      <c r="Q526" s="736">
        <v>53.0</v>
      </c>
      <c r="R526" s="766">
        <f>-P526*60-Q526+P527*60+Q527</f>
        <v>131</v>
      </c>
      <c r="S526" s="731"/>
      <c r="T526" s="731"/>
      <c r="U526" s="734"/>
      <c r="V526" s="731"/>
      <c r="W526" s="731"/>
      <c r="X526" s="734"/>
      <c r="Y526" s="731"/>
      <c r="Z526" s="731"/>
    </row>
    <row r="527">
      <c r="C527" s="734"/>
      <c r="D527" s="731"/>
      <c r="E527" s="731"/>
      <c r="F527" s="734"/>
      <c r="G527" s="731"/>
      <c r="H527" s="731"/>
      <c r="I527" s="734"/>
      <c r="J527" s="731"/>
      <c r="K527" s="731"/>
      <c r="L527" s="734"/>
      <c r="M527" s="731"/>
      <c r="N527" s="731"/>
      <c r="O527" s="730"/>
      <c r="P527" s="736">
        <v>40.0</v>
      </c>
      <c r="Q527" s="736">
        <v>4.0</v>
      </c>
      <c r="R527" s="766">
        <f>R526/60</f>
        <v>2.183333333</v>
      </c>
      <c r="S527" s="731"/>
      <c r="T527" s="731"/>
      <c r="U527" s="734"/>
      <c r="V527" s="731"/>
      <c r="W527" s="731"/>
      <c r="X527" s="734"/>
      <c r="Y527" s="731"/>
      <c r="Z527" s="731"/>
    </row>
    <row r="528">
      <c r="C528" s="734"/>
      <c r="D528" s="731"/>
      <c r="E528" s="731"/>
      <c r="F528" s="734"/>
      <c r="G528" s="731"/>
      <c r="H528" s="731"/>
      <c r="I528" s="734"/>
      <c r="J528" s="731"/>
      <c r="K528" s="731"/>
      <c r="L528" s="734"/>
      <c r="M528" s="731"/>
      <c r="N528" s="736">
        <v>3.0</v>
      </c>
      <c r="O528" s="730"/>
      <c r="P528" s="736">
        <v>47.0</v>
      </c>
      <c r="Q528" s="736">
        <v>50.0</v>
      </c>
      <c r="R528" s="766">
        <f>-P528*60-Q528+P529*60+Q529</f>
        <v>151</v>
      </c>
      <c r="S528" s="731"/>
      <c r="T528" s="731"/>
      <c r="U528" s="734"/>
      <c r="V528" s="731"/>
      <c r="W528" s="731"/>
      <c r="X528" s="734"/>
      <c r="Y528" s="731"/>
      <c r="Z528" s="731"/>
    </row>
    <row r="529">
      <c r="C529" s="734"/>
      <c r="D529" s="731"/>
      <c r="E529" s="731"/>
      <c r="F529" s="734"/>
      <c r="G529" s="731"/>
      <c r="H529" s="731"/>
      <c r="I529" s="734"/>
      <c r="J529" s="731"/>
      <c r="K529" s="731"/>
      <c r="L529" s="734"/>
      <c r="M529" s="731"/>
      <c r="N529" s="731"/>
      <c r="O529" s="730"/>
      <c r="P529" s="736">
        <v>50.0</v>
      </c>
      <c r="Q529" s="736">
        <v>21.0</v>
      </c>
      <c r="R529" s="766">
        <f>R528/60</f>
        <v>2.516666667</v>
      </c>
      <c r="S529" s="731"/>
      <c r="T529" s="731"/>
      <c r="U529" s="734"/>
      <c r="V529" s="731"/>
      <c r="W529" s="731"/>
      <c r="X529" s="734"/>
      <c r="Y529" s="731"/>
      <c r="Z529" s="731"/>
    </row>
    <row r="530">
      <c r="C530" s="734"/>
      <c r="D530" s="731"/>
      <c r="E530" s="731"/>
      <c r="F530" s="734"/>
      <c r="G530" s="731"/>
      <c r="H530" s="731"/>
      <c r="I530" s="734"/>
      <c r="J530" s="731"/>
      <c r="K530" s="731"/>
      <c r="L530" s="734"/>
      <c r="M530" s="731"/>
      <c r="N530" s="736">
        <v>5.0</v>
      </c>
      <c r="O530" s="730"/>
      <c r="P530" s="736">
        <v>58.0</v>
      </c>
      <c r="Q530" s="736">
        <v>29.0</v>
      </c>
      <c r="R530" s="766">
        <f>-P530*60-Q530+P531*60+Q531</f>
        <v>171</v>
      </c>
      <c r="S530" s="731"/>
      <c r="T530" s="731"/>
      <c r="U530" s="734"/>
      <c r="V530" s="731"/>
      <c r="W530" s="731"/>
      <c r="X530" s="734"/>
      <c r="Y530" s="731"/>
      <c r="Z530" s="731"/>
    </row>
    <row r="531">
      <c r="C531" s="734"/>
      <c r="D531" s="731"/>
      <c r="E531" s="731"/>
      <c r="F531" s="734"/>
      <c r="G531" s="731"/>
      <c r="H531" s="731"/>
      <c r="I531" s="734"/>
      <c r="J531" s="731"/>
      <c r="K531" s="731"/>
      <c r="L531" s="734"/>
      <c r="M531" s="731"/>
      <c r="N531" s="731"/>
      <c r="O531" s="730"/>
      <c r="P531" s="736">
        <v>61.0</v>
      </c>
      <c r="Q531" s="736">
        <v>20.0</v>
      </c>
      <c r="R531" s="766">
        <f>R530/60</f>
        <v>2.85</v>
      </c>
      <c r="S531" s="731"/>
      <c r="T531" s="731"/>
      <c r="U531" s="734"/>
      <c r="V531" s="731"/>
      <c r="W531" s="731"/>
      <c r="X531" s="734"/>
      <c r="Y531" s="731"/>
      <c r="Z531" s="731"/>
    </row>
    <row r="532">
      <c r="C532" s="734"/>
      <c r="D532" s="731"/>
      <c r="E532" s="731"/>
      <c r="F532" s="734"/>
      <c r="G532" s="731"/>
      <c r="H532" s="731"/>
      <c r="I532" s="734"/>
      <c r="J532" s="731"/>
      <c r="K532" s="731"/>
      <c r="L532" s="734"/>
      <c r="M532" s="736" t="s">
        <v>148</v>
      </c>
      <c r="N532" s="736">
        <v>2.0</v>
      </c>
      <c r="O532" s="730"/>
      <c r="P532" s="736">
        <v>10.0</v>
      </c>
      <c r="Q532" s="736">
        <v>13.0</v>
      </c>
      <c r="R532" s="766">
        <f>-P532*60-Q532+P533*60+Q533</f>
        <v>136</v>
      </c>
      <c r="S532" s="731"/>
      <c r="T532" s="731"/>
      <c r="U532" s="734"/>
      <c r="V532" s="731"/>
      <c r="W532" s="731"/>
      <c r="X532" s="734"/>
      <c r="Y532" s="731"/>
      <c r="Z532" s="731"/>
    </row>
    <row r="533">
      <c r="C533" s="734"/>
      <c r="D533" s="731"/>
      <c r="E533" s="731"/>
      <c r="F533" s="734"/>
      <c r="G533" s="731"/>
      <c r="H533" s="731"/>
      <c r="I533" s="734"/>
      <c r="J533" s="731"/>
      <c r="K533" s="731"/>
      <c r="L533" s="734"/>
      <c r="M533" s="731"/>
      <c r="N533" s="731"/>
      <c r="O533" s="730"/>
      <c r="P533" s="736">
        <v>12.0</v>
      </c>
      <c r="Q533" s="736">
        <v>29.0</v>
      </c>
      <c r="R533" s="766">
        <f>R532/60</f>
        <v>2.266666667</v>
      </c>
      <c r="S533" s="731"/>
      <c r="T533" s="731"/>
      <c r="U533" s="734"/>
      <c r="V533" s="731"/>
      <c r="W533" s="731"/>
      <c r="X533" s="734"/>
      <c r="Y533" s="731"/>
      <c r="Z533" s="731"/>
    </row>
    <row r="534">
      <c r="C534" s="734"/>
      <c r="D534" s="731"/>
      <c r="E534" s="731"/>
      <c r="F534" s="734"/>
      <c r="G534" s="731"/>
      <c r="H534" s="731"/>
      <c r="I534" s="734"/>
      <c r="J534" s="731"/>
      <c r="K534" s="731"/>
      <c r="L534" s="734"/>
      <c r="M534" s="731"/>
      <c r="N534" s="736">
        <v>3.0</v>
      </c>
      <c r="O534" s="730"/>
      <c r="P534" s="731"/>
      <c r="Q534" s="731"/>
      <c r="R534" s="766">
        <f>-P534*60-Q534+P535*60+Q535</f>
        <v>0</v>
      </c>
      <c r="S534" s="731"/>
      <c r="T534" s="731"/>
      <c r="U534" s="734"/>
      <c r="V534" s="731"/>
      <c r="W534" s="731"/>
      <c r="X534" s="734"/>
      <c r="Y534" s="731"/>
      <c r="Z534" s="731"/>
    </row>
    <row r="535">
      <c r="C535" s="734"/>
      <c r="D535" s="731"/>
      <c r="E535" s="731"/>
      <c r="F535" s="734"/>
      <c r="G535" s="731"/>
      <c r="H535" s="731"/>
      <c r="I535" s="734"/>
      <c r="J535" s="731"/>
      <c r="K535" s="731"/>
      <c r="L535" s="734"/>
      <c r="M535" s="731"/>
      <c r="N535" s="731"/>
      <c r="O535" s="730"/>
      <c r="P535" s="731"/>
      <c r="Q535" s="731"/>
      <c r="R535" s="766">
        <f>R534/60</f>
        <v>0</v>
      </c>
      <c r="S535" s="731"/>
      <c r="T535" s="731"/>
      <c r="U535" s="734"/>
      <c r="V535" s="731"/>
      <c r="W535" s="731"/>
      <c r="X535" s="734"/>
      <c r="Y535" s="731"/>
      <c r="Z535" s="731"/>
    </row>
    <row r="536">
      <c r="C536" s="734"/>
      <c r="D536" s="731"/>
      <c r="E536" s="731"/>
      <c r="F536" s="734"/>
      <c r="G536" s="731"/>
      <c r="H536" s="731"/>
      <c r="I536" s="734"/>
      <c r="J536" s="731"/>
      <c r="K536" s="731"/>
      <c r="L536" s="734"/>
      <c r="M536" s="731"/>
      <c r="N536" s="736">
        <v>5.0</v>
      </c>
      <c r="O536" s="730"/>
      <c r="P536" s="736">
        <v>41.0</v>
      </c>
      <c r="Q536" s="736">
        <v>17.0</v>
      </c>
      <c r="R536" s="766">
        <f>-P536*60-Q536+P537*60+Q537</f>
        <v>176</v>
      </c>
      <c r="S536" s="731"/>
      <c r="T536" s="731"/>
      <c r="U536" s="734"/>
      <c r="V536" s="731"/>
      <c r="W536" s="731"/>
      <c r="X536" s="734"/>
      <c r="Y536" s="731"/>
      <c r="Z536" s="731"/>
    </row>
    <row r="537">
      <c r="C537" s="734"/>
      <c r="D537" s="731"/>
      <c r="E537" s="731"/>
      <c r="F537" s="734"/>
      <c r="G537" s="731"/>
      <c r="H537" s="731"/>
      <c r="I537" s="734"/>
      <c r="J537" s="731"/>
      <c r="K537" s="731"/>
      <c r="L537" s="734"/>
      <c r="M537" s="731"/>
      <c r="N537" s="731"/>
      <c r="O537" s="730"/>
      <c r="P537" s="736">
        <v>44.0</v>
      </c>
      <c r="Q537" s="736">
        <v>13.0</v>
      </c>
      <c r="R537" s="766">
        <f>R536/60</f>
        <v>2.933333333</v>
      </c>
      <c r="S537" s="731"/>
      <c r="T537" s="731"/>
      <c r="U537" s="734"/>
      <c r="V537" s="731"/>
      <c r="W537" s="731"/>
      <c r="X537" s="734"/>
      <c r="Y537" s="731"/>
      <c r="Z537" s="731"/>
    </row>
    <row r="538">
      <c r="C538" s="734"/>
      <c r="D538" s="731"/>
      <c r="E538" s="731"/>
      <c r="F538" s="734"/>
      <c r="G538" s="731"/>
      <c r="H538" s="731"/>
      <c r="I538" s="734"/>
      <c r="J538" s="731"/>
      <c r="K538" s="731"/>
      <c r="L538" s="734"/>
      <c r="M538" s="736" t="s">
        <v>417</v>
      </c>
      <c r="N538" s="736">
        <v>2.0</v>
      </c>
      <c r="O538" s="730"/>
      <c r="P538" s="736">
        <v>10.0</v>
      </c>
      <c r="Q538" s="736">
        <v>17.0</v>
      </c>
      <c r="R538" s="766">
        <f>-P538*60-Q538+P539*60+Q539</f>
        <v>120</v>
      </c>
      <c r="S538" s="731"/>
      <c r="T538" s="731"/>
      <c r="U538" s="734"/>
      <c r="V538" s="731"/>
      <c r="W538" s="731"/>
      <c r="X538" s="734"/>
      <c r="Y538" s="731"/>
      <c r="Z538" s="731"/>
    </row>
    <row r="539">
      <c r="C539" s="734"/>
      <c r="D539" s="731"/>
      <c r="E539" s="731"/>
      <c r="F539" s="734"/>
      <c r="G539" s="731"/>
      <c r="H539" s="731"/>
      <c r="I539" s="734"/>
      <c r="J539" s="731"/>
      <c r="K539" s="731"/>
      <c r="L539" s="734"/>
      <c r="M539" s="731"/>
      <c r="N539" s="731"/>
      <c r="O539" s="730"/>
      <c r="P539" s="736">
        <v>12.0</v>
      </c>
      <c r="Q539" s="736">
        <v>17.0</v>
      </c>
      <c r="R539" s="766">
        <f>R538/60</f>
        <v>2</v>
      </c>
      <c r="S539" s="731"/>
      <c r="T539" s="731"/>
      <c r="U539" s="734"/>
      <c r="V539" s="731"/>
      <c r="W539" s="731"/>
      <c r="X539" s="734"/>
      <c r="Y539" s="731"/>
      <c r="Z539" s="731"/>
    </row>
    <row r="540">
      <c r="C540" s="734"/>
      <c r="D540" s="731"/>
      <c r="E540" s="731"/>
      <c r="F540" s="734"/>
      <c r="G540" s="731"/>
      <c r="H540" s="731"/>
      <c r="I540" s="734"/>
      <c r="J540" s="731"/>
      <c r="K540" s="731"/>
      <c r="L540" s="734"/>
      <c r="M540" s="731"/>
      <c r="N540" s="736">
        <v>3.0</v>
      </c>
      <c r="O540" s="730"/>
      <c r="P540" s="736">
        <v>20.0</v>
      </c>
      <c r="Q540" s="736">
        <v>44.0</v>
      </c>
      <c r="R540" s="766">
        <f>-P540*60-Q540+P541*60+Q541</f>
        <v>136</v>
      </c>
      <c r="S540" s="731"/>
      <c r="T540" s="731"/>
      <c r="U540" s="734"/>
      <c r="V540" s="731"/>
      <c r="W540" s="731"/>
      <c r="X540" s="734"/>
      <c r="Y540" s="731"/>
      <c r="Z540" s="731"/>
    </row>
    <row r="541">
      <c r="C541" s="734"/>
      <c r="D541" s="731"/>
      <c r="E541" s="731"/>
      <c r="F541" s="734"/>
      <c r="G541" s="731"/>
      <c r="H541" s="731"/>
      <c r="I541" s="734"/>
      <c r="J541" s="731"/>
      <c r="K541" s="731"/>
      <c r="L541" s="734"/>
      <c r="M541" s="731"/>
      <c r="N541" s="731"/>
      <c r="O541" s="730"/>
      <c r="P541" s="736">
        <v>23.0</v>
      </c>
      <c r="Q541" s="731"/>
      <c r="R541" s="766">
        <f>R540/60</f>
        <v>2.266666667</v>
      </c>
      <c r="S541" s="731"/>
      <c r="T541" s="731"/>
      <c r="U541" s="734"/>
      <c r="V541" s="731"/>
      <c r="W541" s="731"/>
      <c r="X541" s="734"/>
      <c r="Y541" s="731"/>
      <c r="Z541" s="731"/>
    </row>
    <row r="542">
      <c r="C542" s="734"/>
      <c r="D542" s="731"/>
      <c r="E542" s="731"/>
      <c r="F542" s="734"/>
      <c r="G542" s="731"/>
      <c r="H542" s="731"/>
      <c r="I542" s="734"/>
      <c r="J542" s="731"/>
      <c r="K542" s="731"/>
      <c r="L542" s="734"/>
      <c r="M542" s="731"/>
      <c r="N542" s="736">
        <v>5.0</v>
      </c>
      <c r="O542" s="730"/>
      <c r="P542" s="736">
        <v>31.0</v>
      </c>
      <c r="Q542" s="736">
        <v>25.0</v>
      </c>
      <c r="R542" s="766">
        <f>-P542*60-Q542+P543*60+Q543</f>
        <v>153</v>
      </c>
      <c r="S542" s="731"/>
      <c r="T542" s="731"/>
      <c r="U542" s="734"/>
      <c r="V542" s="731"/>
      <c r="W542" s="731"/>
      <c r="X542" s="734"/>
      <c r="Y542" s="731"/>
      <c r="Z542" s="731"/>
    </row>
    <row r="543">
      <c r="C543" s="734"/>
      <c r="D543" s="731"/>
      <c r="E543" s="731"/>
      <c r="F543" s="734"/>
      <c r="G543" s="731"/>
      <c r="H543" s="731"/>
      <c r="I543" s="734"/>
      <c r="J543" s="731"/>
      <c r="K543" s="731"/>
      <c r="L543" s="734"/>
      <c r="M543" s="731"/>
      <c r="N543" s="731"/>
      <c r="O543" s="730"/>
      <c r="P543" s="736">
        <v>33.0</v>
      </c>
      <c r="Q543" s="736">
        <v>58.0</v>
      </c>
      <c r="R543" s="766">
        <f>R542/60</f>
        <v>2.55</v>
      </c>
      <c r="S543" s="731"/>
      <c r="T543" s="731"/>
      <c r="U543" s="734"/>
      <c r="V543" s="731"/>
      <c r="W543" s="731"/>
      <c r="X543" s="734"/>
      <c r="Y543" s="731"/>
      <c r="Z543" s="731"/>
    </row>
    <row r="544">
      <c r="C544" s="734"/>
      <c r="D544" s="731"/>
      <c r="E544" s="731"/>
      <c r="F544" s="734"/>
      <c r="G544" s="731"/>
      <c r="H544" s="731"/>
      <c r="I544" s="734"/>
      <c r="J544" s="731"/>
      <c r="K544" s="731"/>
      <c r="L544" s="734"/>
      <c r="M544" s="736" t="s">
        <v>451</v>
      </c>
      <c r="N544" s="736">
        <v>2.0</v>
      </c>
      <c r="O544" s="730"/>
      <c r="P544" s="736">
        <v>54.0</v>
      </c>
      <c r="Q544" s="736">
        <v>47.0</v>
      </c>
      <c r="R544" s="766">
        <f>-P544*60-Q544+P545*60+Q545</f>
        <v>177</v>
      </c>
      <c r="S544" s="731"/>
      <c r="T544" s="731"/>
      <c r="U544" s="734"/>
      <c r="V544" s="731"/>
      <c r="W544" s="731"/>
      <c r="X544" s="734"/>
      <c r="Y544" s="731"/>
      <c r="Z544" s="731"/>
    </row>
    <row r="545">
      <c r="C545" s="734"/>
      <c r="D545" s="731"/>
      <c r="E545" s="731"/>
      <c r="F545" s="734"/>
      <c r="G545" s="731"/>
      <c r="H545" s="731"/>
      <c r="I545" s="734"/>
      <c r="J545" s="731"/>
      <c r="K545" s="731"/>
      <c r="L545" s="734"/>
      <c r="M545" s="731"/>
      <c r="N545" s="731"/>
      <c r="O545" s="730"/>
      <c r="P545" s="736">
        <v>57.0</v>
      </c>
      <c r="Q545" s="736">
        <v>44.0</v>
      </c>
      <c r="R545" s="766">
        <f>R544/60</f>
        <v>2.95</v>
      </c>
      <c r="S545" s="731"/>
      <c r="T545" s="731"/>
      <c r="U545" s="734"/>
      <c r="V545" s="731"/>
      <c r="W545" s="731"/>
      <c r="X545" s="734"/>
      <c r="Y545" s="731"/>
      <c r="Z545" s="731"/>
    </row>
    <row r="546">
      <c r="C546" s="734"/>
      <c r="D546" s="731"/>
      <c r="E546" s="731"/>
      <c r="F546" s="734"/>
      <c r="G546" s="731"/>
      <c r="H546" s="731"/>
      <c r="I546" s="734"/>
      <c r="J546" s="731"/>
      <c r="K546" s="731"/>
      <c r="L546" s="734"/>
      <c r="M546" s="731"/>
      <c r="N546" s="736">
        <v>3.0</v>
      </c>
      <c r="O546" s="730"/>
      <c r="P546" s="736">
        <v>6.0</v>
      </c>
      <c r="Q546" s="736">
        <v>10.0</v>
      </c>
      <c r="R546" s="766">
        <f>-P546*60-Q546+P547*60+Q547</f>
        <v>204</v>
      </c>
      <c r="S546" s="731"/>
      <c r="T546" s="731"/>
      <c r="U546" s="734"/>
      <c r="V546" s="731"/>
      <c r="W546" s="731"/>
      <c r="X546" s="734"/>
      <c r="Y546" s="731"/>
      <c r="Z546" s="731"/>
    </row>
    <row r="547">
      <c r="C547" s="734"/>
      <c r="D547" s="731"/>
      <c r="E547" s="731"/>
      <c r="F547" s="734"/>
      <c r="G547" s="731"/>
      <c r="H547" s="731"/>
      <c r="I547" s="734"/>
      <c r="J547" s="731"/>
      <c r="K547" s="731"/>
      <c r="L547" s="734"/>
      <c r="M547" s="731"/>
      <c r="N547" s="731"/>
      <c r="O547" s="730"/>
      <c r="P547" s="736">
        <v>9.0</v>
      </c>
      <c r="Q547" s="736">
        <v>34.0</v>
      </c>
      <c r="R547" s="766">
        <f>R546/60</f>
        <v>3.4</v>
      </c>
      <c r="S547" s="731"/>
      <c r="T547" s="731"/>
      <c r="U547" s="734"/>
      <c r="V547" s="731"/>
      <c r="W547" s="731"/>
      <c r="X547" s="734"/>
      <c r="Y547" s="731"/>
      <c r="Z547" s="731"/>
    </row>
    <row r="548">
      <c r="C548" s="734"/>
      <c r="D548" s="731"/>
      <c r="E548" s="731"/>
      <c r="F548" s="734"/>
      <c r="G548" s="731"/>
      <c r="H548" s="731"/>
      <c r="I548" s="734"/>
      <c r="J548" s="731"/>
      <c r="K548" s="731"/>
      <c r="L548" s="734"/>
      <c r="M548" s="736" t="s">
        <v>166</v>
      </c>
      <c r="N548" s="736">
        <v>2.0</v>
      </c>
      <c r="O548" s="730"/>
      <c r="P548" s="736">
        <v>22.0</v>
      </c>
      <c r="Q548" s="736">
        <v>11.0</v>
      </c>
      <c r="R548" s="766">
        <f>-P548*60-Q548+P549*60+Q549</f>
        <v>118</v>
      </c>
      <c r="S548" s="731"/>
      <c r="T548" s="731"/>
      <c r="U548" s="734"/>
      <c r="V548" s="731"/>
      <c r="W548" s="731"/>
      <c r="X548" s="734"/>
      <c r="Y548" s="731"/>
      <c r="Z548" s="731"/>
    </row>
    <row r="549">
      <c r="C549" s="734"/>
      <c r="D549" s="731"/>
      <c r="E549" s="731"/>
      <c r="F549" s="734"/>
      <c r="G549" s="731"/>
      <c r="H549" s="731"/>
      <c r="I549" s="734"/>
      <c r="J549" s="731"/>
      <c r="K549" s="731"/>
      <c r="L549" s="734"/>
      <c r="M549" s="731"/>
      <c r="N549" s="731"/>
      <c r="O549" s="730"/>
      <c r="P549" s="736">
        <v>24.0</v>
      </c>
      <c r="Q549" s="736">
        <v>9.0</v>
      </c>
      <c r="R549" s="766">
        <f>R548/60</f>
        <v>1.966666667</v>
      </c>
      <c r="S549" s="731"/>
      <c r="T549" s="731"/>
      <c r="U549" s="734"/>
      <c r="V549" s="731"/>
      <c r="W549" s="731"/>
      <c r="X549" s="734"/>
      <c r="Y549" s="731"/>
      <c r="Z549" s="731"/>
    </row>
    <row r="550">
      <c r="C550" s="734"/>
      <c r="D550" s="731"/>
      <c r="E550" s="731"/>
      <c r="F550" s="734"/>
      <c r="G550" s="731"/>
      <c r="H550" s="731"/>
      <c r="I550" s="734"/>
      <c r="J550" s="731"/>
      <c r="K550" s="731"/>
      <c r="L550" s="734"/>
      <c r="M550" s="731"/>
      <c r="N550" s="736">
        <v>3.0</v>
      </c>
      <c r="O550" s="730"/>
      <c r="P550" s="731"/>
      <c r="Q550" s="731"/>
      <c r="R550" s="766">
        <f>-P550*60-Q550+P551*60+Q551</f>
        <v>0</v>
      </c>
      <c r="S550" s="731"/>
      <c r="T550" s="731"/>
      <c r="U550" s="734"/>
      <c r="V550" s="731"/>
      <c r="W550" s="731"/>
      <c r="X550" s="734"/>
      <c r="Y550" s="731"/>
      <c r="Z550" s="731"/>
    </row>
    <row r="551">
      <c r="C551" s="734"/>
      <c r="D551" s="731"/>
      <c r="E551" s="731"/>
      <c r="F551" s="734"/>
      <c r="G551" s="731"/>
      <c r="H551" s="731"/>
      <c r="I551" s="734"/>
      <c r="J551" s="731"/>
      <c r="K551" s="731"/>
      <c r="L551" s="734"/>
      <c r="M551" s="731"/>
      <c r="N551" s="731"/>
      <c r="O551" s="730"/>
      <c r="P551" s="731"/>
      <c r="Q551" s="731"/>
      <c r="R551" s="766">
        <f>R550/60</f>
        <v>0</v>
      </c>
      <c r="S551" s="731"/>
      <c r="T551" s="731"/>
      <c r="U551" s="734"/>
      <c r="V551" s="731"/>
      <c r="W551" s="731"/>
      <c r="X551" s="734"/>
      <c r="Y551" s="731"/>
      <c r="Z551" s="731"/>
    </row>
    <row r="552">
      <c r="C552" s="734"/>
      <c r="D552" s="731"/>
      <c r="E552" s="731"/>
      <c r="F552" s="734"/>
      <c r="G552" s="731"/>
      <c r="H552" s="731"/>
      <c r="I552" s="734"/>
      <c r="J552" s="731"/>
      <c r="K552" s="731"/>
      <c r="L552" s="734"/>
      <c r="M552" s="731"/>
      <c r="N552" s="736">
        <v>5.0</v>
      </c>
      <c r="O552" s="730"/>
      <c r="P552" s="731"/>
      <c r="Q552" s="731"/>
      <c r="R552" s="766">
        <f>-P552*60-Q552+P553*60+Q553</f>
        <v>0</v>
      </c>
      <c r="S552" s="731"/>
      <c r="T552" s="731"/>
      <c r="U552" s="734"/>
      <c r="V552" s="731"/>
      <c r="W552" s="731"/>
      <c r="X552" s="734"/>
      <c r="Y552" s="731"/>
      <c r="Z552" s="731"/>
    </row>
    <row r="553">
      <c r="C553" s="734"/>
      <c r="D553" s="731"/>
      <c r="E553" s="731"/>
      <c r="F553" s="734"/>
      <c r="G553" s="731"/>
      <c r="H553" s="731"/>
      <c r="I553" s="734"/>
      <c r="J553" s="731"/>
      <c r="K553" s="731"/>
      <c r="L553" s="734"/>
      <c r="M553" s="731"/>
      <c r="N553" s="731"/>
      <c r="O553" s="730"/>
      <c r="P553" s="731"/>
      <c r="Q553" s="731"/>
      <c r="R553" s="766">
        <f>R552/60</f>
        <v>0</v>
      </c>
      <c r="S553" s="731"/>
      <c r="T553" s="731"/>
      <c r="U553" s="734"/>
      <c r="V553" s="731"/>
      <c r="W553" s="731"/>
      <c r="X553" s="734"/>
      <c r="Y553" s="731"/>
      <c r="Z553" s="731"/>
    </row>
    <row r="554">
      <c r="C554" s="734"/>
      <c r="D554" s="731"/>
      <c r="E554" s="731"/>
      <c r="F554" s="734"/>
      <c r="G554" s="731"/>
      <c r="H554" s="731"/>
      <c r="I554" s="734"/>
      <c r="J554" s="731"/>
      <c r="K554" s="731"/>
      <c r="L554" s="734"/>
      <c r="M554" s="736" t="s">
        <v>418</v>
      </c>
      <c r="N554" s="736">
        <v>2.0</v>
      </c>
      <c r="O554" s="730"/>
      <c r="P554" s="736">
        <v>3.0</v>
      </c>
      <c r="Q554" s="736">
        <v>1.0</v>
      </c>
      <c r="R554" s="766">
        <f>-P554*60-Q554+P555*60+Q555</f>
        <v>118</v>
      </c>
      <c r="S554" s="731"/>
      <c r="T554" s="731"/>
      <c r="U554" s="734"/>
      <c r="V554" s="731"/>
      <c r="W554" s="731"/>
      <c r="X554" s="734"/>
      <c r="Y554" s="731"/>
      <c r="Z554" s="731"/>
    </row>
    <row r="555">
      <c r="C555" s="734"/>
      <c r="D555" s="731"/>
      <c r="E555" s="731"/>
      <c r="F555" s="734"/>
      <c r="G555" s="731"/>
      <c r="H555" s="731"/>
      <c r="I555" s="734"/>
      <c r="J555" s="731"/>
      <c r="K555" s="731"/>
      <c r="L555" s="734"/>
      <c r="M555" s="731"/>
      <c r="N555" s="731"/>
      <c r="O555" s="730"/>
      <c r="P555" s="736">
        <v>4.0</v>
      </c>
      <c r="Q555" s="736">
        <v>59.0</v>
      </c>
      <c r="R555" s="766">
        <f>R554/60</f>
        <v>1.966666667</v>
      </c>
      <c r="S555" s="731"/>
      <c r="T555" s="731"/>
      <c r="U555" s="734"/>
      <c r="V555" s="731"/>
      <c r="W555" s="731"/>
      <c r="X555" s="734"/>
      <c r="Y555" s="731"/>
      <c r="Z555" s="731"/>
    </row>
    <row r="556">
      <c r="C556" s="734"/>
      <c r="D556" s="731"/>
      <c r="E556" s="731"/>
      <c r="F556" s="734"/>
      <c r="G556" s="731"/>
      <c r="H556" s="731"/>
      <c r="I556" s="734"/>
      <c r="J556" s="731"/>
      <c r="K556" s="731"/>
      <c r="L556" s="734"/>
      <c r="M556" s="731"/>
      <c r="N556" s="736">
        <v>3.0</v>
      </c>
      <c r="O556" s="730"/>
      <c r="P556" s="736"/>
      <c r="Q556" s="736"/>
      <c r="R556" s="766">
        <f>-P556*60-Q556+P557*60+Q557</f>
        <v>0</v>
      </c>
      <c r="S556" s="731"/>
      <c r="T556" s="731"/>
      <c r="U556" s="734"/>
      <c r="V556" s="731"/>
      <c r="W556" s="731"/>
      <c r="X556" s="734"/>
      <c r="Y556" s="731"/>
      <c r="Z556" s="731"/>
    </row>
    <row r="557">
      <c r="C557" s="734"/>
      <c r="D557" s="731"/>
      <c r="E557" s="731"/>
      <c r="F557" s="734"/>
      <c r="G557" s="731"/>
      <c r="H557" s="731"/>
      <c r="I557" s="734"/>
      <c r="J557" s="731"/>
      <c r="K557" s="731"/>
      <c r="L557" s="734"/>
      <c r="M557" s="731"/>
      <c r="N557" s="731"/>
      <c r="O557" s="730"/>
      <c r="P557" s="731"/>
      <c r="Q557" s="731"/>
      <c r="R557" s="766">
        <f>R556/60</f>
        <v>0</v>
      </c>
      <c r="S557" s="731"/>
      <c r="T557" s="731"/>
      <c r="U557" s="734"/>
      <c r="V557" s="731"/>
      <c r="W557" s="731"/>
      <c r="X557" s="734"/>
      <c r="Y557" s="731"/>
      <c r="Z557" s="731"/>
    </row>
    <row r="558">
      <c r="C558" s="734"/>
      <c r="D558" s="731"/>
      <c r="E558" s="731"/>
      <c r="F558" s="734"/>
      <c r="G558" s="731"/>
      <c r="H558" s="731"/>
      <c r="I558" s="734"/>
      <c r="J558" s="731"/>
      <c r="K558" s="731"/>
      <c r="L558" s="734"/>
      <c r="M558" s="731"/>
      <c r="N558" s="736">
        <v>5.0</v>
      </c>
      <c r="O558" s="730"/>
      <c r="P558" s="731"/>
      <c r="Q558" s="731"/>
      <c r="R558" s="766">
        <f>-P558*60-Q558+P559*60+Q559</f>
        <v>0</v>
      </c>
      <c r="S558" s="731"/>
      <c r="T558" s="731"/>
      <c r="U558" s="734"/>
      <c r="V558" s="731"/>
      <c r="W558" s="731"/>
      <c r="X558" s="734"/>
      <c r="Y558" s="731"/>
      <c r="Z558" s="731"/>
    </row>
    <row r="559">
      <c r="C559" s="734"/>
      <c r="D559" s="731"/>
      <c r="E559" s="731"/>
      <c r="F559" s="734"/>
      <c r="G559" s="731"/>
      <c r="H559" s="731"/>
      <c r="I559" s="734"/>
      <c r="J559" s="731"/>
      <c r="K559" s="731"/>
      <c r="L559" s="734"/>
      <c r="M559" s="731"/>
      <c r="N559" s="731"/>
      <c r="O559" s="730"/>
      <c r="P559" s="731"/>
      <c r="Q559" s="731"/>
      <c r="R559" s="766">
        <f>R558/60</f>
        <v>0</v>
      </c>
      <c r="S559" s="731"/>
      <c r="T559" s="731"/>
      <c r="U559" s="734"/>
      <c r="V559" s="731"/>
      <c r="W559" s="731"/>
      <c r="X559" s="734"/>
      <c r="Y559" s="731"/>
      <c r="Z559" s="731"/>
    </row>
    <row r="560">
      <c r="C560" s="734"/>
      <c r="D560" s="731"/>
      <c r="E560" s="731"/>
      <c r="F560" s="734"/>
      <c r="G560" s="731"/>
      <c r="H560" s="731"/>
      <c r="I560" s="734"/>
      <c r="J560" s="731"/>
      <c r="K560" s="731"/>
      <c r="L560" s="734"/>
      <c r="M560" s="736" t="s">
        <v>294</v>
      </c>
      <c r="N560" s="736">
        <v>2.0</v>
      </c>
      <c r="O560" s="730"/>
      <c r="P560" s="736">
        <v>45.0</v>
      </c>
      <c r="Q560" s="736">
        <v>41.0</v>
      </c>
      <c r="R560" s="766">
        <f>-P560*60-Q560+P561*60+Q561</f>
        <v>119</v>
      </c>
      <c r="S560" s="731"/>
      <c r="T560" s="731"/>
      <c r="U560" s="734"/>
      <c r="V560" s="731"/>
      <c r="W560" s="731"/>
      <c r="X560" s="734"/>
      <c r="Y560" s="731"/>
      <c r="Z560" s="731"/>
    </row>
    <row r="561">
      <c r="C561" s="734"/>
      <c r="D561" s="731"/>
      <c r="E561" s="731"/>
      <c r="F561" s="734"/>
      <c r="G561" s="731"/>
      <c r="H561" s="731"/>
      <c r="I561" s="734"/>
      <c r="J561" s="731"/>
      <c r="K561" s="731"/>
      <c r="L561" s="734"/>
      <c r="M561" s="731"/>
      <c r="N561" s="731"/>
      <c r="O561" s="730"/>
      <c r="P561" s="736">
        <v>47.0</v>
      </c>
      <c r="Q561" s="736">
        <v>40.0</v>
      </c>
      <c r="R561" s="766">
        <f>R560/60</f>
        <v>1.983333333</v>
      </c>
      <c r="S561" s="731"/>
      <c r="T561" s="731"/>
      <c r="U561" s="734"/>
      <c r="V561" s="731"/>
      <c r="W561" s="731"/>
      <c r="X561" s="734"/>
      <c r="Y561" s="731"/>
      <c r="Z561" s="731"/>
    </row>
    <row r="562">
      <c r="C562" s="734"/>
      <c r="D562" s="731"/>
      <c r="E562" s="731"/>
      <c r="F562" s="734"/>
      <c r="G562" s="731"/>
      <c r="H562" s="731"/>
      <c r="I562" s="734"/>
      <c r="J562" s="731"/>
      <c r="K562" s="731"/>
      <c r="L562" s="734"/>
      <c r="M562" s="731"/>
      <c r="N562" s="736">
        <v>3.0</v>
      </c>
      <c r="O562" s="730"/>
      <c r="P562" s="736">
        <v>58.0</v>
      </c>
      <c r="Q562" s="736">
        <v>7.0</v>
      </c>
      <c r="R562" s="766">
        <f>-P562*60-Q562+P563*60+Q563</f>
        <v>137</v>
      </c>
      <c r="S562" s="731"/>
      <c r="T562" s="731"/>
      <c r="U562" s="734"/>
      <c r="V562" s="731"/>
      <c r="W562" s="731"/>
      <c r="X562" s="734"/>
      <c r="Y562" s="731"/>
      <c r="Z562" s="731"/>
    </row>
    <row r="563">
      <c r="C563" s="734"/>
      <c r="D563" s="731"/>
      <c r="E563" s="731"/>
      <c r="F563" s="734"/>
      <c r="G563" s="731"/>
      <c r="H563" s="731"/>
      <c r="I563" s="734"/>
      <c r="J563" s="731"/>
      <c r="K563" s="731"/>
      <c r="L563" s="734"/>
      <c r="M563" s="731"/>
      <c r="N563" s="731"/>
      <c r="O563" s="730"/>
      <c r="P563" s="736">
        <v>60.0</v>
      </c>
      <c r="Q563" s="736">
        <v>24.0</v>
      </c>
      <c r="R563" s="766">
        <f>R562/60</f>
        <v>2.283333333</v>
      </c>
      <c r="S563" s="731"/>
      <c r="T563" s="731"/>
      <c r="U563" s="734"/>
      <c r="V563" s="731"/>
      <c r="W563" s="731"/>
      <c r="X563" s="734"/>
      <c r="Y563" s="731"/>
      <c r="Z563" s="731"/>
    </row>
    <row r="564">
      <c r="C564" s="734"/>
      <c r="D564" s="731"/>
      <c r="E564" s="731"/>
      <c r="F564" s="734"/>
      <c r="G564" s="731"/>
      <c r="H564" s="731"/>
      <c r="I564" s="734"/>
      <c r="J564" s="731"/>
      <c r="K564" s="731"/>
      <c r="L564" s="734"/>
      <c r="M564" s="736" t="s">
        <v>170</v>
      </c>
      <c r="N564" s="736">
        <v>2.0</v>
      </c>
      <c r="O564" s="730"/>
      <c r="P564" s="736">
        <v>16.0</v>
      </c>
      <c r="Q564" s="736">
        <v>7.0</v>
      </c>
      <c r="R564" s="766">
        <f>-P564*60-Q564+P565*60+Q565</f>
        <v>117</v>
      </c>
      <c r="S564" s="731"/>
      <c r="T564" s="731"/>
      <c r="U564" s="734"/>
      <c r="V564" s="731"/>
      <c r="W564" s="731"/>
      <c r="X564" s="734"/>
      <c r="Y564" s="731"/>
      <c r="Z564" s="731"/>
    </row>
    <row r="565">
      <c r="C565" s="734"/>
      <c r="D565" s="731"/>
      <c r="E565" s="731"/>
      <c r="F565" s="734"/>
      <c r="G565" s="731"/>
      <c r="H565" s="731"/>
      <c r="I565" s="734"/>
      <c r="J565" s="731"/>
      <c r="K565" s="731"/>
      <c r="L565" s="734"/>
      <c r="M565" s="731"/>
      <c r="N565" s="731"/>
      <c r="O565" s="730"/>
      <c r="P565" s="736">
        <v>18.0</v>
      </c>
      <c r="Q565" s="736">
        <v>4.0</v>
      </c>
      <c r="R565" s="766">
        <f>R564/60</f>
        <v>1.95</v>
      </c>
      <c r="S565" s="731"/>
      <c r="T565" s="731"/>
      <c r="U565" s="734"/>
      <c r="V565" s="731"/>
      <c r="W565" s="731"/>
      <c r="X565" s="734"/>
      <c r="Y565" s="731"/>
      <c r="Z565" s="731"/>
    </row>
    <row r="566">
      <c r="C566" s="734"/>
      <c r="D566" s="731"/>
      <c r="E566" s="731"/>
      <c r="F566" s="734"/>
      <c r="G566" s="731"/>
      <c r="H566" s="731"/>
      <c r="I566" s="734"/>
      <c r="J566" s="731"/>
      <c r="K566" s="731"/>
      <c r="L566" s="734"/>
      <c r="M566" s="731"/>
      <c r="N566" s="736">
        <v>3.0</v>
      </c>
      <c r="O566" s="730"/>
      <c r="P566" s="736">
        <v>32.0</v>
      </c>
      <c r="Q566" s="736">
        <v>58.0</v>
      </c>
      <c r="R566" s="766">
        <f>-P566*60-Q566+P567*60+Q567</f>
        <v>135</v>
      </c>
      <c r="S566" s="731"/>
      <c r="T566" s="731"/>
      <c r="U566" s="734"/>
      <c r="V566" s="731"/>
      <c r="W566" s="731"/>
      <c r="X566" s="734"/>
      <c r="Y566" s="731"/>
      <c r="Z566" s="731"/>
    </row>
    <row r="567">
      <c r="C567" s="734"/>
      <c r="D567" s="731"/>
      <c r="E567" s="731"/>
      <c r="F567" s="734"/>
      <c r="G567" s="731"/>
      <c r="H567" s="731"/>
      <c r="I567" s="734"/>
      <c r="J567" s="731"/>
      <c r="K567" s="731"/>
      <c r="L567" s="734"/>
      <c r="M567" s="731"/>
      <c r="N567" s="731"/>
      <c r="O567" s="730"/>
      <c r="P567" s="736">
        <v>35.0</v>
      </c>
      <c r="Q567" s="736">
        <v>13.0</v>
      </c>
      <c r="R567" s="766">
        <f>R566/60</f>
        <v>2.25</v>
      </c>
      <c r="S567" s="731"/>
      <c r="T567" s="731"/>
      <c r="U567" s="734"/>
      <c r="V567" s="731"/>
      <c r="W567" s="731"/>
      <c r="X567" s="734"/>
      <c r="Y567" s="731"/>
      <c r="Z567" s="731"/>
    </row>
    <row r="568">
      <c r="C568" s="734"/>
      <c r="D568" s="731"/>
      <c r="E568" s="731"/>
      <c r="F568" s="734"/>
      <c r="G568" s="731"/>
      <c r="H568" s="731"/>
      <c r="I568" s="734"/>
      <c r="J568" s="731"/>
      <c r="K568" s="731"/>
      <c r="L568" s="734"/>
      <c r="M568" s="731"/>
      <c r="N568" s="736">
        <v>5.0</v>
      </c>
      <c r="O568" s="730"/>
      <c r="P568" s="736">
        <v>43.0</v>
      </c>
      <c r="Q568" s="736">
        <v>30.0</v>
      </c>
      <c r="R568" s="766">
        <f>-P568*60-Q568+P569*60+Q569</f>
        <v>153</v>
      </c>
      <c r="S568" s="731"/>
      <c r="T568" s="731"/>
      <c r="U568" s="734"/>
      <c r="V568" s="731"/>
      <c r="W568" s="731"/>
      <c r="X568" s="734"/>
      <c r="Y568" s="731"/>
      <c r="Z568" s="731"/>
    </row>
    <row r="569">
      <c r="C569" s="734"/>
      <c r="D569" s="731"/>
      <c r="E569" s="731"/>
      <c r="F569" s="734"/>
      <c r="G569" s="731"/>
      <c r="H569" s="731"/>
      <c r="I569" s="734"/>
      <c r="J569" s="731"/>
      <c r="K569" s="731"/>
      <c r="L569" s="734"/>
      <c r="M569" s="731"/>
      <c r="N569" s="731"/>
      <c r="O569" s="730"/>
      <c r="P569" s="736">
        <v>46.0</v>
      </c>
      <c r="Q569" s="736">
        <v>3.0</v>
      </c>
      <c r="R569" s="766">
        <f>R568/60</f>
        <v>2.55</v>
      </c>
      <c r="S569" s="731"/>
      <c r="T569" s="731"/>
      <c r="U569" s="734"/>
      <c r="V569" s="731"/>
      <c r="W569" s="731"/>
      <c r="X569" s="734"/>
      <c r="Y569" s="731"/>
      <c r="Z569" s="731"/>
    </row>
    <row r="570">
      <c r="C570" s="734"/>
      <c r="D570" s="731"/>
      <c r="E570" s="731"/>
      <c r="F570" s="734"/>
      <c r="G570" s="731"/>
      <c r="H570" s="731"/>
      <c r="I570" s="734"/>
      <c r="J570" s="731"/>
      <c r="K570" s="731"/>
      <c r="L570" s="734"/>
      <c r="M570" s="736" t="s">
        <v>171</v>
      </c>
      <c r="N570" s="736">
        <v>2.0</v>
      </c>
      <c r="O570" s="730"/>
      <c r="P570" s="736">
        <v>3.0</v>
      </c>
      <c r="Q570" s="736">
        <v>16.0</v>
      </c>
      <c r="R570" s="766">
        <f>-P570*60-Q570+P571*60+Q571</f>
        <v>118</v>
      </c>
      <c r="S570" s="731"/>
      <c r="T570" s="731"/>
      <c r="U570" s="734"/>
      <c r="V570" s="731"/>
      <c r="W570" s="731"/>
      <c r="X570" s="734"/>
      <c r="Y570" s="731"/>
      <c r="Z570" s="731"/>
    </row>
    <row r="571">
      <c r="C571" s="734"/>
      <c r="D571" s="731"/>
      <c r="E571" s="731"/>
      <c r="F571" s="734"/>
      <c r="G571" s="731"/>
      <c r="H571" s="731"/>
      <c r="I571" s="734"/>
      <c r="J571" s="731"/>
      <c r="K571" s="731"/>
      <c r="L571" s="734"/>
      <c r="M571" s="731"/>
      <c r="N571" s="731"/>
      <c r="O571" s="730"/>
      <c r="P571" s="736">
        <v>5.0</v>
      </c>
      <c r="Q571" s="736">
        <v>14.0</v>
      </c>
      <c r="R571" s="766">
        <f>R570/60</f>
        <v>1.966666667</v>
      </c>
      <c r="S571" s="731"/>
      <c r="T571" s="731"/>
      <c r="U571" s="734"/>
      <c r="V571" s="731"/>
      <c r="W571" s="731"/>
      <c r="X571" s="734"/>
      <c r="Y571" s="731"/>
      <c r="Z571" s="731"/>
    </row>
    <row r="572">
      <c r="C572" s="734"/>
      <c r="D572" s="731"/>
      <c r="E572" s="731"/>
      <c r="F572" s="734"/>
      <c r="G572" s="731"/>
      <c r="H572" s="731"/>
      <c r="I572" s="734"/>
      <c r="J572" s="731"/>
      <c r="K572" s="731"/>
      <c r="L572" s="734"/>
      <c r="M572" s="731"/>
      <c r="N572" s="736">
        <v>3.0</v>
      </c>
      <c r="O572" s="730"/>
      <c r="P572" s="736">
        <v>1.0</v>
      </c>
      <c r="Q572" s="731"/>
      <c r="R572" s="766">
        <f>-P572*60-Q572+P573*60+Q573</f>
        <v>60</v>
      </c>
      <c r="S572" s="731"/>
      <c r="T572" s="731"/>
      <c r="U572" s="734"/>
      <c r="V572" s="731"/>
      <c r="W572" s="731"/>
      <c r="X572" s="734"/>
      <c r="Y572" s="731"/>
      <c r="Z572" s="731"/>
    </row>
    <row r="573">
      <c r="C573" s="734"/>
      <c r="D573" s="731"/>
      <c r="E573" s="731"/>
      <c r="F573" s="734"/>
      <c r="G573" s="731"/>
      <c r="H573" s="731"/>
      <c r="I573" s="734"/>
      <c r="J573" s="731"/>
      <c r="K573" s="731"/>
      <c r="L573" s="734"/>
      <c r="M573" s="731"/>
      <c r="N573" s="731"/>
      <c r="O573" s="730"/>
      <c r="P573" s="736">
        <v>2.0</v>
      </c>
      <c r="Q573" s="731"/>
      <c r="R573" s="766">
        <f>R572/60</f>
        <v>1</v>
      </c>
      <c r="S573" s="731"/>
      <c r="T573" s="731"/>
      <c r="U573" s="734"/>
      <c r="V573" s="731"/>
      <c r="W573" s="731"/>
      <c r="X573" s="734"/>
      <c r="Y573" s="731"/>
      <c r="Z573" s="731"/>
    </row>
    <row r="574">
      <c r="C574" s="734"/>
      <c r="D574" s="731"/>
      <c r="E574" s="731"/>
      <c r="F574" s="734"/>
      <c r="G574" s="731"/>
      <c r="H574" s="731"/>
      <c r="I574" s="734"/>
      <c r="J574" s="731"/>
      <c r="K574" s="731"/>
      <c r="L574" s="734"/>
      <c r="M574" s="731"/>
      <c r="N574" s="736">
        <v>5.0</v>
      </c>
      <c r="O574" s="730"/>
      <c r="P574" s="731"/>
      <c r="Q574" s="731"/>
      <c r="R574" s="766">
        <f>-P574*60-Q574+P575*60+Q575</f>
        <v>0</v>
      </c>
      <c r="S574" s="731"/>
      <c r="T574" s="731"/>
      <c r="U574" s="734"/>
      <c r="V574" s="731"/>
      <c r="W574" s="731"/>
      <c r="X574" s="734"/>
      <c r="Y574" s="731"/>
      <c r="Z574" s="731"/>
    </row>
    <row r="575">
      <c r="C575" s="734"/>
      <c r="D575" s="731"/>
      <c r="E575" s="731"/>
      <c r="F575" s="734"/>
      <c r="G575" s="731"/>
      <c r="H575" s="731"/>
      <c r="I575" s="734"/>
      <c r="J575" s="731"/>
      <c r="K575" s="731"/>
      <c r="L575" s="734"/>
      <c r="M575" s="736">
        <v>416.0</v>
      </c>
      <c r="N575" s="731"/>
      <c r="O575" s="730"/>
      <c r="P575" s="736"/>
      <c r="Q575" s="736"/>
      <c r="R575" s="766">
        <f>R574/60</f>
        <v>0</v>
      </c>
      <c r="S575" s="731"/>
      <c r="T575" s="731"/>
      <c r="U575" s="734"/>
      <c r="V575" s="731"/>
      <c r="W575" s="731"/>
      <c r="X575" s="734"/>
      <c r="Y575" s="731"/>
      <c r="Z575" s="731"/>
    </row>
    <row r="576">
      <c r="C576" s="734"/>
      <c r="D576" s="731"/>
      <c r="E576" s="731"/>
      <c r="F576" s="734"/>
      <c r="G576" s="731"/>
      <c r="H576" s="731"/>
      <c r="I576" s="734"/>
      <c r="J576" s="731"/>
      <c r="K576" s="731"/>
      <c r="L576" s="734"/>
      <c r="M576" s="736">
        <v>416.0</v>
      </c>
      <c r="N576" s="736">
        <v>2.0</v>
      </c>
      <c r="O576" s="730"/>
      <c r="P576" s="736">
        <v>44.0</v>
      </c>
      <c r="Q576" s="736">
        <v>10.0</v>
      </c>
      <c r="R576" s="766">
        <f>-P576*60-Q576+P577*60+Q577</f>
        <v>118</v>
      </c>
      <c r="S576" s="731"/>
      <c r="T576" s="731"/>
      <c r="U576" s="734"/>
      <c r="V576" s="731"/>
      <c r="W576" s="731"/>
      <c r="X576" s="734"/>
      <c r="Y576" s="731"/>
      <c r="Z576" s="731"/>
    </row>
    <row r="577">
      <c r="C577" s="734"/>
      <c r="D577" s="731"/>
      <c r="E577" s="731"/>
      <c r="F577" s="734"/>
      <c r="G577" s="731"/>
      <c r="H577" s="731"/>
      <c r="I577" s="734"/>
      <c r="J577" s="731"/>
      <c r="K577" s="731"/>
      <c r="L577" s="734"/>
      <c r="M577" s="731"/>
      <c r="N577" s="731"/>
      <c r="O577" s="730"/>
      <c r="P577" s="736">
        <v>46.0</v>
      </c>
      <c r="Q577" s="736">
        <v>8.0</v>
      </c>
      <c r="R577" s="766">
        <f>R576/60</f>
        <v>1.966666667</v>
      </c>
      <c r="S577" s="731"/>
      <c r="T577" s="731"/>
      <c r="U577" s="734"/>
      <c r="V577" s="731"/>
      <c r="W577" s="731"/>
      <c r="X577" s="734"/>
      <c r="Y577" s="731"/>
      <c r="Z577" s="731"/>
    </row>
    <row r="578">
      <c r="C578" s="734"/>
      <c r="D578" s="731"/>
      <c r="E578" s="731"/>
      <c r="F578" s="734"/>
      <c r="G578" s="731"/>
      <c r="H578" s="731"/>
      <c r="I578" s="734"/>
      <c r="J578" s="731"/>
      <c r="K578" s="731"/>
      <c r="L578" s="734"/>
      <c r="M578" s="731"/>
      <c r="N578" s="736">
        <v>3.0</v>
      </c>
      <c r="O578" s="730"/>
      <c r="P578" s="736"/>
      <c r="Q578" s="731"/>
      <c r="R578" s="766">
        <f>-P578*60-Q578+P579*60+Q579</f>
        <v>0</v>
      </c>
      <c r="S578" s="731"/>
      <c r="T578" s="731"/>
      <c r="U578" s="734"/>
      <c r="V578" s="731"/>
      <c r="W578" s="731"/>
      <c r="X578" s="734"/>
      <c r="Y578" s="731"/>
      <c r="Z578" s="731"/>
    </row>
    <row r="579">
      <c r="C579" s="734"/>
      <c r="D579" s="731"/>
      <c r="E579" s="731"/>
      <c r="F579" s="734"/>
      <c r="G579" s="731"/>
      <c r="H579" s="731"/>
      <c r="I579" s="734"/>
      <c r="J579" s="731"/>
      <c r="K579" s="731"/>
      <c r="L579" s="734"/>
      <c r="M579" s="731"/>
      <c r="N579" s="731"/>
      <c r="O579" s="730"/>
      <c r="P579" s="731"/>
      <c r="Q579" s="731"/>
      <c r="R579" s="766">
        <f>R578/60</f>
        <v>0</v>
      </c>
      <c r="S579" s="731"/>
      <c r="T579" s="731"/>
      <c r="U579" s="734"/>
      <c r="V579" s="731"/>
      <c r="W579" s="731"/>
      <c r="X579" s="734"/>
      <c r="Y579" s="731"/>
      <c r="Z579" s="731"/>
    </row>
    <row r="580">
      <c r="C580" s="734"/>
      <c r="D580" s="731"/>
      <c r="E580" s="731"/>
      <c r="F580" s="734"/>
      <c r="G580" s="731"/>
      <c r="H580" s="731"/>
      <c r="I580" s="734"/>
      <c r="J580" s="731"/>
      <c r="K580" s="731"/>
      <c r="L580" s="734"/>
      <c r="M580" s="731"/>
      <c r="N580" s="736">
        <v>5.0</v>
      </c>
      <c r="O580" s="730"/>
      <c r="P580" s="731"/>
      <c r="Q580" s="731"/>
      <c r="R580" s="766">
        <f>-P580*60-Q580+P581*60+Q581</f>
        <v>0</v>
      </c>
      <c r="S580" s="731"/>
      <c r="T580" s="731"/>
      <c r="U580" s="734"/>
      <c r="V580" s="731"/>
      <c r="W580" s="731"/>
      <c r="X580" s="734"/>
      <c r="Y580" s="731"/>
      <c r="Z580" s="731"/>
    </row>
    <row r="581">
      <c r="C581" s="734"/>
      <c r="D581" s="731"/>
      <c r="E581" s="731"/>
      <c r="F581" s="734"/>
      <c r="G581" s="731"/>
      <c r="H581" s="731"/>
      <c r="I581" s="734"/>
      <c r="J581" s="731"/>
      <c r="K581" s="731"/>
      <c r="L581" s="734"/>
      <c r="M581" s="731"/>
      <c r="N581" s="731"/>
      <c r="O581" s="730"/>
      <c r="P581" s="731"/>
      <c r="Q581" s="731"/>
      <c r="R581" s="766">
        <f>R580/60</f>
        <v>0</v>
      </c>
      <c r="S581" s="731"/>
      <c r="T581" s="731"/>
      <c r="U581" s="734"/>
      <c r="V581" s="731"/>
      <c r="W581" s="731"/>
      <c r="X581" s="734"/>
      <c r="Y581" s="731"/>
      <c r="Z581" s="731"/>
    </row>
    <row r="582">
      <c r="C582" s="734"/>
      <c r="D582" s="731"/>
      <c r="E582" s="731"/>
      <c r="F582" s="734"/>
      <c r="G582" s="731"/>
      <c r="H582" s="731"/>
      <c r="I582" s="734"/>
      <c r="J582" s="731"/>
      <c r="K582" s="731"/>
      <c r="L582" s="734"/>
      <c r="M582" s="736" t="s">
        <v>39</v>
      </c>
      <c r="N582" s="736">
        <v>2.0</v>
      </c>
      <c r="O582" s="730"/>
      <c r="P582" s="736">
        <v>5.0</v>
      </c>
      <c r="Q582" s="736">
        <v>15.0</v>
      </c>
      <c r="R582" s="766">
        <f>-P582*60-Q582+P583*60+Q583</f>
        <v>103</v>
      </c>
      <c r="S582" s="731"/>
      <c r="T582" s="731"/>
      <c r="U582" s="734"/>
      <c r="V582" s="731"/>
      <c r="W582" s="731"/>
      <c r="X582" s="734"/>
      <c r="Y582" s="731"/>
      <c r="Z582" s="731"/>
    </row>
    <row r="583">
      <c r="C583" s="734"/>
      <c r="D583" s="731"/>
      <c r="E583" s="731"/>
      <c r="F583" s="734"/>
      <c r="G583" s="731"/>
      <c r="H583" s="731"/>
      <c r="I583" s="734"/>
      <c r="J583" s="731"/>
      <c r="K583" s="731"/>
      <c r="L583" s="734"/>
      <c r="M583" s="731"/>
      <c r="N583" s="731"/>
      <c r="O583" s="730"/>
      <c r="P583" s="736">
        <v>6.0</v>
      </c>
      <c r="Q583" s="736">
        <v>58.0</v>
      </c>
      <c r="R583" s="766">
        <f>R582/60</f>
        <v>1.716666667</v>
      </c>
      <c r="S583" s="731"/>
      <c r="T583" s="731"/>
      <c r="U583" s="734"/>
      <c r="V583" s="731"/>
      <c r="W583" s="731"/>
      <c r="X583" s="734"/>
      <c r="Y583" s="731"/>
      <c r="Z583" s="731"/>
    </row>
    <row r="584">
      <c r="C584" s="734"/>
      <c r="D584" s="731"/>
      <c r="E584" s="731"/>
      <c r="F584" s="734"/>
      <c r="G584" s="731"/>
      <c r="H584" s="731"/>
      <c r="I584" s="734"/>
      <c r="J584" s="731"/>
      <c r="K584" s="731"/>
      <c r="L584" s="734"/>
      <c r="M584" s="731"/>
      <c r="N584" s="736">
        <v>3.0</v>
      </c>
      <c r="O584" s="730"/>
      <c r="P584" s="731"/>
      <c r="Q584" s="731"/>
      <c r="R584" s="766">
        <f>-P584*60-Q584+P585*60+Q585</f>
        <v>0</v>
      </c>
      <c r="S584" s="731"/>
      <c r="T584" s="731"/>
      <c r="U584" s="734"/>
      <c r="V584" s="731"/>
      <c r="W584" s="731"/>
      <c r="X584" s="734"/>
      <c r="Y584" s="731"/>
      <c r="Z584" s="731"/>
    </row>
    <row r="585">
      <c r="C585" s="734"/>
      <c r="D585" s="731"/>
      <c r="E585" s="731"/>
      <c r="F585" s="734"/>
      <c r="G585" s="731"/>
      <c r="H585" s="731"/>
      <c r="I585" s="734"/>
      <c r="J585" s="731"/>
      <c r="K585" s="731"/>
      <c r="L585" s="734"/>
      <c r="M585" s="731"/>
      <c r="N585" s="731"/>
      <c r="O585" s="730"/>
      <c r="P585" s="731"/>
      <c r="Q585" s="731"/>
      <c r="R585" s="766">
        <f>R584/60</f>
        <v>0</v>
      </c>
      <c r="S585" s="731"/>
      <c r="T585" s="731"/>
      <c r="U585" s="734"/>
      <c r="V585" s="731"/>
      <c r="W585" s="731"/>
      <c r="X585" s="734"/>
      <c r="Y585" s="731"/>
      <c r="Z585" s="731"/>
    </row>
    <row r="586">
      <c r="C586" s="734"/>
      <c r="D586" s="731"/>
      <c r="E586" s="731"/>
      <c r="F586" s="734"/>
      <c r="G586" s="731"/>
      <c r="H586" s="731"/>
      <c r="I586" s="734"/>
      <c r="J586" s="731"/>
      <c r="K586" s="731"/>
      <c r="L586" s="734"/>
      <c r="M586" s="736" t="s">
        <v>423</v>
      </c>
      <c r="N586" s="736">
        <v>2.0</v>
      </c>
      <c r="O586" s="730"/>
      <c r="P586" s="736">
        <v>11.0</v>
      </c>
      <c r="Q586" s="736">
        <v>12.0</v>
      </c>
      <c r="R586" s="766">
        <f>-P586*60-Q586+P587*60+Q587</f>
        <v>88</v>
      </c>
      <c r="S586" s="731"/>
      <c r="T586" s="731"/>
      <c r="U586" s="734"/>
      <c r="V586" s="731"/>
      <c r="W586" s="731"/>
      <c r="X586" s="734"/>
      <c r="Y586" s="731"/>
      <c r="Z586" s="731"/>
    </row>
    <row r="587">
      <c r="C587" s="734"/>
      <c r="D587" s="731"/>
      <c r="E587" s="731"/>
      <c r="F587" s="734"/>
      <c r="G587" s="731"/>
      <c r="H587" s="731"/>
      <c r="I587" s="734"/>
      <c r="J587" s="731"/>
      <c r="K587" s="731"/>
      <c r="L587" s="734"/>
      <c r="M587" s="731"/>
      <c r="N587" s="731"/>
      <c r="O587" s="730"/>
      <c r="P587" s="736">
        <v>12.0</v>
      </c>
      <c r="Q587" s="736">
        <v>40.0</v>
      </c>
      <c r="R587" s="766">
        <f>R586/60</f>
        <v>1.466666667</v>
      </c>
      <c r="S587" s="731"/>
      <c r="T587" s="731"/>
      <c r="U587" s="734"/>
      <c r="V587" s="731"/>
      <c r="W587" s="731"/>
      <c r="X587" s="734"/>
      <c r="Y587" s="731"/>
      <c r="Z587" s="731"/>
    </row>
    <row r="588">
      <c r="C588" s="734"/>
      <c r="D588" s="731"/>
      <c r="E588" s="731"/>
      <c r="F588" s="734"/>
      <c r="G588" s="731"/>
      <c r="H588" s="731"/>
      <c r="I588" s="734"/>
      <c r="J588" s="731"/>
      <c r="K588" s="731"/>
      <c r="L588" s="734"/>
      <c r="M588" s="731"/>
      <c r="N588" s="736">
        <v>3.0</v>
      </c>
      <c r="O588" s="730"/>
      <c r="P588" s="731"/>
      <c r="Q588" s="731"/>
      <c r="R588" s="766">
        <f>-P588*60-Q588+P589*60+Q589</f>
        <v>0</v>
      </c>
      <c r="S588" s="731"/>
      <c r="T588" s="731"/>
      <c r="U588" s="734"/>
      <c r="V588" s="731"/>
      <c r="W588" s="731"/>
      <c r="X588" s="734"/>
      <c r="Y588" s="731"/>
      <c r="Z588" s="731"/>
    </row>
    <row r="589">
      <c r="C589" s="734"/>
      <c r="D589" s="731"/>
      <c r="E589" s="731"/>
      <c r="F589" s="734"/>
      <c r="G589" s="731"/>
      <c r="H589" s="731"/>
      <c r="I589" s="734"/>
      <c r="J589" s="731"/>
      <c r="K589" s="731"/>
      <c r="L589" s="734"/>
      <c r="M589" s="731"/>
      <c r="N589" s="731"/>
      <c r="O589" s="730"/>
      <c r="P589" s="731"/>
      <c r="Q589" s="731"/>
      <c r="R589" s="766">
        <f>R588/60</f>
        <v>0</v>
      </c>
      <c r="S589" s="731"/>
      <c r="T589" s="731"/>
      <c r="U589" s="734"/>
      <c r="V589" s="731"/>
      <c r="W589" s="731"/>
      <c r="X589" s="734"/>
      <c r="Y589" s="731"/>
      <c r="Z589" s="731"/>
    </row>
    <row r="590">
      <c r="C590" s="734"/>
      <c r="D590" s="731"/>
      <c r="E590" s="731"/>
      <c r="F590" s="734"/>
      <c r="G590" s="731"/>
      <c r="H590" s="731"/>
      <c r="I590" s="734"/>
      <c r="J590" s="731"/>
      <c r="K590" s="731"/>
      <c r="L590" s="734"/>
      <c r="M590" s="736" t="s">
        <v>61</v>
      </c>
      <c r="N590" s="736">
        <v>5.0</v>
      </c>
      <c r="O590" s="730"/>
      <c r="P590" s="736">
        <v>25.0</v>
      </c>
      <c r="Q590" s="736">
        <v>45.0</v>
      </c>
      <c r="R590" s="766">
        <f>-P590*60-Q590+P591*60+Q591</f>
        <v>136</v>
      </c>
      <c r="S590" s="731"/>
      <c r="T590" s="731"/>
      <c r="U590" s="734"/>
      <c r="V590" s="731"/>
      <c r="W590" s="731"/>
      <c r="X590" s="734"/>
      <c r="Y590" s="731"/>
      <c r="Z590" s="731"/>
    </row>
    <row r="591">
      <c r="C591" s="734"/>
      <c r="D591" s="731"/>
      <c r="E591" s="731"/>
      <c r="F591" s="734"/>
      <c r="G591" s="731"/>
      <c r="H591" s="731"/>
      <c r="I591" s="734"/>
      <c r="J591" s="731"/>
      <c r="K591" s="731"/>
      <c r="L591" s="734"/>
      <c r="M591" s="731"/>
      <c r="N591" s="731"/>
      <c r="O591" s="730"/>
      <c r="P591" s="736">
        <v>28.0</v>
      </c>
      <c r="Q591" s="736">
        <v>1.0</v>
      </c>
      <c r="R591" s="766">
        <f>R590/60</f>
        <v>2.266666667</v>
      </c>
      <c r="S591" s="731"/>
      <c r="T591" s="731"/>
      <c r="U591" s="734"/>
      <c r="V591" s="731"/>
      <c r="W591" s="731"/>
      <c r="X591" s="734"/>
      <c r="Y591" s="731"/>
      <c r="Z591" s="731"/>
    </row>
    <row r="592">
      <c r="C592" s="734"/>
      <c r="D592" s="731"/>
      <c r="E592" s="731"/>
      <c r="F592" s="734"/>
      <c r="G592" s="731"/>
      <c r="H592" s="731"/>
      <c r="I592" s="734"/>
      <c r="J592" s="731"/>
      <c r="K592" s="731"/>
      <c r="L592" s="734"/>
      <c r="M592" s="736" t="s">
        <v>66</v>
      </c>
      <c r="N592" s="736">
        <v>6.4</v>
      </c>
      <c r="O592" s="730"/>
      <c r="P592" s="736">
        <v>31.0</v>
      </c>
      <c r="Q592" s="736">
        <v>43.0</v>
      </c>
      <c r="R592" s="766">
        <f>-P592*60-Q592+P593*60+Q593</f>
        <v>135</v>
      </c>
      <c r="S592" s="731"/>
      <c r="T592" s="731"/>
      <c r="U592" s="734"/>
      <c r="V592" s="731"/>
      <c r="W592" s="731"/>
      <c r="X592" s="734"/>
      <c r="Y592" s="731"/>
      <c r="Z592" s="731"/>
    </row>
    <row r="593">
      <c r="C593" s="734"/>
      <c r="D593" s="731"/>
      <c r="E593" s="731"/>
      <c r="F593" s="734"/>
      <c r="G593" s="731"/>
      <c r="H593" s="731"/>
      <c r="I593" s="734"/>
      <c r="J593" s="731"/>
      <c r="K593" s="731"/>
      <c r="L593" s="734"/>
      <c r="M593" s="731"/>
      <c r="N593" s="731"/>
      <c r="O593" s="730"/>
      <c r="P593" s="736">
        <v>33.0</v>
      </c>
      <c r="Q593" s="736">
        <v>58.0</v>
      </c>
      <c r="R593" s="766">
        <f>R592/60</f>
        <v>2.25</v>
      </c>
      <c r="S593" s="731"/>
      <c r="T593" s="731"/>
      <c r="U593" s="734"/>
      <c r="V593" s="731"/>
      <c r="W593" s="731"/>
      <c r="X593" s="734"/>
      <c r="Y593" s="731"/>
      <c r="Z593" s="731"/>
    </row>
    <row r="594">
      <c r="C594" s="734"/>
      <c r="D594" s="731"/>
      <c r="E594" s="731"/>
      <c r="F594" s="734"/>
      <c r="G594" s="731"/>
      <c r="H594" s="731"/>
      <c r="I594" s="734"/>
      <c r="J594" s="731"/>
      <c r="K594" s="731"/>
      <c r="L594" s="734"/>
      <c r="M594" s="736" t="s">
        <v>139</v>
      </c>
      <c r="N594" s="736">
        <v>2.0</v>
      </c>
      <c r="O594" s="730"/>
      <c r="P594" s="736">
        <v>52.0</v>
      </c>
      <c r="Q594" s="736">
        <v>5.0</v>
      </c>
      <c r="R594" s="766">
        <f>-P594*60-Q594+P595*60+Q595</f>
        <v>88</v>
      </c>
      <c r="S594" s="731"/>
      <c r="T594" s="731"/>
      <c r="U594" s="734"/>
      <c r="V594" s="731"/>
      <c r="W594" s="731"/>
      <c r="X594" s="734"/>
      <c r="Y594" s="731"/>
      <c r="Z594" s="731"/>
    </row>
    <row r="595">
      <c r="C595" s="734"/>
      <c r="D595" s="731"/>
      <c r="E595" s="731"/>
      <c r="F595" s="734"/>
      <c r="G595" s="731"/>
      <c r="H595" s="731"/>
      <c r="I595" s="734"/>
      <c r="J595" s="731"/>
      <c r="K595" s="731"/>
      <c r="L595" s="734"/>
      <c r="M595" s="731"/>
      <c r="N595" s="731"/>
      <c r="O595" s="730"/>
      <c r="P595" s="736">
        <v>53.0</v>
      </c>
      <c r="Q595" s="736">
        <v>33.0</v>
      </c>
      <c r="R595" s="766">
        <f>R594/60</f>
        <v>1.466666667</v>
      </c>
      <c r="S595" s="731"/>
      <c r="T595" s="731"/>
      <c r="U595" s="734"/>
      <c r="V595" s="731"/>
      <c r="W595" s="731"/>
      <c r="X595" s="734"/>
      <c r="Y595" s="731"/>
      <c r="Z595" s="731"/>
    </row>
    <row r="596">
      <c r="C596" s="734"/>
      <c r="D596" s="731"/>
      <c r="E596" s="731"/>
      <c r="F596" s="734"/>
      <c r="G596" s="731"/>
      <c r="H596" s="731"/>
      <c r="I596" s="734"/>
      <c r="J596" s="731"/>
      <c r="K596" s="731"/>
      <c r="L596" s="734"/>
      <c r="M596" s="731"/>
      <c r="N596" s="736">
        <v>3.0</v>
      </c>
      <c r="O596" s="730"/>
      <c r="P596" s="731"/>
      <c r="Q596" s="731"/>
      <c r="R596" s="766">
        <f>-P596*60-Q596+P597*60+Q597</f>
        <v>0</v>
      </c>
      <c r="S596" s="731"/>
      <c r="T596" s="731"/>
      <c r="U596" s="734"/>
      <c r="V596" s="731"/>
      <c r="W596" s="731"/>
      <c r="X596" s="734"/>
      <c r="Y596" s="731"/>
      <c r="Z596" s="731"/>
    </row>
    <row r="597">
      <c r="C597" s="734"/>
      <c r="D597" s="731"/>
      <c r="E597" s="731"/>
      <c r="F597" s="734"/>
      <c r="G597" s="731"/>
      <c r="H597" s="731"/>
      <c r="I597" s="734"/>
      <c r="J597" s="731"/>
      <c r="K597" s="731"/>
      <c r="L597" s="734"/>
      <c r="M597" s="731"/>
      <c r="N597" s="731"/>
      <c r="O597" s="730"/>
      <c r="P597" s="731"/>
      <c r="Q597" s="731"/>
      <c r="R597" s="766">
        <f>R596/60</f>
        <v>0</v>
      </c>
      <c r="S597" s="731"/>
      <c r="T597" s="731"/>
      <c r="U597" s="734"/>
      <c r="V597" s="731"/>
      <c r="W597" s="731"/>
      <c r="X597" s="734"/>
      <c r="Y597" s="731"/>
      <c r="Z597" s="731"/>
    </row>
    <row r="598">
      <c r="C598" s="734"/>
      <c r="D598" s="731"/>
      <c r="E598" s="731"/>
      <c r="F598" s="734"/>
      <c r="G598" s="731"/>
      <c r="H598" s="731"/>
      <c r="I598" s="734"/>
      <c r="J598" s="731"/>
      <c r="K598" s="731"/>
      <c r="L598" s="734"/>
      <c r="M598" s="736" t="s">
        <v>72</v>
      </c>
      <c r="N598" s="736">
        <v>2.0</v>
      </c>
      <c r="O598" s="730"/>
      <c r="P598" s="736">
        <v>58.0</v>
      </c>
      <c r="Q598" s="736">
        <v>6.0</v>
      </c>
      <c r="R598" s="766">
        <f>-P598*60-Q598+P599*60+Q599</f>
        <v>118</v>
      </c>
      <c r="S598" s="731"/>
      <c r="T598" s="731"/>
      <c r="U598" s="734"/>
      <c r="V598" s="731"/>
      <c r="W598" s="731"/>
      <c r="X598" s="734"/>
      <c r="Y598" s="731"/>
      <c r="Z598" s="731"/>
    </row>
    <row r="599">
      <c r="C599" s="734"/>
      <c r="D599" s="731"/>
      <c r="E599" s="731"/>
      <c r="F599" s="734"/>
      <c r="G599" s="731"/>
      <c r="H599" s="731"/>
      <c r="I599" s="734"/>
      <c r="J599" s="731"/>
      <c r="K599" s="731"/>
      <c r="L599" s="734"/>
      <c r="M599" s="731"/>
      <c r="N599" s="731"/>
      <c r="O599" s="745"/>
      <c r="P599" s="736">
        <v>60.0</v>
      </c>
      <c r="Q599" s="736">
        <v>4.0</v>
      </c>
      <c r="R599" s="766">
        <f>R598/60</f>
        <v>1.966666667</v>
      </c>
      <c r="S599" s="731"/>
      <c r="T599" s="731"/>
      <c r="U599" s="734"/>
      <c r="V599" s="731"/>
      <c r="W599" s="731"/>
      <c r="X599" s="734"/>
      <c r="Y599" s="731"/>
      <c r="Z599" s="731"/>
    </row>
    <row r="600">
      <c r="C600" s="734"/>
      <c r="D600" s="731"/>
      <c r="E600" s="731"/>
      <c r="F600" s="734"/>
      <c r="G600" s="731"/>
      <c r="H600" s="731"/>
      <c r="I600" s="734"/>
      <c r="J600" s="731"/>
      <c r="K600" s="731"/>
      <c r="L600" s="734"/>
      <c r="M600" s="731"/>
      <c r="N600" s="736">
        <v>3.0</v>
      </c>
      <c r="O600" s="730"/>
      <c r="P600" s="731"/>
      <c r="Q600" s="731"/>
      <c r="R600" s="766">
        <f>-P600*60-Q600+P601*60+Q601</f>
        <v>0</v>
      </c>
      <c r="S600" s="731"/>
      <c r="T600" s="731"/>
      <c r="U600" s="734"/>
      <c r="V600" s="731"/>
      <c r="W600" s="731"/>
      <c r="X600" s="734"/>
      <c r="Y600" s="731"/>
      <c r="Z600" s="731"/>
    </row>
    <row r="601">
      <c r="C601" s="734"/>
      <c r="D601" s="731"/>
      <c r="E601" s="731"/>
      <c r="F601" s="734"/>
      <c r="G601" s="731"/>
      <c r="H601" s="731"/>
      <c r="I601" s="734"/>
      <c r="J601" s="731"/>
      <c r="K601" s="731"/>
      <c r="L601" s="734"/>
      <c r="M601" s="731"/>
      <c r="N601" s="731"/>
      <c r="O601" s="730"/>
      <c r="P601" s="731"/>
      <c r="Q601" s="731"/>
      <c r="R601" s="766">
        <f>R600/60</f>
        <v>0</v>
      </c>
      <c r="S601" s="731"/>
      <c r="T601" s="731"/>
      <c r="U601" s="734"/>
      <c r="V601" s="731"/>
      <c r="W601" s="731"/>
      <c r="X601" s="734"/>
      <c r="Y601" s="731"/>
      <c r="Z601" s="731"/>
    </row>
    <row r="602">
      <c r="C602" s="734"/>
      <c r="D602" s="731"/>
      <c r="E602" s="731"/>
      <c r="F602" s="734"/>
      <c r="G602" s="731"/>
      <c r="H602" s="731"/>
      <c r="I602" s="734"/>
      <c r="J602" s="731"/>
      <c r="K602" s="731"/>
      <c r="L602" s="734"/>
      <c r="M602" s="736" t="s">
        <v>77</v>
      </c>
      <c r="N602" s="736">
        <v>2.0</v>
      </c>
      <c r="O602" s="730"/>
      <c r="P602" s="736">
        <v>20.0</v>
      </c>
      <c r="Q602" s="736">
        <v>17.0</v>
      </c>
      <c r="R602" s="766">
        <f>-P602*60-Q602+P603*60+Q603</f>
        <v>118</v>
      </c>
      <c r="S602" s="731"/>
      <c r="T602" s="731"/>
      <c r="U602" s="734"/>
      <c r="V602" s="731"/>
      <c r="W602" s="731"/>
      <c r="X602" s="734"/>
      <c r="Y602" s="731"/>
      <c r="Z602" s="731"/>
    </row>
    <row r="603">
      <c r="C603" s="734"/>
      <c r="D603" s="731"/>
      <c r="E603" s="731"/>
      <c r="F603" s="734"/>
      <c r="G603" s="731"/>
      <c r="H603" s="731"/>
      <c r="I603" s="734"/>
      <c r="J603" s="731"/>
      <c r="K603" s="731"/>
      <c r="L603" s="734"/>
      <c r="M603" s="731"/>
      <c r="N603" s="731"/>
      <c r="O603" s="730"/>
      <c r="P603" s="736">
        <v>22.0</v>
      </c>
      <c r="Q603" s="736">
        <v>15.0</v>
      </c>
      <c r="R603" s="766">
        <f>R602/60</f>
        <v>1.966666667</v>
      </c>
      <c r="S603" s="731"/>
      <c r="T603" s="731"/>
      <c r="U603" s="734"/>
      <c r="V603" s="731"/>
      <c r="W603" s="731"/>
      <c r="X603" s="734"/>
      <c r="Y603" s="731"/>
      <c r="Z603" s="731"/>
    </row>
    <row r="604">
      <c r="C604" s="734"/>
      <c r="D604" s="731"/>
      <c r="E604" s="731"/>
      <c r="F604" s="734"/>
      <c r="G604" s="731"/>
      <c r="H604" s="731"/>
      <c r="I604" s="734"/>
      <c r="J604" s="731"/>
      <c r="K604" s="731"/>
      <c r="L604" s="734"/>
      <c r="M604" s="731"/>
      <c r="N604" s="736">
        <v>3.0</v>
      </c>
      <c r="O604" s="730"/>
      <c r="P604" s="731"/>
      <c r="Q604" s="731"/>
      <c r="R604" s="766">
        <f>-P604*60-Q604+P605*60+Q605</f>
        <v>0</v>
      </c>
      <c r="S604" s="731"/>
      <c r="T604" s="731"/>
      <c r="U604" s="734"/>
      <c r="V604" s="731"/>
      <c r="W604" s="731"/>
      <c r="X604" s="734"/>
      <c r="Y604" s="731"/>
      <c r="Z604" s="731"/>
    </row>
    <row r="605">
      <c r="C605" s="734"/>
      <c r="D605" s="731"/>
      <c r="E605" s="731"/>
      <c r="F605" s="734"/>
      <c r="G605" s="731"/>
      <c r="H605" s="731"/>
      <c r="I605" s="734"/>
      <c r="J605" s="731"/>
      <c r="K605" s="731"/>
      <c r="L605" s="734"/>
      <c r="M605" s="731"/>
      <c r="N605" s="731"/>
      <c r="O605" s="730"/>
      <c r="P605" s="731"/>
      <c r="Q605" s="731"/>
      <c r="R605" s="766">
        <f>R604/60</f>
        <v>0</v>
      </c>
      <c r="S605" s="731"/>
      <c r="T605" s="731"/>
      <c r="U605" s="734"/>
      <c r="V605" s="731"/>
      <c r="W605" s="731"/>
      <c r="X605" s="734"/>
      <c r="Y605" s="731"/>
      <c r="Z605" s="731"/>
    </row>
    <row r="606">
      <c r="C606" s="734"/>
      <c r="D606" s="731"/>
      <c r="E606" s="731"/>
      <c r="F606" s="734"/>
      <c r="G606" s="731"/>
      <c r="H606" s="731"/>
      <c r="I606" s="734"/>
      <c r="J606" s="731"/>
      <c r="K606" s="731"/>
      <c r="L606" s="734"/>
      <c r="M606" s="736" t="s">
        <v>96</v>
      </c>
      <c r="N606" s="736">
        <v>2.0</v>
      </c>
      <c r="O606" s="730"/>
      <c r="P606" s="736">
        <v>25.0</v>
      </c>
      <c r="Q606" s="736">
        <v>40.0</v>
      </c>
      <c r="R606" s="766">
        <f>-P606*60-Q606+P607*60+Q607</f>
        <v>136</v>
      </c>
      <c r="S606" s="731"/>
      <c r="T606" s="731"/>
      <c r="U606" s="734"/>
      <c r="V606" s="731"/>
      <c r="W606" s="731"/>
      <c r="X606" s="734"/>
      <c r="Y606" s="731"/>
      <c r="Z606" s="731"/>
    </row>
    <row r="607">
      <c r="C607" s="734"/>
      <c r="D607" s="731"/>
      <c r="E607" s="731"/>
      <c r="F607" s="734"/>
      <c r="G607" s="731"/>
      <c r="H607" s="731"/>
      <c r="I607" s="734"/>
      <c r="J607" s="731"/>
      <c r="K607" s="731"/>
      <c r="L607" s="734"/>
      <c r="M607" s="731"/>
      <c r="N607" s="731"/>
      <c r="O607" s="730"/>
      <c r="P607" s="736">
        <v>27.0</v>
      </c>
      <c r="Q607" s="736">
        <v>56.0</v>
      </c>
      <c r="R607" s="766">
        <f>R606/60</f>
        <v>2.266666667</v>
      </c>
      <c r="S607" s="731"/>
      <c r="T607" s="731"/>
      <c r="U607" s="734"/>
      <c r="V607" s="731"/>
      <c r="W607" s="731"/>
      <c r="X607" s="734"/>
      <c r="Y607" s="731"/>
      <c r="Z607" s="731"/>
    </row>
    <row r="608">
      <c r="C608" s="734"/>
      <c r="D608" s="731"/>
      <c r="E608" s="731"/>
      <c r="F608" s="734"/>
      <c r="G608" s="731"/>
      <c r="H608" s="731"/>
      <c r="I608" s="734"/>
      <c r="J608" s="731"/>
      <c r="K608" s="731"/>
      <c r="L608" s="734"/>
      <c r="M608" s="731"/>
      <c r="N608" s="736">
        <v>3.0</v>
      </c>
      <c r="O608" s="730"/>
      <c r="P608" s="731"/>
      <c r="Q608" s="731"/>
      <c r="R608" s="766">
        <f>-P608*60-Q608+P609*60+Q609</f>
        <v>0</v>
      </c>
      <c r="S608" s="731"/>
      <c r="T608" s="731"/>
      <c r="U608" s="734"/>
      <c r="V608" s="731"/>
      <c r="W608" s="731"/>
      <c r="X608" s="734"/>
      <c r="Y608" s="731"/>
      <c r="Z608" s="731"/>
    </row>
    <row r="609">
      <c r="C609" s="734"/>
      <c r="D609" s="731"/>
      <c r="E609" s="731"/>
      <c r="F609" s="734"/>
      <c r="G609" s="731"/>
      <c r="H609" s="731"/>
      <c r="I609" s="734"/>
      <c r="J609" s="731"/>
      <c r="K609" s="731"/>
      <c r="L609" s="734"/>
      <c r="M609" s="731"/>
      <c r="N609" s="731"/>
      <c r="O609" s="730"/>
      <c r="P609" s="731"/>
      <c r="Q609" s="731"/>
      <c r="R609" s="766">
        <f>R608/60</f>
        <v>0</v>
      </c>
      <c r="S609" s="731"/>
      <c r="T609" s="731"/>
      <c r="U609" s="734"/>
      <c r="V609" s="731"/>
      <c r="W609" s="731"/>
      <c r="X609" s="734"/>
      <c r="Y609" s="731"/>
      <c r="Z609" s="731"/>
    </row>
    <row r="610">
      <c r="C610" s="734"/>
      <c r="D610" s="731"/>
      <c r="E610" s="731"/>
      <c r="F610" s="734"/>
      <c r="G610" s="731"/>
      <c r="H610" s="731"/>
      <c r="I610" s="734"/>
      <c r="J610" s="731"/>
      <c r="K610" s="731"/>
      <c r="L610" s="734"/>
      <c r="M610" s="736" t="s">
        <v>424</v>
      </c>
      <c r="N610" s="736">
        <v>3.4</v>
      </c>
      <c r="O610" s="730"/>
      <c r="P610" s="736">
        <v>41.0</v>
      </c>
      <c r="Q610" s="736">
        <v>52.0</v>
      </c>
      <c r="R610" s="766">
        <f>-P610*60-Q610+P611*60+Q611</f>
        <v>136</v>
      </c>
      <c r="S610" s="731"/>
      <c r="T610" s="731"/>
      <c r="U610" s="734"/>
      <c r="V610" s="731"/>
      <c r="W610" s="731"/>
      <c r="X610" s="734"/>
      <c r="Y610" s="731"/>
      <c r="Z610" s="731"/>
    </row>
    <row r="611">
      <c r="C611" s="734"/>
      <c r="D611" s="731"/>
      <c r="E611" s="731"/>
      <c r="F611" s="734"/>
      <c r="G611" s="731"/>
      <c r="H611" s="731"/>
      <c r="I611" s="734"/>
      <c r="J611" s="731"/>
      <c r="K611" s="731"/>
      <c r="L611" s="734"/>
      <c r="M611" s="731"/>
      <c r="N611" s="731"/>
      <c r="O611" s="730"/>
      <c r="P611" s="736">
        <v>44.0</v>
      </c>
      <c r="Q611" s="736">
        <v>8.0</v>
      </c>
      <c r="R611" s="766">
        <f>R610/60</f>
        <v>2.266666667</v>
      </c>
      <c r="S611" s="731"/>
      <c r="T611" s="731"/>
      <c r="U611" s="734"/>
      <c r="V611" s="731"/>
      <c r="W611" s="731"/>
      <c r="X611" s="734"/>
      <c r="Y611" s="731"/>
      <c r="Z611" s="731"/>
    </row>
    <row r="612">
      <c r="C612" s="734"/>
      <c r="D612" s="731"/>
      <c r="E612" s="731"/>
      <c r="F612" s="734"/>
      <c r="G612" s="731"/>
      <c r="H612" s="731"/>
      <c r="I612" s="734"/>
      <c r="J612" s="731"/>
      <c r="K612" s="731"/>
      <c r="L612" s="734"/>
      <c r="M612" s="736" t="s">
        <v>425</v>
      </c>
      <c r="N612" s="736">
        <v>2.0</v>
      </c>
      <c r="O612" s="730"/>
      <c r="P612" s="736">
        <v>47.0</v>
      </c>
      <c r="Q612" s="736">
        <v>47.0</v>
      </c>
      <c r="R612" s="766">
        <f>-P612*60-Q612+P613*60+Q613</f>
        <v>149</v>
      </c>
      <c r="S612" s="731"/>
      <c r="T612" s="731"/>
      <c r="U612" s="734"/>
      <c r="V612" s="731"/>
      <c r="W612" s="731"/>
      <c r="X612" s="734"/>
      <c r="Y612" s="731"/>
      <c r="Z612" s="731"/>
    </row>
    <row r="613">
      <c r="C613" s="734"/>
      <c r="D613" s="731"/>
      <c r="E613" s="731"/>
      <c r="F613" s="734"/>
      <c r="G613" s="731"/>
      <c r="H613" s="731"/>
      <c r="I613" s="734"/>
      <c r="J613" s="731"/>
      <c r="K613" s="731"/>
      <c r="L613" s="734"/>
      <c r="M613" s="731"/>
      <c r="N613" s="731"/>
      <c r="O613" s="730"/>
      <c r="P613" s="736">
        <v>50.0</v>
      </c>
      <c r="Q613" s="736">
        <v>16.0</v>
      </c>
      <c r="R613" s="766">
        <f>R612/60</f>
        <v>2.483333333</v>
      </c>
      <c r="S613" s="731"/>
      <c r="T613" s="731"/>
      <c r="U613" s="734"/>
      <c r="V613" s="731"/>
      <c r="W613" s="731"/>
      <c r="X613" s="734"/>
      <c r="Y613" s="731"/>
      <c r="Z613" s="731"/>
    </row>
    <row r="614">
      <c r="C614" s="734"/>
      <c r="D614" s="731"/>
      <c r="E614" s="731"/>
      <c r="F614" s="734"/>
      <c r="G614" s="731"/>
      <c r="H614" s="731"/>
      <c r="I614" s="734"/>
      <c r="J614" s="731"/>
      <c r="K614" s="731"/>
      <c r="L614" s="734"/>
      <c r="M614" s="731"/>
      <c r="N614" s="736">
        <v>3.0</v>
      </c>
      <c r="O614" s="730"/>
      <c r="P614" s="731"/>
      <c r="Q614" s="731"/>
      <c r="R614" s="766">
        <f>-P614*60-Q614+P615*60+Q615</f>
        <v>0</v>
      </c>
      <c r="S614" s="731"/>
      <c r="T614" s="731"/>
      <c r="U614" s="734"/>
      <c r="V614" s="731"/>
      <c r="W614" s="731"/>
      <c r="X614" s="734"/>
      <c r="Y614" s="731"/>
      <c r="Z614" s="731"/>
    </row>
    <row r="615">
      <c r="C615" s="734"/>
      <c r="D615" s="731"/>
      <c r="E615" s="731"/>
      <c r="F615" s="734"/>
      <c r="G615" s="731"/>
      <c r="H615" s="731"/>
      <c r="I615" s="734"/>
      <c r="J615" s="731"/>
      <c r="K615" s="731"/>
      <c r="L615" s="734"/>
      <c r="M615" s="731"/>
      <c r="N615" s="731"/>
      <c r="O615" s="730"/>
      <c r="P615" s="731"/>
      <c r="Q615" s="731"/>
      <c r="R615" s="766">
        <f>R614/60</f>
        <v>0</v>
      </c>
      <c r="S615" s="731"/>
      <c r="T615" s="731"/>
      <c r="U615" s="734"/>
      <c r="V615" s="731"/>
      <c r="W615" s="731"/>
      <c r="X615" s="734"/>
      <c r="Y615" s="731"/>
      <c r="Z615" s="731"/>
    </row>
    <row r="616">
      <c r="C616" s="734"/>
      <c r="D616" s="731"/>
      <c r="E616" s="731"/>
      <c r="F616" s="734"/>
      <c r="G616" s="731"/>
      <c r="H616" s="731"/>
      <c r="I616" s="734"/>
      <c r="J616" s="731"/>
      <c r="K616" s="731"/>
      <c r="L616" s="734"/>
      <c r="M616" s="736" t="s">
        <v>452</v>
      </c>
      <c r="N616" s="736">
        <v>2.0</v>
      </c>
      <c r="O616" s="730"/>
      <c r="P616" s="736">
        <v>4.0</v>
      </c>
      <c r="Q616" s="736">
        <v>50.0</v>
      </c>
      <c r="R616" s="766">
        <f>-P616*60-Q616+P617*60+Q617</f>
        <v>95</v>
      </c>
      <c r="S616" s="731"/>
      <c r="T616" s="731"/>
      <c r="U616" s="734"/>
      <c r="V616" s="731"/>
      <c r="W616" s="731"/>
      <c r="X616" s="734"/>
      <c r="Y616" s="731"/>
      <c r="Z616" s="731"/>
    </row>
    <row r="617">
      <c r="C617" s="734"/>
      <c r="D617" s="731"/>
      <c r="E617" s="731"/>
      <c r="F617" s="734"/>
      <c r="G617" s="731"/>
      <c r="H617" s="731"/>
      <c r="I617" s="734"/>
      <c r="J617" s="731"/>
      <c r="K617" s="731"/>
      <c r="L617" s="734"/>
      <c r="M617" s="731"/>
      <c r="N617" s="731"/>
      <c r="O617" s="730"/>
      <c r="P617" s="736">
        <v>6.0</v>
      </c>
      <c r="Q617" s="736">
        <v>25.0</v>
      </c>
      <c r="R617" s="766">
        <f>R616/60</f>
        <v>1.583333333</v>
      </c>
      <c r="S617" s="731"/>
      <c r="T617" s="731"/>
      <c r="U617" s="734"/>
      <c r="V617" s="731"/>
      <c r="W617" s="731"/>
      <c r="X617" s="734"/>
      <c r="Y617" s="731"/>
      <c r="Z617" s="731"/>
    </row>
    <row r="618">
      <c r="C618" s="734"/>
      <c r="D618" s="731"/>
      <c r="E618" s="731"/>
      <c r="F618" s="734"/>
      <c r="G618" s="731"/>
      <c r="H618" s="731"/>
      <c r="I618" s="734"/>
      <c r="J618" s="731"/>
      <c r="K618" s="731"/>
      <c r="L618" s="734"/>
      <c r="M618" s="731"/>
      <c r="N618" s="736">
        <v>3.0</v>
      </c>
      <c r="O618" s="730"/>
      <c r="P618" s="736"/>
      <c r="Q618" s="736"/>
      <c r="R618" s="766">
        <f>-P618*60-Q618+P619*60+Q619</f>
        <v>0</v>
      </c>
      <c r="S618" s="731"/>
      <c r="T618" s="731"/>
      <c r="U618" s="734"/>
      <c r="V618" s="731"/>
      <c r="W618" s="731"/>
      <c r="X618" s="734"/>
      <c r="Y618" s="731"/>
      <c r="Z618" s="731"/>
    </row>
    <row r="619">
      <c r="C619" s="734"/>
      <c r="D619" s="731"/>
      <c r="E619" s="731"/>
      <c r="F619" s="734"/>
      <c r="G619" s="731"/>
      <c r="H619" s="731"/>
      <c r="I619" s="734"/>
      <c r="J619" s="731"/>
      <c r="K619" s="731"/>
      <c r="L619" s="734"/>
      <c r="M619" s="731"/>
      <c r="N619" s="731"/>
      <c r="O619" s="730"/>
      <c r="P619" s="731"/>
      <c r="Q619" s="731"/>
      <c r="R619" s="766">
        <f>R618/60</f>
        <v>0</v>
      </c>
      <c r="S619" s="731"/>
      <c r="T619" s="731"/>
      <c r="U619" s="734"/>
      <c r="V619" s="731"/>
      <c r="W619" s="731"/>
      <c r="X619" s="734"/>
      <c r="Y619" s="731"/>
      <c r="Z619" s="731"/>
    </row>
    <row r="620">
      <c r="C620" s="734"/>
      <c r="D620" s="731"/>
      <c r="E620" s="731"/>
      <c r="F620" s="734"/>
      <c r="G620" s="731"/>
      <c r="H620" s="731"/>
      <c r="I620" s="734"/>
      <c r="J620" s="731"/>
      <c r="K620" s="731"/>
      <c r="L620" s="734"/>
      <c r="M620" s="736" t="s">
        <v>453</v>
      </c>
      <c r="N620" s="736">
        <v>1.5</v>
      </c>
      <c r="O620" s="730"/>
      <c r="P620" s="736">
        <v>10.0</v>
      </c>
      <c r="Q620" s="736">
        <v>8.0</v>
      </c>
      <c r="R620" s="766">
        <f>-P620*60-Q620+P621*60+Q621</f>
        <v>100</v>
      </c>
      <c r="S620" s="731"/>
      <c r="T620" s="731"/>
      <c r="U620" s="734"/>
      <c r="V620" s="731"/>
      <c r="W620" s="731"/>
      <c r="X620" s="734"/>
      <c r="Y620" s="731"/>
      <c r="Z620" s="731"/>
    </row>
    <row r="621">
      <c r="C621" s="734"/>
      <c r="D621" s="731"/>
      <c r="E621" s="731"/>
      <c r="F621" s="734"/>
      <c r="G621" s="731"/>
      <c r="H621" s="731"/>
      <c r="I621" s="734"/>
      <c r="J621" s="731"/>
      <c r="K621" s="731"/>
      <c r="L621" s="734"/>
      <c r="M621" s="731"/>
      <c r="N621" s="731"/>
      <c r="O621" s="730"/>
      <c r="P621" s="736">
        <v>11.0</v>
      </c>
      <c r="Q621" s="736">
        <v>48.0</v>
      </c>
      <c r="R621" s="766">
        <f>R620/60</f>
        <v>1.666666667</v>
      </c>
      <c r="S621" s="731"/>
      <c r="T621" s="731"/>
      <c r="U621" s="734"/>
      <c r="V621" s="731"/>
      <c r="W621" s="731"/>
      <c r="X621" s="734"/>
      <c r="Y621" s="731"/>
      <c r="Z621" s="731"/>
    </row>
    <row r="622">
      <c r="C622" s="734"/>
      <c r="D622" s="731"/>
      <c r="E622" s="731"/>
      <c r="F622" s="734"/>
      <c r="G622" s="731"/>
      <c r="H622" s="731"/>
      <c r="I622" s="734"/>
      <c r="J622" s="731"/>
      <c r="K622" s="731"/>
      <c r="L622" s="734"/>
      <c r="M622" s="731"/>
      <c r="N622" s="736">
        <v>2.5</v>
      </c>
      <c r="O622" s="730"/>
      <c r="P622" s="731"/>
      <c r="Q622" s="731"/>
      <c r="R622" s="766">
        <f>-P622*60-Q622+P623*60+Q623</f>
        <v>0</v>
      </c>
      <c r="S622" s="731"/>
      <c r="T622" s="731"/>
      <c r="U622" s="734"/>
      <c r="V622" s="731"/>
      <c r="W622" s="731"/>
      <c r="X622" s="734"/>
      <c r="Y622" s="731"/>
      <c r="Z622" s="731"/>
    </row>
    <row r="623">
      <c r="C623" s="734"/>
      <c r="D623" s="731"/>
      <c r="E623" s="731"/>
      <c r="F623" s="734"/>
      <c r="G623" s="731"/>
      <c r="H623" s="731"/>
      <c r="I623" s="734"/>
      <c r="J623" s="731"/>
      <c r="K623" s="731"/>
      <c r="L623" s="734"/>
      <c r="M623" s="731"/>
      <c r="N623" s="731"/>
      <c r="O623" s="730"/>
      <c r="P623" s="731"/>
      <c r="Q623" s="731"/>
      <c r="R623" s="766">
        <f>R622/60</f>
        <v>0</v>
      </c>
      <c r="S623" s="731"/>
      <c r="T623" s="731"/>
      <c r="U623" s="734"/>
      <c r="V623" s="731"/>
      <c r="W623" s="731"/>
      <c r="X623" s="734"/>
      <c r="Y623" s="731"/>
      <c r="Z623" s="731"/>
    </row>
    <row r="624">
      <c r="C624" s="734"/>
      <c r="D624" s="731"/>
      <c r="E624" s="731"/>
      <c r="F624" s="734"/>
      <c r="G624" s="731"/>
      <c r="H624" s="731"/>
      <c r="I624" s="734"/>
      <c r="J624" s="731"/>
      <c r="K624" s="731"/>
      <c r="L624" s="734"/>
      <c r="M624" s="736" t="s">
        <v>454</v>
      </c>
      <c r="N624" s="736">
        <v>9.0</v>
      </c>
      <c r="O624" s="730"/>
      <c r="P624" s="736">
        <v>39.0</v>
      </c>
      <c r="Q624" s="736">
        <v>3.0</v>
      </c>
      <c r="R624" s="766">
        <f>-P624*60-Q624+P625*60+Q625</f>
        <v>297</v>
      </c>
      <c r="S624" s="731"/>
      <c r="T624" s="731"/>
      <c r="U624" s="734"/>
      <c r="V624" s="731"/>
      <c r="W624" s="731"/>
      <c r="X624" s="734"/>
      <c r="Y624" s="731"/>
      <c r="Z624" s="731"/>
    </row>
    <row r="625">
      <c r="C625" s="734"/>
      <c r="D625" s="731"/>
      <c r="E625" s="731"/>
      <c r="F625" s="734"/>
      <c r="G625" s="731"/>
      <c r="H625" s="731"/>
      <c r="I625" s="734"/>
      <c r="J625" s="731"/>
      <c r="K625" s="731"/>
      <c r="L625" s="734"/>
      <c r="M625" s="731"/>
      <c r="N625" s="731"/>
      <c r="O625" s="730"/>
      <c r="P625" s="736">
        <v>44.0</v>
      </c>
      <c r="Q625" s="736">
        <v>0.0</v>
      </c>
      <c r="R625" s="766">
        <f>R624/60</f>
        <v>4.95</v>
      </c>
      <c r="S625" s="731"/>
      <c r="T625" s="731"/>
      <c r="U625" s="734"/>
      <c r="V625" s="731"/>
      <c r="W625" s="731"/>
      <c r="X625" s="734"/>
      <c r="Y625" s="731"/>
      <c r="Z625" s="731"/>
    </row>
    <row r="626">
      <c r="C626" s="734"/>
      <c r="D626" s="731"/>
      <c r="E626" s="731"/>
      <c r="F626" s="734"/>
      <c r="G626" s="731"/>
      <c r="H626" s="731"/>
      <c r="I626" s="734"/>
      <c r="J626" s="731"/>
      <c r="K626" s="731"/>
      <c r="L626" s="734"/>
      <c r="M626" s="736" t="s">
        <v>455</v>
      </c>
      <c r="N626" s="736">
        <v>10.0</v>
      </c>
      <c r="O626" s="730"/>
      <c r="P626" s="736">
        <v>47.0</v>
      </c>
      <c r="Q626" s="736">
        <v>53.0</v>
      </c>
      <c r="R626" s="766">
        <f>-P626*60-Q626+P627*60+Q627</f>
        <v>297</v>
      </c>
      <c r="S626" s="731"/>
      <c r="T626" s="731"/>
      <c r="U626" s="734"/>
      <c r="V626" s="731"/>
      <c r="W626" s="731"/>
      <c r="X626" s="734"/>
      <c r="Y626" s="731"/>
      <c r="Z626" s="731"/>
    </row>
    <row r="627">
      <c r="C627" s="734"/>
      <c r="D627" s="731"/>
      <c r="E627" s="731"/>
      <c r="F627" s="734"/>
      <c r="G627" s="731"/>
      <c r="H627" s="731"/>
      <c r="I627" s="734"/>
      <c r="J627" s="731"/>
      <c r="K627" s="731"/>
      <c r="L627" s="734"/>
      <c r="M627" s="731"/>
      <c r="N627" s="731"/>
      <c r="O627" s="730"/>
      <c r="P627" s="736">
        <v>52.0</v>
      </c>
      <c r="Q627" s="736">
        <v>50.0</v>
      </c>
      <c r="R627" s="766">
        <f>R626/60</f>
        <v>4.95</v>
      </c>
      <c r="S627" s="731"/>
      <c r="T627" s="731"/>
      <c r="U627" s="734"/>
      <c r="V627" s="731"/>
      <c r="W627" s="731"/>
      <c r="X627" s="734"/>
      <c r="Y627" s="731"/>
      <c r="Z627" s="731"/>
    </row>
    <row r="628">
      <c r="C628" s="734"/>
      <c r="D628" s="731"/>
      <c r="E628" s="731"/>
      <c r="F628" s="734"/>
      <c r="G628" s="731"/>
      <c r="H628" s="731"/>
      <c r="I628" s="734"/>
      <c r="J628" s="731"/>
      <c r="K628" s="731"/>
      <c r="L628" s="734"/>
      <c r="M628" s="736" t="s">
        <v>397</v>
      </c>
      <c r="N628" s="736">
        <v>10.0</v>
      </c>
      <c r="O628" s="730"/>
      <c r="P628" s="736">
        <v>4.0</v>
      </c>
      <c r="Q628" s="736">
        <v>44.0</v>
      </c>
      <c r="R628" s="766">
        <f>-P628*60-Q628+P629*60+Q629</f>
        <v>255</v>
      </c>
      <c r="S628" s="731"/>
      <c r="T628" s="731"/>
      <c r="U628" s="734"/>
      <c r="V628" s="731"/>
      <c r="W628" s="731"/>
      <c r="X628" s="734"/>
      <c r="Y628" s="731"/>
      <c r="Z628" s="731"/>
    </row>
    <row r="629">
      <c r="C629" s="734"/>
      <c r="D629" s="731"/>
      <c r="E629" s="731"/>
      <c r="F629" s="734"/>
      <c r="G629" s="731"/>
      <c r="H629" s="731"/>
      <c r="I629" s="734"/>
      <c r="J629" s="731"/>
      <c r="K629" s="731"/>
      <c r="L629" s="734"/>
      <c r="M629" s="731"/>
      <c r="N629" s="731"/>
      <c r="O629" s="730"/>
      <c r="P629" s="736">
        <v>8.0</v>
      </c>
      <c r="Q629" s="736">
        <v>59.0</v>
      </c>
      <c r="R629" s="766">
        <f>R628/60</f>
        <v>4.25</v>
      </c>
      <c r="S629" s="731"/>
      <c r="T629" s="731"/>
      <c r="U629" s="734"/>
      <c r="V629" s="731"/>
      <c r="W629" s="731"/>
      <c r="X629" s="734"/>
      <c r="Y629" s="731"/>
      <c r="Z629" s="731"/>
    </row>
    <row r="630">
      <c r="C630" s="734"/>
      <c r="D630" s="731"/>
      <c r="E630" s="731"/>
      <c r="F630" s="734"/>
      <c r="G630" s="731"/>
      <c r="H630" s="731"/>
      <c r="I630" s="734"/>
      <c r="J630" s="731"/>
      <c r="K630" s="731"/>
      <c r="L630" s="734"/>
      <c r="M630" s="731"/>
      <c r="N630" s="736">
        <v>20.0</v>
      </c>
      <c r="O630" s="730"/>
      <c r="P630" s="736">
        <v>23.0</v>
      </c>
      <c r="Q630" s="736">
        <v>33.0</v>
      </c>
      <c r="R630" s="766">
        <f>-P630*60-Q630+P631*60+Q631</f>
        <v>293</v>
      </c>
      <c r="S630" s="731"/>
      <c r="T630" s="731"/>
      <c r="U630" s="734"/>
      <c r="V630" s="731"/>
      <c r="W630" s="731"/>
      <c r="X630" s="734"/>
      <c r="Y630" s="731"/>
      <c r="Z630" s="731"/>
    </row>
    <row r="631">
      <c r="C631" s="734"/>
      <c r="D631" s="731"/>
      <c r="E631" s="731"/>
      <c r="F631" s="734"/>
      <c r="G631" s="731"/>
      <c r="H631" s="731"/>
      <c r="I631" s="734"/>
      <c r="J631" s="731"/>
      <c r="K631" s="731"/>
      <c r="L631" s="734"/>
      <c r="M631" s="731"/>
      <c r="N631" s="731"/>
      <c r="O631" s="730"/>
      <c r="P631" s="736">
        <v>28.0</v>
      </c>
      <c r="Q631" s="736">
        <v>26.0</v>
      </c>
      <c r="R631" s="766">
        <f>R630/60</f>
        <v>4.883333333</v>
      </c>
      <c r="S631" s="731"/>
      <c r="T631" s="731"/>
      <c r="U631" s="734"/>
      <c r="V631" s="731"/>
      <c r="W631" s="731"/>
      <c r="X631" s="734"/>
      <c r="Y631" s="731"/>
      <c r="Z631" s="731"/>
    </row>
    <row r="632">
      <c r="C632" s="734"/>
      <c r="D632" s="731"/>
      <c r="E632" s="731"/>
      <c r="F632" s="734"/>
      <c r="G632" s="731"/>
      <c r="H632" s="731"/>
      <c r="I632" s="734"/>
      <c r="J632" s="731"/>
      <c r="K632" s="731"/>
      <c r="L632" s="734"/>
      <c r="M632" s="736" t="s">
        <v>456</v>
      </c>
      <c r="N632" s="736">
        <v>7.5</v>
      </c>
      <c r="O632" s="730"/>
      <c r="P632" s="736">
        <v>12.0</v>
      </c>
      <c r="Q632" s="736">
        <v>40.0</v>
      </c>
      <c r="R632" s="766">
        <f>-P632*60-Q632+P633*60+Q633</f>
        <v>188</v>
      </c>
      <c r="S632" s="731"/>
      <c r="T632" s="731"/>
      <c r="U632" s="734"/>
      <c r="V632" s="731"/>
      <c r="W632" s="731"/>
      <c r="X632" s="734"/>
      <c r="Y632" s="731"/>
      <c r="Z632" s="731"/>
    </row>
    <row r="633">
      <c r="C633" s="734"/>
      <c r="D633" s="731"/>
      <c r="E633" s="731"/>
      <c r="F633" s="734"/>
      <c r="G633" s="731"/>
      <c r="H633" s="731"/>
      <c r="I633" s="734"/>
      <c r="J633" s="731"/>
      <c r="K633" s="731"/>
      <c r="L633" s="734"/>
      <c r="M633" s="731"/>
      <c r="N633" s="731"/>
      <c r="O633" s="730"/>
      <c r="P633" s="736">
        <v>15.0</v>
      </c>
      <c r="Q633" s="736">
        <v>48.0</v>
      </c>
      <c r="R633" s="766">
        <f>R632/60</f>
        <v>3.133333333</v>
      </c>
      <c r="S633" s="731"/>
      <c r="T633" s="731"/>
      <c r="U633" s="734"/>
      <c r="V633" s="731"/>
      <c r="W633" s="731"/>
      <c r="X633" s="734"/>
      <c r="Y633" s="731"/>
      <c r="Z633" s="731"/>
    </row>
    <row r="634">
      <c r="C634" s="734"/>
      <c r="D634" s="731"/>
      <c r="E634" s="731"/>
      <c r="F634" s="734"/>
      <c r="G634" s="731"/>
      <c r="H634" s="731"/>
      <c r="I634" s="734"/>
      <c r="J634" s="731"/>
      <c r="K634" s="731"/>
      <c r="L634" s="734"/>
      <c r="M634" s="736" t="s">
        <v>421</v>
      </c>
      <c r="N634" s="736">
        <v>17.5</v>
      </c>
      <c r="O634" s="730"/>
      <c r="P634" s="736">
        <v>46.0</v>
      </c>
      <c r="Q634" s="736">
        <v>38.0</v>
      </c>
      <c r="R634" s="766">
        <f>-P634*60-Q634+P635*60+Q635</f>
        <v>239</v>
      </c>
      <c r="S634" s="731"/>
      <c r="T634" s="731"/>
      <c r="U634" s="734"/>
      <c r="V634" s="731"/>
      <c r="W634" s="731"/>
      <c r="X634" s="734"/>
      <c r="Y634" s="731"/>
      <c r="Z634" s="731"/>
    </row>
    <row r="635">
      <c r="C635" s="734"/>
      <c r="D635" s="731"/>
      <c r="E635" s="731"/>
      <c r="F635" s="734"/>
      <c r="G635" s="731"/>
      <c r="H635" s="731"/>
      <c r="I635" s="734"/>
      <c r="J635" s="731"/>
      <c r="K635" s="731"/>
      <c r="L635" s="734"/>
      <c r="M635" s="731"/>
      <c r="N635" s="731"/>
      <c r="O635" s="730"/>
      <c r="P635" s="736">
        <v>50.0</v>
      </c>
      <c r="Q635" s="736">
        <v>37.0</v>
      </c>
      <c r="R635" s="766">
        <f>R634/60</f>
        <v>3.983333333</v>
      </c>
      <c r="S635" s="731"/>
      <c r="T635" s="731"/>
      <c r="U635" s="734"/>
      <c r="V635" s="731"/>
      <c r="W635" s="731"/>
      <c r="X635" s="734"/>
      <c r="Y635" s="731"/>
      <c r="Z635" s="731"/>
    </row>
    <row r="636">
      <c r="C636" s="734"/>
      <c r="D636" s="731"/>
      <c r="E636" s="731"/>
      <c r="F636" s="734"/>
      <c r="G636" s="731"/>
      <c r="H636" s="731"/>
      <c r="I636" s="734"/>
      <c r="J636" s="731"/>
      <c r="K636" s="731"/>
      <c r="L636" s="734"/>
      <c r="M636" s="736" t="s">
        <v>422</v>
      </c>
      <c r="N636" s="736">
        <v>15.0</v>
      </c>
      <c r="O636" s="730"/>
      <c r="P636" s="736">
        <v>54.0</v>
      </c>
      <c r="Q636" s="736">
        <v>9.0</v>
      </c>
      <c r="R636" s="766">
        <f>-P636*60-Q636+P637*60+Q637</f>
        <v>238</v>
      </c>
      <c r="S636" s="731"/>
      <c r="T636" s="731"/>
      <c r="U636" s="734"/>
      <c r="V636" s="731"/>
      <c r="W636" s="731"/>
      <c r="X636" s="734"/>
      <c r="Y636" s="731"/>
      <c r="Z636" s="731"/>
    </row>
    <row r="637">
      <c r="C637" s="734"/>
      <c r="D637" s="731"/>
      <c r="E637" s="731"/>
      <c r="F637" s="734"/>
      <c r="G637" s="731"/>
      <c r="H637" s="731"/>
      <c r="I637" s="734"/>
      <c r="J637" s="731"/>
      <c r="K637" s="731"/>
      <c r="L637" s="734"/>
      <c r="M637" s="731"/>
      <c r="N637" s="731"/>
      <c r="O637" s="730"/>
      <c r="P637" s="736">
        <v>58.0</v>
      </c>
      <c r="Q637" s="736">
        <v>7.0</v>
      </c>
      <c r="R637" s="766">
        <f>R636/60</f>
        <v>3.966666667</v>
      </c>
      <c r="S637" s="731"/>
      <c r="T637" s="731"/>
      <c r="U637" s="734"/>
      <c r="V637" s="731"/>
      <c r="W637" s="731"/>
      <c r="X637" s="734"/>
      <c r="Y637" s="731"/>
      <c r="Z637" s="731"/>
    </row>
    <row r="638">
      <c r="C638" s="734"/>
      <c r="D638" s="731"/>
      <c r="E638" s="731"/>
      <c r="F638" s="734"/>
      <c r="G638" s="731"/>
      <c r="H638" s="731"/>
      <c r="I638" s="734"/>
      <c r="J638" s="731"/>
      <c r="K638" s="731"/>
      <c r="L638" s="734"/>
      <c r="M638" s="736" t="s">
        <v>457</v>
      </c>
      <c r="N638" s="736">
        <v>2.0</v>
      </c>
      <c r="O638" s="730"/>
      <c r="P638" s="731"/>
      <c r="Q638" s="731"/>
      <c r="R638" s="766">
        <f>-P638*60-Q638+P639*60+Q639</f>
        <v>0</v>
      </c>
      <c r="S638" s="731"/>
      <c r="T638" s="731"/>
      <c r="U638" s="734"/>
      <c r="V638" s="731"/>
      <c r="W638" s="731"/>
      <c r="X638" s="734"/>
      <c r="Y638" s="731"/>
      <c r="Z638" s="731"/>
    </row>
    <row r="639">
      <c r="C639" s="734"/>
      <c r="D639" s="731"/>
      <c r="E639" s="731"/>
      <c r="F639" s="734"/>
      <c r="G639" s="731"/>
      <c r="H639" s="731"/>
      <c r="I639" s="734"/>
      <c r="J639" s="731"/>
      <c r="K639" s="731"/>
      <c r="L639" s="734"/>
      <c r="M639" s="731"/>
      <c r="N639" s="731"/>
      <c r="O639" s="730"/>
      <c r="P639" s="731"/>
      <c r="Q639" s="731"/>
      <c r="R639" s="766">
        <f>R638/60</f>
        <v>0</v>
      </c>
      <c r="S639" s="731"/>
      <c r="T639" s="731"/>
      <c r="U639" s="734"/>
      <c r="V639" s="731"/>
      <c r="W639" s="731"/>
      <c r="X639" s="734"/>
      <c r="Y639" s="731"/>
      <c r="Z639" s="731"/>
    </row>
    <row r="640">
      <c r="C640" s="734"/>
      <c r="D640" s="731"/>
      <c r="E640" s="731"/>
      <c r="F640" s="734"/>
      <c r="G640" s="731"/>
      <c r="H640" s="731"/>
      <c r="I640" s="734"/>
      <c r="J640" s="731"/>
      <c r="K640" s="731"/>
      <c r="L640" s="734"/>
      <c r="M640" s="736" t="s">
        <v>428</v>
      </c>
      <c r="N640" s="736">
        <v>5.0</v>
      </c>
      <c r="O640" s="730"/>
      <c r="P640" s="731"/>
      <c r="Q640" s="731"/>
      <c r="R640" s="766">
        <f>-P640*60-Q640+P641*60+Q641</f>
        <v>0</v>
      </c>
      <c r="S640" s="731"/>
      <c r="T640" s="731"/>
      <c r="U640" s="734"/>
      <c r="V640" s="731"/>
      <c r="W640" s="731"/>
      <c r="X640" s="734"/>
      <c r="Y640" s="731"/>
      <c r="Z640" s="731"/>
    </row>
    <row r="641">
      <c r="C641" s="734"/>
      <c r="D641" s="731"/>
      <c r="E641" s="731"/>
      <c r="F641" s="734"/>
      <c r="G641" s="731"/>
      <c r="H641" s="731"/>
      <c r="I641" s="734"/>
      <c r="J641" s="731"/>
      <c r="K641" s="731"/>
      <c r="L641" s="734"/>
      <c r="M641" s="731"/>
      <c r="N641" s="731"/>
      <c r="O641" s="730"/>
      <c r="P641" s="731"/>
      <c r="Q641" s="731"/>
      <c r="R641" s="766">
        <f>R640/60</f>
        <v>0</v>
      </c>
      <c r="S641" s="731"/>
      <c r="T641" s="731"/>
      <c r="U641" s="734"/>
      <c r="V641" s="731"/>
      <c r="W641" s="731"/>
      <c r="X641" s="734"/>
      <c r="Y641" s="731"/>
      <c r="Z641" s="731"/>
    </row>
    <row r="642">
      <c r="C642" s="734"/>
      <c r="D642" s="731"/>
      <c r="E642" s="731"/>
      <c r="F642" s="734"/>
      <c r="G642" s="731"/>
      <c r="H642" s="731"/>
      <c r="I642" s="734"/>
      <c r="J642" s="731"/>
      <c r="K642" s="731"/>
      <c r="L642" s="734"/>
      <c r="M642" s="736"/>
      <c r="N642" s="736">
        <v>10.0</v>
      </c>
      <c r="O642" s="730"/>
      <c r="P642" s="731"/>
      <c r="Q642" s="731"/>
      <c r="R642" s="766">
        <f>-P642*60-Q642+P643*60+Q643</f>
        <v>0</v>
      </c>
      <c r="S642" s="731"/>
      <c r="T642" s="731"/>
      <c r="U642" s="734"/>
      <c r="V642" s="731"/>
      <c r="W642" s="731"/>
      <c r="X642" s="734"/>
      <c r="Y642" s="731"/>
      <c r="Z642" s="731"/>
    </row>
    <row r="643">
      <c r="C643" s="734"/>
      <c r="D643" s="731"/>
      <c r="E643" s="731"/>
      <c r="F643" s="734"/>
      <c r="G643" s="731"/>
      <c r="H643" s="731"/>
      <c r="I643" s="734"/>
      <c r="J643" s="731"/>
      <c r="K643" s="731"/>
      <c r="L643" s="734"/>
      <c r="M643" s="731"/>
      <c r="N643" s="731"/>
      <c r="O643" s="730"/>
      <c r="P643" s="731"/>
      <c r="Q643" s="731"/>
      <c r="R643" s="766">
        <f>R642/60</f>
        <v>0</v>
      </c>
      <c r="S643" s="731"/>
      <c r="T643" s="731"/>
      <c r="U643" s="734"/>
      <c r="V643" s="731"/>
      <c r="W643" s="731"/>
      <c r="X643" s="734"/>
      <c r="Y643" s="731"/>
      <c r="Z643" s="731"/>
    </row>
    <row r="644">
      <c r="C644" s="734"/>
      <c r="D644" s="731"/>
      <c r="E644" s="731"/>
      <c r="F644" s="734"/>
      <c r="G644" s="731"/>
      <c r="H644" s="731"/>
      <c r="I644" s="734"/>
      <c r="J644" s="731"/>
      <c r="K644" s="731"/>
      <c r="L644" s="734"/>
      <c r="M644" s="736"/>
      <c r="N644" s="736">
        <v>30.0</v>
      </c>
      <c r="O644" s="730"/>
      <c r="P644" s="731"/>
      <c r="Q644" s="731"/>
      <c r="R644" s="766">
        <f>-P644*60-Q644+P645*60+Q645</f>
        <v>0</v>
      </c>
      <c r="S644" s="731"/>
      <c r="T644" s="731"/>
      <c r="U644" s="734"/>
      <c r="V644" s="731"/>
      <c r="W644" s="731"/>
      <c r="X644" s="734"/>
      <c r="Y644" s="731"/>
      <c r="Z644" s="731"/>
    </row>
    <row r="645">
      <c r="C645" s="734"/>
      <c r="D645" s="731"/>
      <c r="E645" s="731"/>
      <c r="F645" s="734"/>
      <c r="G645" s="731"/>
      <c r="H645" s="731"/>
      <c r="I645" s="734"/>
      <c r="J645" s="731"/>
      <c r="K645" s="731"/>
      <c r="L645" s="734"/>
      <c r="M645" s="731"/>
      <c r="N645" s="731"/>
      <c r="O645" s="730"/>
      <c r="P645" s="731"/>
      <c r="Q645" s="731"/>
      <c r="R645" s="766">
        <f>R644/60</f>
        <v>0</v>
      </c>
      <c r="S645" s="731"/>
      <c r="T645" s="731"/>
      <c r="U645" s="734"/>
      <c r="V645" s="731"/>
      <c r="W645" s="731"/>
      <c r="X645" s="734"/>
      <c r="Y645" s="731"/>
      <c r="Z645" s="731"/>
    </row>
    <row r="646">
      <c r="C646" s="734"/>
      <c r="D646" s="731"/>
      <c r="E646" s="731"/>
      <c r="F646" s="734"/>
      <c r="G646" s="731"/>
      <c r="H646" s="731"/>
      <c r="I646" s="734"/>
      <c r="J646" s="731"/>
      <c r="K646" s="731"/>
      <c r="L646" s="734"/>
      <c r="M646" s="736" t="s">
        <v>458</v>
      </c>
      <c r="N646" s="736">
        <v>5.0</v>
      </c>
      <c r="O646" s="730"/>
      <c r="P646" s="731"/>
      <c r="Q646" s="731"/>
      <c r="R646" s="766">
        <f>-P646*60-Q646+P647*60+Q647</f>
        <v>0</v>
      </c>
      <c r="S646" s="731"/>
      <c r="T646" s="731"/>
      <c r="U646" s="734"/>
      <c r="V646" s="731"/>
      <c r="W646" s="731"/>
      <c r="X646" s="734"/>
      <c r="Y646" s="731"/>
      <c r="Z646" s="731"/>
    </row>
    <row r="647">
      <c r="C647" s="734"/>
      <c r="D647" s="731"/>
      <c r="E647" s="731"/>
      <c r="F647" s="734"/>
      <c r="G647" s="731"/>
      <c r="H647" s="731"/>
      <c r="I647" s="734"/>
      <c r="J647" s="731"/>
      <c r="K647" s="731"/>
      <c r="L647" s="734"/>
      <c r="M647" s="731"/>
      <c r="N647" s="731"/>
      <c r="O647" s="730"/>
      <c r="P647" s="731"/>
      <c r="Q647" s="731"/>
      <c r="R647" s="766">
        <f>R646/60</f>
        <v>0</v>
      </c>
      <c r="S647" s="731"/>
      <c r="T647" s="731"/>
      <c r="U647" s="734"/>
      <c r="V647" s="731"/>
      <c r="W647" s="731"/>
      <c r="X647" s="734"/>
      <c r="Y647" s="731"/>
      <c r="Z647" s="731"/>
    </row>
    <row r="648">
      <c r="C648" s="734"/>
      <c r="D648" s="731"/>
      <c r="E648" s="731"/>
      <c r="F648" s="734"/>
      <c r="G648" s="731"/>
      <c r="H648" s="731"/>
      <c r="I648" s="734"/>
      <c r="J648" s="731"/>
      <c r="K648" s="731"/>
      <c r="L648" s="734"/>
      <c r="M648" s="731"/>
      <c r="N648" s="736">
        <v>8.0</v>
      </c>
      <c r="O648" s="730"/>
      <c r="P648" s="731"/>
      <c r="Q648" s="731"/>
      <c r="R648" s="766">
        <f>-P648*60-Q648+P649*60+Q649</f>
        <v>0</v>
      </c>
      <c r="S648" s="731"/>
      <c r="T648" s="731"/>
      <c r="U648" s="734"/>
      <c r="V648" s="731"/>
      <c r="W648" s="731"/>
      <c r="X648" s="734"/>
      <c r="Y648" s="731"/>
      <c r="Z648" s="731"/>
    </row>
    <row r="649">
      <c r="C649" s="734"/>
      <c r="D649" s="731"/>
      <c r="E649" s="731"/>
      <c r="F649" s="734"/>
      <c r="G649" s="731"/>
      <c r="H649" s="731"/>
      <c r="I649" s="734"/>
      <c r="J649" s="731"/>
      <c r="K649" s="731"/>
      <c r="L649" s="734"/>
      <c r="M649" s="731"/>
      <c r="N649" s="731"/>
      <c r="O649" s="730"/>
      <c r="P649" s="731"/>
      <c r="Q649" s="731"/>
      <c r="R649" s="766">
        <f>R648/60</f>
        <v>0</v>
      </c>
      <c r="S649" s="731"/>
      <c r="T649" s="731"/>
      <c r="U649" s="734"/>
      <c r="V649" s="731"/>
      <c r="W649" s="731"/>
      <c r="X649" s="734"/>
      <c r="Y649" s="731"/>
      <c r="Z649" s="731"/>
    </row>
    <row r="650">
      <c r="C650" s="734"/>
      <c r="D650" s="731"/>
      <c r="E650" s="731"/>
      <c r="F650" s="734"/>
      <c r="G650" s="731"/>
      <c r="H650" s="731"/>
      <c r="I650" s="734"/>
      <c r="J650" s="731"/>
      <c r="K650" s="731"/>
      <c r="L650" s="734"/>
      <c r="M650" s="736" t="s">
        <v>459</v>
      </c>
      <c r="N650" s="736">
        <v>2.0</v>
      </c>
      <c r="O650" s="730"/>
      <c r="P650" s="731"/>
      <c r="Q650" s="731"/>
      <c r="R650" s="766">
        <f>-P650*60-Q650+P651*60+Q651</f>
        <v>0</v>
      </c>
      <c r="S650" s="731"/>
      <c r="T650" s="731"/>
      <c r="U650" s="734"/>
      <c r="V650" s="731"/>
      <c r="W650" s="731"/>
      <c r="X650" s="734"/>
      <c r="Y650" s="731"/>
      <c r="Z650" s="731"/>
    </row>
    <row r="651">
      <c r="C651" s="734"/>
      <c r="D651" s="731"/>
      <c r="E651" s="731"/>
      <c r="F651" s="734"/>
      <c r="G651" s="731"/>
      <c r="H651" s="731"/>
      <c r="I651" s="734"/>
      <c r="J651" s="731"/>
      <c r="K651" s="731"/>
      <c r="L651" s="734"/>
      <c r="M651" s="731"/>
      <c r="N651" s="731"/>
      <c r="O651" s="730"/>
      <c r="P651" s="731"/>
      <c r="Q651" s="731"/>
      <c r="R651" s="766">
        <f>R650/60</f>
        <v>0</v>
      </c>
      <c r="S651" s="731"/>
      <c r="T651" s="731"/>
      <c r="U651" s="734"/>
      <c r="V651" s="731"/>
      <c r="W651" s="731"/>
      <c r="X651" s="734"/>
      <c r="Y651" s="731"/>
      <c r="Z651" s="731"/>
    </row>
    <row r="652">
      <c r="C652" s="734"/>
      <c r="D652" s="731"/>
      <c r="E652" s="731"/>
      <c r="F652" s="734"/>
      <c r="G652" s="731"/>
      <c r="H652" s="731"/>
      <c r="I652" s="734"/>
      <c r="J652" s="731"/>
      <c r="K652" s="731"/>
      <c r="L652" s="734"/>
      <c r="M652" s="736" t="s">
        <v>460</v>
      </c>
      <c r="N652" s="736">
        <v>5.0</v>
      </c>
      <c r="O652" s="730"/>
      <c r="P652" s="731"/>
      <c r="Q652" s="731"/>
      <c r="R652" s="766">
        <f>-P652*60-Q652+P653*60+Q653</f>
        <v>0</v>
      </c>
      <c r="S652" s="731"/>
      <c r="T652" s="731"/>
      <c r="U652" s="734"/>
      <c r="V652" s="731"/>
      <c r="W652" s="731"/>
      <c r="X652" s="734"/>
      <c r="Y652" s="731"/>
      <c r="Z652" s="731"/>
    </row>
    <row r="653">
      <c r="C653" s="734"/>
      <c r="D653" s="731"/>
      <c r="E653" s="731"/>
      <c r="F653" s="734"/>
      <c r="G653" s="731"/>
      <c r="H653" s="731"/>
      <c r="I653" s="734"/>
      <c r="J653" s="731"/>
      <c r="K653" s="731"/>
      <c r="L653" s="734"/>
      <c r="M653" s="731"/>
      <c r="N653" s="731"/>
      <c r="O653" s="730"/>
      <c r="P653" s="731"/>
      <c r="Q653" s="731"/>
      <c r="R653" s="766">
        <f>R652/60</f>
        <v>0</v>
      </c>
      <c r="S653" s="731"/>
      <c r="T653" s="731"/>
      <c r="U653" s="734"/>
      <c r="V653" s="731"/>
      <c r="W653" s="731"/>
      <c r="X653" s="734"/>
      <c r="Y653" s="731"/>
      <c r="Z653" s="731"/>
    </row>
    <row r="654">
      <c r="C654" s="734"/>
      <c r="D654" s="731"/>
      <c r="E654" s="731"/>
      <c r="F654" s="734"/>
      <c r="G654" s="731"/>
      <c r="H654" s="731"/>
      <c r="I654" s="734"/>
      <c r="J654" s="731"/>
      <c r="K654" s="731"/>
      <c r="L654" s="734"/>
      <c r="M654" s="736" t="s">
        <v>461</v>
      </c>
      <c r="N654" s="736">
        <v>15.0</v>
      </c>
      <c r="O654" s="730"/>
      <c r="P654" s="736">
        <v>4.0</v>
      </c>
      <c r="Q654" s="736">
        <v>40.0</v>
      </c>
      <c r="R654" s="766">
        <f>-P654*60-Q654+P655*60+Q655</f>
        <v>79</v>
      </c>
      <c r="S654" s="731"/>
      <c r="T654" s="731"/>
      <c r="U654" s="734"/>
      <c r="V654" s="731"/>
      <c r="W654" s="731"/>
      <c r="X654" s="734"/>
      <c r="Y654" s="731"/>
      <c r="Z654" s="731"/>
    </row>
    <row r="655">
      <c r="C655" s="734"/>
      <c r="D655" s="731"/>
      <c r="E655" s="731"/>
      <c r="F655" s="734"/>
      <c r="G655" s="731"/>
      <c r="H655" s="731"/>
      <c r="I655" s="734"/>
      <c r="J655" s="731"/>
      <c r="K655" s="731"/>
      <c r="L655" s="734"/>
      <c r="M655" s="731"/>
      <c r="N655" s="731"/>
      <c r="O655" s="730"/>
      <c r="P655" s="736">
        <v>5.0</v>
      </c>
      <c r="Q655" s="736">
        <v>59.0</v>
      </c>
      <c r="R655" s="766">
        <f>R654/60</f>
        <v>1.316666667</v>
      </c>
      <c r="S655" s="731"/>
      <c r="T655" s="731"/>
      <c r="U655" s="734"/>
      <c r="V655" s="731"/>
      <c r="W655" s="731"/>
      <c r="X655" s="734"/>
      <c r="Y655" s="731"/>
      <c r="Z655" s="731"/>
    </row>
    <row r="656">
      <c r="C656" s="734"/>
      <c r="D656" s="731"/>
      <c r="E656" s="731"/>
      <c r="F656" s="734"/>
      <c r="G656" s="731"/>
      <c r="H656" s="731"/>
      <c r="I656" s="734"/>
      <c r="J656" s="731"/>
      <c r="K656" s="731"/>
      <c r="L656" s="734"/>
      <c r="M656" s="731"/>
      <c r="N656" s="736">
        <v>20.0</v>
      </c>
      <c r="O656" s="730"/>
      <c r="P656" s="736">
        <v>28.0</v>
      </c>
      <c r="Q656" s="736">
        <v>54.0</v>
      </c>
      <c r="R656" s="766">
        <f>-P656*60-Q656+P657*60+Q657</f>
        <v>91</v>
      </c>
      <c r="S656" s="731"/>
      <c r="T656" s="731"/>
      <c r="U656" s="734"/>
      <c r="V656" s="731"/>
      <c r="W656" s="731"/>
      <c r="X656" s="734"/>
      <c r="Y656" s="731"/>
      <c r="Z656" s="731"/>
    </row>
    <row r="657">
      <c r="C657" s="734"/>
      <c r="D657" s="731"/>
      <c r="E657" s="731"/>
      <c r="F657" s="734"/>
      <c r="G657" s="731"/>
      <c r="H657" s="731"/>
      <c r="I657" s="734"/>
      <c r="J657" s="731"/>
      <c r="K657" s="731"/>
      <c r="L657" s="734"/>
      <c r="M657" s="731"/>
      <c r="N657" s="731"/>
      <c r="O657" s="730"/>
      <c r="P657" s="736">
        <v>30.0</v>
      </c>
      <c r="Q657" s="736">
        <v>25.0</v>
      </c>
      <c r="R657" s="766">
        <f>R656/60</f>
        <v>1.516666667</v>
      </c>
      <c r="S657" s="731"/>
      <c r="T657" s="731"/>
      <c r="U657" s="734"/>
      <c r="V657" s="731"/>
      <c r="W657" s="731"/>
      <c r="X657" s="734"/>
      <c r="Y657" s="731"/>
      <c r="Z657" s="731"/>
    </row>
    <row r="658">
      <c r="C658" s="734"/>
      <c r="D658" s="731"/>
      <c r="E658" s="731"/>
      <c r="F658" s="734"/>
      <c r="G658" s="731"/>
      <c r="H658" s="731"/>
      <c r="I658" s="734"/>
      <c r="J658" s="731"/>
      <c r="K658" s="731"/>
      <c r="L658" s="734"/>
      <c r="M658" s="736">
        <v>5.7</v>
      </c>
      <c r="N658" s="736">
        <v>20.0</v>
      </c>
      <c r="O658" s="730"/>
      <c r="P658" s="736">
        <v>11.0</v>
      </c>
      <c r="Q658" s="736">
        <v>49.0</v>
      </c>
      <c r="R658" s="766">
        <f>-P658*60-Q658+P659*60+Q659</f>
        <v>73</v>
      </c>
      <c r="S658" s="731"/>
      <c r="T658" s="731"/>
      <c r="U658" s="734"/>
      <c r="V658" s="731"/>
      <c r="W658" s="731"/>
      <c r="X658" s="734"/>
      <c r="Y658" s="731"/>
      <c r="Z658" s="731"/>
    </row>
    <row r="659">
      <c r="C659" s="734"/>
      <c r="D659" s="731"/>
      <c r="E659" s="731"/>
      <c r="F659" s="734"/>
      <c r="G659" s="731"/>
      <c r="H659" s="731"/>
      <c r="I659" s="734"/>
      <c r="J659" s="731"/>
      <c r="K659" s="731"/>
      <c r="L659" s="734"/>
      <c r="M659" s="731"/>
      <c r="N659" s="731"/>
      <c r="O659" s="730"/>
      <c r="P659" s="736">
        <v>13.0</v>
      </c>
      <c r="Q659" s="736">
        <v>2.0</v>
      </c>
      <c r="R659" s="766">
        <f>R658/60</f>
        <v>1.216666667</v>
      </c>
      <c r="S659" s="731"/>
      <c r="T659" s="731"/>
      <c r="U659" s="734"/>
      <c r="V659" s="731"/>
      <c r="W659" s="731"/>
      <c r="X659" s="734"/>
      <c r="Y659" s="731"/>
      <c r="Z659" s="731"/>
    </row>
    <row r="660">
      <c r="C660" s="734"/>
      <c r="D660" s="731"/>
      <c r="E660" s="731"/>
      <c r="F660" s="734"/>
      <c r="G660" s="731"/>
      <c r="H660" s="731"/>
      <c r="I660" s="734"/>
      <c r="J660" s="731"/>
      <c r="K660" s="731"/>
      <c r="L660" s="734"/>
      <c r="M660" s="731"/>
      <c r="N660" s="736">
        <v>30.0</v>
      </c>
      <c r="O660" s="730"/>
      <c r="P660" s="736">
        <v>41.0</v>
      </c>
      <c r="Q660" s="736">
        <v>12.0</v>
      </c>
      <c r="R660" s="766">
        <f>-P660*60-Q660+P661*60+Q661</f>
        <v>85</v>
      </c>
      <c r="S660" s="731"/>
      <c r="T660" s="731"/>
      <c r="U660" s="734"/>
      <c r="V660" s="731"/>
      <c r="W660" s="731"/>
      <c r="X660" s="734"/>
      <c r="Y660" s="731"/>
      <c r="Z660" s="731"/>
    </row>
    <row r="661">
      <c r="C661" s="734"/>
      <c r="D661" s="731"/>
      <c r="E661" s="731"/>
      <c r="F661" s="734"/>
      <c r="G661" s="731"/>
      <c r="H661" s="731"/>
      <c r="I661" s="734"/>
      <c r="J661" s="731"/>
      <c r="K661" s="731"/>
      <c r="L661" s="734"/>
      <c r="M661" s="731"/>
      <c r="N661" s="731"/>
      <c r="O661" s="730"/>
      <c r="P661" s="736">
        <v>42.0</v>
      </c>
      <c r="Q661" s="736">
        <v>37.0</v>
      </c>
      <c r="R661" s="766">
        <f>R660/60</f>
        <v>1.416666667</v>
      </c>
      <c r="S661" s="731"/>
      <c r="T661" s="731"/>
      <c r="U661" s="734"/>
      <c r="V661" s="731"/>
      <c r="W661" s="731"/>
      <c r="X661" s="734"/>
      <c r="Y661" s="731"/>
      <c r="Z661" s="731"/>
    </row>
    <row r="662">
      <c r="C662" s="734"/>
      <c r="D662" s="731"/>
      <c r="E662" s="731"/>
      <c r="F662" s="734"/>
      <c r="G662" s="731"/>
      <c r="H662" s="731"/>
      <c r="I662" s="734"/>
      <c r="J662" s="731"/>
      <c r="K662" s="731"/>
      <c r="L662" s="734"/>
      <c r="M662" s="736" t="s">
        <v>462</v>
      </c>
      <c r="N662" s="736">
        <v>8.0</v>
      </c>
      <c r="O662" s="730"/>
      <c r="P662" s="736">
        <v>17.0</v>
      </c>
      <c r="Q662" s="736">
        <v>59.0</v>
      </c>
      <c r="R662" s="766">
        <f>-P662*60-Q662+P663*60+Q663</f>
        <v>85</v>
      </c>
      <c r="S662" s="731"/>
      <c r="T662" s="731"/>
      <c r="U662" s="734"/>
      <c r="V662" s="731"/>
      <c r="W662" s="731"/>
      <c r="X662" s="734"/>
      <c r="Y662" s="731"/>
      <c r="Z662" s="731"/>
    </row>
    <row r="663">
      <c r="C663" s="734"/>
      <c r="D663" s="731"/>
      <c r="E663" s="731"/>
      <c r="F663" s="734"/>
      <c r="G663" s="731"/>
      <c r="H663" s="731"/>
      <c r="I663" s="734"/>
      <c r="J663" s="731"/>
      <c r="K663" s="731"/>
      <c r="L663" s="734"/>
      <c r="M663" s="731"/>
      <c r="N663" s="731"/>
      <c r="O663" s="730"/>
      <c r="P663" s="736">
        <v>19.0</v>
      </c>
      <c r="Q663" s="736">
        <v>24.0</v>
      </c>
      <c r="R663" s="766">
        <f>R662/60</f>
        <v>1.416666667</v>
      </c>
      <c r="S663" s="731"/>
      <c r="T663" s="731"/>
      <c r="U663" s="734"/>
      <c r="V663" s="731"/>
      <c r="W663" s="731"/>
      <c r="X663" s="734"/>
      <c r="Y663" s="731"/>
      <c r="Z663" s="731"/>
    </row>
    <row r="664">
      <c r="C664" s="734"/>
      <c r="D664" s="731"/>
      <c r="E664" s="731"/>
      <c r="F664" s="734"/>
      <c r="G664" s="731"/>
      <c r="H664" s="731"/>
      <c r="I664" s="734"/>
      <c r="J664" s="731"/>
      <c r="K664" s="731"/>
      <c r="L664" s="734"/>
      <c r="M664" s="731"/>
      <c r="N664" s="736">
        <v>15.0</v>
      </c>
      <c r="O664" s="730"/>
      <c r="P664" s="736">
        <v>51.0</v>
      </c>
      <c r="Q664" s="736">
        <v>56.0</v>
      </c>
      <c r="R664" s="766">
        <f>-P664*60-Q664+P665*60+Q665</f>
        <v>97</v>
      </c>
      <c r="S664" s="731"/>
      <c r="T664" s="731"/>
      <c r="U664" s="734"/>
      <c r="V664" s="731"/>
      <c r="W664" s="731"/>
      <c r="X664" s="734"/>
      <c r="Y664" s="731"/>
      <c r="Z664" s="731"/>
    </row>
    <row r="665">
      <c r="C665" s="734"/>
      <c r="D665" s="731"/>
      <c r="E665" s="731"/>
      <c r="F665" s="734"/>
      <c r="G665" s="731"/>
      <c r="H665" s="731"/>
      <c r="I665" s="734"/>
      <c r="J665" s="731"/>
      <c r="K665" s="731"/>
      <c r="L665" s="734"/>
      <c r="M665" s="731"/>
      <c r="N665" s="731"/>
      <c r="O665" s="730"/>
      <c r="P665" s="736">
        <v>53.0</v>
      </c>
      <c r="Q665" s="736">
        <v>33.0</v>
      </c>
      <c r="R665" s="766">
        <f>R664/60</f>
        <v>1.616666667</v>
      </c>
      <c r="S665" s="731"/>
      <c r="T665" s="731"/>
      <c r="U665" s="734"/>
      <c r="V665" s="731"/>
      <c r="W665" s="731"/>
      <c r="X665" s="734"/>
      <c r="Y665" s="731"/>
      <c r="Z665" s="731"/>
    </row>
    <row r="666">
      <c r="C666" s="734"/>
      <c r="D666" s="731"/>
      <c r="E666" s="731"/>
      <c r="F666" s="734"/>
      <c r="G666" s="731"/>
      <c r="H666" s="731"/>
      <c r="I666" s="734"/>
      <c r="J666" s="731"/>
      <c r="K666" s="731"/>
      <c r="L666" s="734"/>
      <c r="M666" s="736" t="s">
        <v>232</v>
      </c>
      <c r="N666" s="736">
        <v>12.0</v>
      </c>
      <c r="O666" s="730"/>
      <c r="P666" s="736">
        <v>30.0</v>
      </c>
      <c r="Q666" s="736">
        <v>59.0</v>
      </c>
      <c r="R666" s="766">
        <f>-P666*60-Q666+P667*60+Q667</f>
        <v>76</v>
      </c>
      <c r="S666" s="731"/>
      <c r="T666" s="731"/>
      <c r="U666" s="734"/>
      <c r="V666" s="731"/>
      <c r="W666" s="731"/>
      <c r="X666" s="734"/>
      <c r="Y666" s="731"/>
      <c r="Z666" s="731"/>
    </row>
    <row r="667">
      <c r="C667" s="734"/>
      <c r="D667" s="731"/>
      <c r="E667" s="731"/>
      <c r="F667" s="734"/>
      <c r="G667" s="731"/>
      <c r="H667" s="731"/>
      <c r="I667" s="734"/>
      <c r="J667" s="731"/>
      <c r="K667" s="731"/>
      <c r="L667" s="734"/>
      <c r="M667" s="731"/>
      <c r="N667" s="731"/>
      <c r="O667" s="730"/>
      <c r="P667" s="736">
        <v>32.0</v>
      </c>
      <c r="Q667" s="736">
        <v>15.0</v>
      </c>
      <c r="R667" s="766">
        <f>R666/60</f>
        <v>1.266666667</v>
      </c>
      <c r="S667" s="731"/>
      <c r="T667" s="731"/>
      <c r="U667" s="734"/>
      <c r="V667" s="731"/>
      <c r="W667" s="731"/>
      <c r="X667" s="734"/>
      <c r="Y667" s="731"/>
      <c r="Z667" s="731"/>
    </row>
    <row r="668">
      <c r="C668" s="734"/>
      <c r="D668" s="731"/>
      <c r="E668" s="731"/>
      <c r="F668" s="734"/>
      <c r="G668" s="731"/>
      <c r="H668" s="731"/>
      <c r="I668" s="734"/>
      <c r="J668" s="731"/>
      <c r="K668" s="731"/>
      <c r="L668" s="734"/>
      <c r="M668" s="731"/>
      <c r="N668" s="736">
        <v>20.0</v>
      </c>
      <c r="O668" s="730"/>
      <c r="P668" s="736">
        <v>8.0</v>
      </c>
      <c r="Q668" s="736">
        <v>47.0</v>
      </c>
      <c r="R668" s="766">
        <f>-P668*60-Q668+P669*60+Q669</f>
        <v>87</v>
      </c>
      <c r="S668" s="731"/>
      <c r="T668" s="731"/>
      <c r="U668" s="734"/>
      <c r="V668" s="731"/>
      <c r="W668" s="731"/>
      <c r="X668" s="734"/>
      <c r="Y668" s="731"/>
      <c r="Z668" s="731"/>
    </row>
    <row r="669">
      <c r="C669" s="734"/>
      <c r="D669" s="731"/>
      <c r="E669" s="731"/>
      <c r="F669" s="734"/>
      <c r="G669" s="731"/>
      <c r="H669" s="731"/>
      <c r="I669" s="734"/>
      <c r="J669" s="731"/>
      <c r="K669" s="731"/>
      <c r="L669" s="734"/>
      <c r="M669" s="731"/>
      <c r="N669" s="731"/>
      <c r="O669" s="730"/>
      <c r="P669" s="736">
        <v>10.0</v>
      </c>
      <c r="Q669" s="736">
        <v>14.0</v>
      </c>
      <c r="R669" s="766">
        <f>R668/60</f>
        <v>1.45</v>
      </c>
      <c r="S669" s="731"/>
      <c r="T669" s="731"/>
      <c r="U669" s="734"/>
      <c r="V669" s="731"/>
      <c r="W669" s="731"/>
      <c r="X669" s="734"/>
      <c r="Y669" s="731"/>
      <c r="Z669" s="731"/>
    </row>
    <row r="670">
      <c r="C670" s="734"/>
      <c r="D670" s="731"/>
      <c r="E670" s="731"/>
      <c r="F670" s="734"/>
      <c r="G670" s="731"/>
      <c r="H670" s="731"/>
      <c r="I670" s="734"/>
      <c r="J670" s="731"/>
      <c r="K670" s="731"/>
      <c r="L670" s="734"/>
      <c r="M670" s="736" t="s">
        <v>236</v>
      </c>
      <c r="N670" s="736">
        <v>10.0</v>
      </c>
      <c r="O670" s="730"/>
      <c r="P670" s="736">
        <v>36.0</v>
      </c>
      <c r="Q670" s="736">
        <v>59.0</v>
      </c>
      <c r="R670" s="766">
        <f>-P670*60-Q670+P671*60+Q671</f>
        <v>80</v>
      </c>
      <c r="S670" s="731"/>
      <c r="T670" s="731"/>
      <c r="U670" s="734"/>
      <c r="V670" s="731"/>
      <c r="W670" s="731"/>
      <c r="X670" s="734"/>
      <c r="Y670" s="731"/>
      <c r="Z670" s="731"/>
    </row>
    <row r="671">
      <c r="C671" s="734"/>
      <c r="D671" s="731"/>
      <c r="E671" s="731"/>
      <c r="F671" s="734"/>
      <c r="G671" s="731"/>
      <c r="H671" s="731"/>
      <c r="I671" s="734"/>
      <c r="J671" s="731"/>
      <c r="K671" s="731"/>
      <c r="L671" s="734"/>
      <c r="M671" s="731"/>
      <c r="N671" s="731"/>
      <c r="O671" s="730"/>
      <c r="P671" s="736">
        <v>38.0</v>
      </c>
      <c r="Q671" s="736">
        <v>19.0</v>
      </c>
      <c r="R671" s="766">
        <f>R670/60</f>
        <v>1.333333333</v>
      </c>
      <c r="S671" s="731"/>
      <c r="T671" s="731"/>
      <c r="U671" s="734"/>
      <c r="V671" s="731"/>
      <c r="W671" s="731"/>
      <c r="X671" s="734"/>
      <c r="Y671" s="731"/>
      <c r="Z671" s="731"/>
    </row>
    <row r="672">
      <c r="C672" s="734"/>
      <c r="D672" s="731"/>
      <c r="E672" s="731"/>
      <c r="F672" s="734"/>
      <c r="G672" s="731"/>
      <c r="H672" s="731"/>
      <c r="I672" s="734"/>
      <c r="J672" s="731"/>
      <c r="K672" s="731"/>
      <c r="L672" s="734"/>
      <c r="M672" s="731"/>
      <c r="N672" s="736">
        <v>15.0</v>
      </c>
      <c r="O672" s="730"/>
      <c r="P672" s="736">
        <v>18.0</v>
      </c>
      <c r="Q672" s="736">
        <v>56.0</v>
      </c>
      <c r="R672" s="766">
        <f>-P672*60-Q672+P673*60+Q673</f>
        <v>91</v>
      </c>
      <c r="S672" s="731"/>
      <c r="T672" s="731"/>
      <c r="U672" s="734"/>
      <c r="V672" s="731"/>
      <c r="W672" s="731"/>
      <c r="X672" s="734"/>
      <c r="Y672" s="731"/>
      <c r="Z672" s="731"/>
    </row>
    <row r="673">
      <c r="C673" s="734"/>
      <c r="D673" s="731"/>
      <c r="E673" s="731"/>
      <c r="F673" s="734"/>
      <c r="G673" s="731"/>
      <c r="H673" s="731"/>
      <c r="I673" s="734"/>
      <c r="J673" s="731"/>
      <c r="K673" s="731"/>
      <c r="L673" s="734"/>
      <c r="M673" s="731"/>
      <c r="N673" s="731"/>
      <c r="O673" s="730"/>
      <c r="P673" s="736">
        <v>20.0</v>
      </c>
      <c r="Q673" s="736">
        <v>27.0</v>
      </c>
      <c r="R673" s="766">
        <f>R672/60</f>
        <v>1.516666667</v>
      </c>
      <c r="S673" s="731"/>
      <c r="T673" s="731"/>
      <c r="U673" s="734"/>
      <c r="V673" s="731"/>
      <c r="W673" s="731"/>
      <c r="X673" s="734"/>
      <c r="Y673" s="731"/>
      <c r="Z673" s="731"/>
    </row>
    <row r="674">
      <c r="C674" s="734"/>
      <c r="D674" s="731"/>
      <c r="E674" s="731"/>
      <c r="F674" s="734"/>
      <c r="G674" s="731"/>
      <c r="H674" s="731"/>
      <c r="I674" s="734"/>
      <c r="J674" s="731"/>
      <c r="K674" s="731"/>
      <c r="L674" s="734"/>
      <c r="M674" s="736" t="s">
        <v>242</v>
      </c>
      <c r="N674" s="736">
        <v>15.0</v>
      </c>
      <c r="O674" s="730"/>
      <c r="P674" s="736">
        <v>50.0</v>
      </c>
      <c r="Q674" s="736">
        <v>52.0</v>
      </c>
      <c r="R674" s="766">
        <f>-P674*60-Q674+P675*60+Q675</f>
        <v>82</v>
      </c>
      <c r="S674" s="731"/>
      <c r="T674" s="731"/>
      <c r="U674" s="734"/>
      <c r="V674" s="731"/>
      <c r="W674" s="731"/>
      <c r="X674" s="734"/>
      <c r="Y674" s="731"/>
      <c r="Z674" s="731"/>
    </row>
    <row r="675">
      <c r="C675" s="734"/>
      <c r="D675" s="731"/>
      <c r="E675" s="731"/>
      <c r="F675" s="734"/>
      <c r="G675" s="731"/>
      <c r="H675" s="731"/>
      <c r="I675" s="734"/>
      <c r="J675" s="731"/>
      <c r="K675" s="731"/>
      <c r="L675" s="734"/>
      <c r="M675" s="731"/>
      <c r="N675" s="731"/>
      <c r="O675" s="730"/>
      <c r="P675" s="736">
        <v>52.0</v>
      </c>
      <c r="Q675" s="736">
        <v>14.0</v>
      </c>
      <c r="R675" s="766">
        <f>R674/60</f>
        <v>1.366666667</v>
      </c>
      <c r="S675" s="731"/>
      <c r="T675" s="731"/>
      <c r="U675" s="734"/>
      <c r="V675" s="731"/>
      <c r="W675" s="731"/>
      <c r="X675" s="734"/>
      <c r="Y675" s="731"/>
      <c r="Z675" s="731"/>
    </row>
    <row r="676">
      <c r="C676" s="734"/>
      <c r="D676" s="731"/>
      <c r="E676" s="731"/>
      <c r="F676" s="734"/>
      <c r="G676" s="731"/>
      <c r="H676" s="731"/>
      <c r="I676" s="734"/>
      <c r="J676" s="731"/>
      <c r="K676" s="731"/>
      <c r="L676" s="734"/>
      <c r="M676" s="731"/>
      <c r="N676" s="736">
        <v>25.0</v>
      </c>
      <c r="O676" s="730"/>
      <c r="P676" s="736">
        <v>37.0</v>
      </c>
      <c r="Q676" s="736">
        <v>2.0</v>
      </c>
      <c r="R676" s="766">
        <f>-P676*60-Q676+P677*60+Q677</f>
        <v>94</v>
      </c>
      <c r="S676" s="731"/>
      <c r="T676" s="731"/>
      <c r="U676" s="734"/>
      <c r="V676" s="731"/>
      <c r="W676" s="731"/>
      <c r="X676" s="734"/>
      <c r="Y676" s="731"/>
      <c r="Z676" s="731"/>
    </row>
    <row r="677">
      <c r="C677" s="734"/>
      <c r="D677" s="731"/>
      <c r="E677" s="731"/>
      <c r="F677" s="734"/>
      <c r="G677" s="731"/>
      <c r="H677" s="731"/>
      <c r="I677" s="734"/>
      <c r="J677" s="731"/>
      <c r="K677" s="731"/>
      <c r="L677" s="734"/>
      <c r="M677" s="731"/>
      <c r="N677" s="731"/>
      <c r="O677" s="730"/>
      <c r="P677" s="736">
        <v>38.0</v>
      </c>
      <c r="Q677" s="736">
        <v>36.0</v>
      </c>
      <c r="R677" s="766">
        <f>R676/60</f>
        <v>1.566666667</v>
      </c>
      <c r="S677" s="731"/>
      <c r="T677" s="731"/>
      <c r="U677" s="734"/>
      <c r="V677" s="731"/>
      <c r="W677" s="731"/>
      <c r="X677" s="734"/>
      <c r="Y677" s="731"/>
      <c r="Z677" s="731"/>
    </row>
    <row r="678">
      <c r="C678" s="734"/>
      <c r="D678" s="731"/>
      <c r="E678" s="731"/>
      <c r="F678" s="734"/>
      <c r="G678" s="731"/>
      <c r="H678" s="731"/>
      <c r="I678" s="734"/>
      <c r="J678" s="731"/>
      <c r="K678" s="731"/>
      <c r="L678" s="734"/>
      <c r="M678" s="736" t="s">
        <v>317</v>
      </c>
      <c r="N678" s="736">
        <v>7.0</v>
      </c>
      <c r="O678" s="730"/>
      <c r="P678" s="736">
        <v>57.0</v>
      </c>
      <c r="Q678" s="736">
        <v>31.0</v>
      </c>
      <c r="R678" s="766">
        <f>-P678*60-Q678+P679*60+Q679</f>
        <v>116</v>
      </c>
      <c r="S678" s="731"/>
      <c r="T678" s="731"/>
      <c r="U678" s="734"/>
      <c r="V678" s="731"/>
      <c r="W678" s="731"/>
      <c r="X678" s="734"/>
      <c r="Y678" s="731"/>
      <c r="Z678" s="731"/>
    </row>
    <row r="679">
      <c r="C679" s="734"/>
      <c r="D679" s="731"/>
      <c r="E679" s="731"/>
      <c r="F679" s="734"/>
      <c r="G679" s="731"/>
      <c r="H679" s="731"/>
      <c r="I679" s="734"/>
      <c r="J679" s="731"/>
      <c r="K679" s="731"/>
      <c r="L679" s="734"/>
      <c r="M679" s="731"/>
      <c r="N679" s="731"/>
      <c r="O679" s="730"/>
      <c r="P679" s="736">
        <v>59.0</v>
      </c>
      <c r="Q679" s="736">
        <v>27.0</v>
      </c>
      <c r="R679" s="766">
        <f>R678/60</f>
        <v>1.933333333</v>
      </c>
      <c r="S679" s="731"/>
      <c r="T679" s="731"/>
      <c r="U679" s="734"/>
      <c r="V679" s="731"/>
      <c r="W679" s="731"/>
      <c r="X679" s="734"/>
      <c r="Y679" s="731"/>
      <c r="Z679" s="731"/>
    </row>
    <row r="680">
      <c r="C680" s="734"/>
      <c r="D680" s="731"/>
      <c r="E680" s="731"/>
      <c r="F680" s="734"/>
      <c r="G680" s="731"/>
      <c r="H680" s="731"/>
      <c r="I680" s="734"/>
      <c r="J680" s="731"/>
      <c r="K680" s="731"/>
      <c r="L680" s="734"/>
      <c r="M680" s="736" t="s">
        <v>463</v>
      </c>
      <c r="N680" s="736">
        <v>6.0</v>
      </c>
      <c r="O680" s="730"/>
      <c r="P680" s="736">
        <v>7.0</v>
      </c>
      <c r="Q680" s="731"/>
      <c r="R680" s="766">
        <f>-P680*60-Q680+P681*60+Q681</f>
        <v>118</v>
      </c>
      <c r="S680" s="731"/>
      <c r="T680" s="731"/>
      <c r="U680" s="734"/>
      <c r="V680" s="731"/>
      <c r="W680" s="731"/>
      <c r="X680" s="734"/>
      <c r="Y680" s="731"/>
      <c r="Z680" s="731"/>
    </row>
    <row r="681">
      <c r="C681" s="734"/>
      <c r="D681" s="731"/>
      <c r="E681" s="731"/>
      <c r="F681" s="734"/>
      <c r="G681" s="731"/>
      <c r="H681" s="731"/>
      <c r="I681" s="734"/>
      <c r="J681" s="731"/>
      <c r="K681" s="731"/>
      <c r="L681" s="734"/>
      <c r="M681" s="731"/>
      <c r="N681" s="731"/>
      <c r="O681" s="730"/>
      <c r="P681" s="736">
        <v>8.0</v>
      </c>
      <c r="Q681" s="736">
        <v>58.0</v>
      </c>
      <c r="R681" s="766">
        <f>R680/60</f>
        <v>1.966666667</v>
      </c>
      <c r="S681" s="731"/>
      <c r="T681" s="731"/>
      <c r="U681" s="734"/>
      <c r="V681" s="731"/>
      <c r="W681" s="731"/>
      <c r="X681" s="734"/>
      <c r="Y681" s="731"/>
      <c r="Z681" s="731"/>
    </row>
    <row r="682">
      <c r="C682" s="734"/>
      <c r="D682" s="731"/>
      <c r="E682" s="731"/>
      <c r="F682" s="734"/>
      <c r="G682" s="731"/>
      <c r="H682" s="731"/>
      <c r="I682" s="734"/>
      <c r="J682" s="731"/>
      <c r="K682" s="731"/>
      <c r="L682" s="734"/>
      <c r="M682" s="736" t="s">
        <v>464</v>
      </c>
      <c r="N682" s="736">
        <v>6.0</v>
      </c>
      <c r="O682" s="730"/>
      <c r="P682" s="736">
        <v>13.0</v>
      </c>
      <c r="Q682" s="736">
        <v>16.0</v>
      </c>
      <c r="R682" s="766">
        <f>-P682*60-Q682+P683*60+Q683</f>
        <v>118</v>
      </c>
      <c r="S682" s="731"/>
      <c r="T682" s="731"/>
      <c r="U682" s="734"/>
      <c r="V682" s="731"/>
      <c r="W682" s="731"/>
      <c r="X682" s="734"/>
      <c r="Y682" s="731"/>
      <c r="Z682" s="731"/>
    </row>
    <row r="683">
      <c r="C683" s="734"/>
      <c r="D683" s="731"/>
      <c r="E683" s="731"/>
      <c r="F683" s="734"/>
      <c r="G683" s="731"/>
      <c r="H683" s="731"/>
      <c r="I683" s="734"/>
      <c r="J683" s="731"/>
      <c r="K683" s="731"/>
      <c r="L683" s="734"/>
      <c r="M683" s="731"/>
      <c r="N683" s="731"/>
      <c r="O683" s="730"/>
      <c r="P683" s="736">
        <v>15.0</v>
      </c>
      <c r="Q683" s="736">
        <v>14.0</v>
      </c>
      <c r="R683" s="766">
        <f>R682/60</f>
        <v>1.966666667</v>
      </c>
      <c r="S683" s="731"/>
      <c r="T683" s="731"/>
      <c r="U683" s="734"/>
      <c r="V683" s="731"/>
      <c r="W683" s="731"/>
      <c r="X683" s="734"/>
      <c r="Y683" s="731"/>
      <c r="Z683" s="731"/>
    </row>
    <row r="684">
      <c r="C684" s="734"/>
      <c r="D684" s="731"/>
      <c r="E684" s="731"/>
      <c r="F684" s="734"/>
      <c r="G684" s="731"/>
      <c r="H684" s="731"/>
      <c r="I684" s="734"/>
      <c r="J684" s="731"/>
      <c r="K684" s="731"/>
      <c r="L684" s="734"/>
      <c r="M684" s="736" t="s">
        <v>318</v>
      </c>
      <c r="N684" s="736">
        <v>7.0</v>
      </c>
      <c r="O684" s="730"/>
      <c r="P684" s="731"/>
      <c r="Q684" s="731"/>
      <c r="R684" s="766">
        <f>-P684*60-Q684+P685*60+Q685</f>
        <v>0</v>
      </c>
      <c r="S684" s="731"/>
      <c r="T684" s="731"/>
      <c r="U684" s="734"/>
      <c r="V684" s="731"/>
      <c r="W684" s="731"/>
      <c r="X684" s="734"/>
      <c r="Y684" s="731"/>
      <c r="Z684" s="731"/>
    </row>
    <row r="685">
      <c r="C685" s="734"/>
      <c r="D685" s="731"/>
      <c r="E685" s="731"/>
      <c r="F685" s="734"/>
      <c r="G685" s="731"/>
      <c r="H685" s="731"/>
      <c r="I685" s="734"/>
      <c r="J685" s="731"/>
      <c r="K685" s="731"/>
      <c r="L685" s="734"/>
      <c r="M685" s="731"/>
      <c r="N685" s="731"/>
      <c r="O685" s="730"/>
      <c r="P685" s="731"/>
      <c r="Q685" s="731"/>
      <c r="R685" s="766">
        <f>R684/60</f>
        <v>0</v>
      </c>
      <c r="S685" s="731"/>
      <c r="T685" s="731"/>
      <c r="U685" s="734"/>
      <c r="V685" s="731"/>
      <c r="W685" s="731"/>
      <c r="X685" s="734"/>
      <c r="Y685" s="731"/>
      <c r="Z685" s="731"/>
    </row>
    <row r="686">
      <c r="C686" s="734"/>
      <c r="D686" s="731"/>
      <c r="E686" s="731"/>
      <c r="F686" s="734"/>
      <c r="G686" s="731"/>
      <c r="H686" s="731"/>
      <c r="I686" s="734"/>
      <c r="J686" s="731"/>
      <c r="K686" s="731"/>
      <c r="L686" s="734"/>
      <c r="M686" s="736" t="s">
        <v>465</v>
      </c>
      <c r="N686" s="736">
        <v>20.0</v>
      </c>
      <c r="O686" s="730"/>
      <c r="P686" s="736">
        <v>24.0</v>
      </c>
      <c r="Q686" s="736">
        <v>36.0</v>
      </c>
      <c r="R686" s="766">
        <f>-P686*60-Q686+P687*60+Q687</f>
        <v>117</v>
      </c>
      <c r="S686" s="731"/>
      <c r="T686" s="731"/>
      <c r="U686" s="734"/>
      <c r="V686" s="731"/>
      <c r="W686" s="731"/>
      <c r="X686" s="734"/>
      <c r="Y686" s="731"/>
      <c r="Z686" s="731"/>
    </row>
    <row r="687">
      <c r="C687" s="734"/>
      <c r="D687" s="731"/>
      <c r="E687" s="731"/>
      <c r="F687" s="734"/>
      <c r="G687" s="731"/>
      <c r="H687" s="731"/>
      <c r="I687" s="734"/>
      <c r="J687" s="731"/>
      <c r="K687" s="731"/>
      <c r="L687" s="734"/>
      <c r="M687" s="731"/>
      <c r="N687" s="731"/>
      <c r="O687" s="730"/>
      <c r="P687" s="736">
        <v>26.0</v>
      </c>
      <c r="Q687" s="736">
        <v>33.0</v>
      </c>
      <c r="R687" s="766">
        <f>R686/60</f>
        <v>1.95</v>
      </c>
      <c r="S687" s="731"/>
      <c r="T687" s="731"/>
      <c r="U687" s="734"/>
      <c r="V687" s="731"/>
      <c r="W687" s="731"/>
      <c r="X687" s="734"/>
      <c r="Y687" s="731"/>
      <c r="Z687" s="731"/>
    </row>
    <row r="688">
      <c r="C688" s="734"/>
      <c r="D688" s="731"/>
      <c r="E688" s="731"/>
      <c r="F688" s="734"/>
      <c r="G688" s="731"/>
      <c r="H688" s="731"/>
      <c r="I688" s="734"/>
      <c r="J688" s="731"/>
      <c r="K688" s="731"/>
      <c r="L688" s="734"/>
      <c r="M688" s="736" t="s">
        <v>452</v>
      </c>
      <c r="N688" s="736">
        <v>30.0</v>
      </c>
      <c r="O688" s="730"/>
      <c r="P688" s="736">
        <v>43.0</v>
      </c>
      <c r="Q688" s="736">
        <v>45.0</v>
      </c>
      <c r="R688" s="766">
        <f>-P688*60-Q688+P689*60+Q689</f>
        <v>136</v>
      </c>
      <c r="S688" s="731"/>
      <c r="T688" s="731"/>
      <c r="U688" s="734"/>
      <c r="V688" s="731"/>
      <c r="W688" s="731"/>
      <c r="X688" s="734"/>
      <c r="Y688" s="731"/>
      <c r="Z688" s="731"/>
    </row>
    <row r="689">
      <c r="C689" s="734"/>
      <c r="D689" s="731"/>
      <c r="E689" s="731"/>
      <c r="F689" s="734"/>
      <c r="G689" s="731"/>
      <c r="H689" s="731"/>
      <c r="I689" s="734"/>
      <c r="J689" s="731"/>
      <c r="K689" s="731"/>
      <c r="L689" s="734"/>
      <c r="M689" s="731"/>
      <c r="N689" s="731"/>
      <c r="O689" s="730"/>
      <c r="P689" s="736">
        <v>46.0</v>
      </c>
      <c r="Q689" s="736">
        <v>1.0</v>
      </c>
      <c r="R689" s="766">
        <f>R688/60</f>
        <v>2.266666667</v>
      </c>
      <c r="S689" s="731"/>
      <c r="T689" s="731"/>
      <c r="U689" s="734"/>
      <c r="V689" s="731"/>
      <c r="W689" s="731"/>
      <c r="X689" s="734"/>
      <c r="Y689" s="731"/>
      <c r="Z689" s="731"/>
    </row>
    <row r="690">
      <c r="C690" s="734"/>
      <c r="D690" s="731"/>
      <c r="E690" s="731"/>
      <c r="F690" s="734"/>
      <c r="G690" s="731"/>
      <c r="H690" s="731"/>
      <c r="I690" s="734"/>
      <c r="J690" s="731"/>
      <c r="K690" s="731"/>
      <c r="L690" s="734"/>
      <c r="M690" s="736" t="s">
        <v>176</v>
      </c>
      <c r="N690" s="731"/>
      <c r="O690" s="730"/>
      <c r="P690" s="736">
        <v>2.0</v>
      </c>
      <c r="Q690" s="736">
        <v>37.0</v>
      </c>
      <c r="R690" s="766">
        <f>-P690*60-Q690+P691*60+Q691</f>
        <v>119</v>
      </c>
      <c r="S690" s="731"/>
      <c r="T690" s="731"/>
      <c r="U690" s="734"/>
      <c r="V690" s="731"/>
      <c r="W690" s="731"/>
      <c r="X690" s="734"/>
      <c r="Y690" s="731"/>
      <c r="Z690" s="731"/>
    </row>
    <row r="691">
      <c r="C691" s="734"/>
      <c r="D691" s="731"/>
      <c r="E691" s="731"/>
      <c r="F691" s="734"/>
      <c r="G691" s="731"/>
      <c r="H691" s="731"/>
      <c r="I691" s="734"/>
      <c r="J691" s="731"/>
      <c r="K691" s="731"/>
      <c r="L691" s="734"/>
      <c r="M691" s="731"/>
      <c r="N691" s="731"/>
      <c r="O691" s="730"/>
      <c r="P691" s="736">
        <v>4.0</v>
      </c>
      <c r="Q691" s="736">
        <v>36.0</v>
      </c>
      <c r="R691" s="766">
        <f>R690/60</f>
        <v>1.983333333</v>
      </c>
      <c r="S691" s="731"/>
      <c r="T691" s="731"/>
      <c r="U691" s="734"/>
      <c r="V691" s="731"/>
      <c r="W691" s="731"/>
      <c r="X691" s="734"/>
      <c r="Y691" s="731"/>
      <c r="Z691" s="731"/>
    </row>
    <row r="692">
      <c r="C692" s="734"/>
      <c r="D692" s="731"/>
      <c r="E692" s="731"/>
      <c r="F692" s="734"/>
      <c r="G692" s="731"/>
      <c r="H692" s="731"/>
      <c r="I692" s="734"/>
      <c r="J692" s="731"/>
      <c r="K692" s="731"/>
      <c r="L692" s="734"/>
      <c r="M692" s="731"/>
      <c r="N692" s="731"/>
      <c r="O692" s="730"/>
      <c r="P692" s="736">
        <v>6.0</v>
      </c>
      <c r="Q692" s="736">
        <v>50.0</v>
      </c>
      <c r="R692" s="766">
        <f>-P692*60-Q692+P693*60+Q693</f>
        <v>120</v>
      </c>
      <c r="S692" s="731"/>
      <c r="T692" s="731"/>
      <c r="U692" s="734"/>
      <c r="V692" s="731"/>
      <c r="W692" s="731"/>
      <c r="X692" s="734"/>
      <c r="Y692" s="731"/>
      <c r="Z692" s="731"/>
    </row>
    <row r="693">
      <c r="C693" s="734"/>
      <c r="D693" s="731"/>
      <c r="E693" s="731"/>
      <c r="F693" s="734"/>
      <c r="G693" s="731"/>
      <c r="H693" s="731"/>
      <c r="I693" s="734"/>
      <c r="J693" s="731"/>
      <c r="K693" s="731"/>
      <c r="L693" s="734"/>
      <c r="M693" s="731"/>
      <c r="N693" s="731"/>
      <c r="O693" s="730"/>
      <c r="P693" s="736">
        <v>8.0</v>
      </c>
      <c r="Q693" s="736">
        <v>50.0</v>
      </c>
      <c r="R693" s="766">
        <f>R692/60</f>
        <v>2</v>
      </c>
      <c r="S693" s="731"/>
      <c r="T693" s="731"/>
      <c r="U693" s="734"/>
      <c r="V693" s="731"/>
      <c r="W693" s="731"/>
      <c r="X693" s="734"/>
      <c r="Y693" s="731"/>
      <c r="Z693" s="731"/>
    </row>
    <row r="694">
      <c r="C694" s="734"/>
      <c r="D694" s="731"/>
      <c r="E694" s="731"/>
      <c r="F694" s="734"/>
      <c r="G694" s="731"/>
      <c r="H694" s="731"/>
      <c r="I694" s="734"/>
      <c r="J694" s="731"/>
      <c r="K694" s="731"/>
      <c r="L694" s="734"/>
      <c r="M694" s="731"/>
      <c r="N694" s="731"/>
      <c r="O694" s="730"/>
      <c r="P694" s="731"/>
      <c r="Q694" s="731"/>
      <c r="R694" s="766">
        <f>-P694*60-Q694+P695*60+Q695</f>
        <v>0</v>
      </c>
      <c r="S694" s="731"/>
      <c r="T694" s="731"/>
      <c r="U694" s="734"/>
      <c r="V694" s="731"/>
      <c r="W694" s="731"/>
      <c r="X694" s="734"/>
      <c r="Y694" s="731"/>
      <c r="Z694" s="731"/>
    </row>
    <row r="695">
      <c r="C695" s="734"/>
      <c r="D695" s="731"/>
      <c r="E695" s="731"/>
      <c r="F695" s="734"/>
      <c r="G695" s="731"/>
      <c r="H695" s="731"/>
      <c r="I695" s="734"/>
      <c r="J695" s="731"/>
      <c r="K695" s="731"/>
      <c r="L695" s="734"/>
      <c r="M695" s="731"/>
      <c r="N695" s="731"/>
      <c r="O695" s="730"/>
      <c r="P695" s="731"/>
      <c r="Q695" s="731"/>
      <c r="R695" s="766">
        <f>R694/60</f>
        <v>0</v>
      </c>
      <c r="S695" s="731"/>
      <c r="T695" s="731"/>
      <c r="U695" s="734"/>
      <c r="V695" s="731"/>
      <c r="W695" s="731"/>
      <c r="X695" s="734"/>
      <c r="Y695" s="731"/>
      <c r="Z695" s="731"/>
    </row>
    <row r="696">
      <c r="C696" s="734"/>
      <c r="D696" s="731"/>
      <c r="E696" s="731"/>
      <c r="F696" s="734"/>
      <c r="G696" s="731"/>
      <c r="H696" s="731"/>
      <c r="I696" s="734"/>
      <c r="J696" s="731"/>
      <c r="K696" s="731"/>
      <c r="L696" s="734"/>
      <c r="M696" s="731"/>
      <c r="N696" s="731"/>
      <c r="O696" s="730"/>
      <c r="P696" s="731"/>
      <c r="Q696" s="731"/>
      <c r="R696" s="766">
        <f>-P696*60-Q696+P697*60+Q697</f>
        <v>0</v>
      </c>
      <c r="S696" s="731"/>
      <c r="T696" s="731"/>
      <c r="U696" s="734"/>
      <c r="V696" s="731"/>
      <c r="W696" s="731"/>
      <c r="X696" s="734"/>
      <c r="Y696" s="731"/>
      <c r="Z696" s="731"/>
    </row>
    <row r="697">
      <c r="C697" s="734"/>
      <c r="D697" s="731"/>
      <c r="E697" s="731"/>
      <c r="F697" s="734"/>
      <c r="G697" s="731"/>
      <c r="H697" s="731"/>
      <c r="I697" s="734"/>
      <c r="J697" s="731"/>
      <c r="K697" s="731"/>
      <c r="L697" s="734"/>
      <c r="M697" s="731"/>
      <c r="N697" s="731"/>
      <c r="O697" s="730"/>
      <c r="P697" s="731"/>
      <c r="Q697" s="731"/>
      <c r="R697" s="734"/>
      <c r="S697" s="731"/>
      <c r="T697" s="731"/>
      <c r="U697" s="734"/>
      <c r="V697" s="731"/>
      <c r="W697" s="731"/>
      <c r="X697" s="734"/>
      <c r="Y697" s="731"/>
      <c r="Z697" s="731"/>
    </row>
    <row r="698">
      <c r="C698" s="734"/>
      <c r="D698" s="731"/>
      <c r="E698" s="731"/>
      <c r="F698" s="734"/>
      <c r="G698" s="731"/>
      <c r="H698" s="731"/>
      <c r="I698" s="734"/>
      <c r="J698" s="731"/>
      <c r="K698" s="731"/>
      <c r="L698" s="734"/>
      <c r="M698" s="731"/>
      <c r="N698" s="731"/>
      <c r="O698" s="730"/>
      <c r="P698" s="731"/>
      <c r="Q698" s="731"/>
      <c r="R698" s="734"/>
      <c r="S698" s="731"/>
      <c r="T698" s="731"/>
      <c r="U698" s="734"/>
      <c r="V698" s="731"/>
      <c r="W698" s="731"/>
      <c r="X698" s="734"/>
      <c r="Y698" s="731"/>
      <c r="Z698" s="731"/>
    </row>
    <row r="699">
      <c r="C699" s="734"/>
      <c r="D699" s="731"/>
      <c r="E699" s="731"/>
      <c r="F699" s="734"/>
      <c r="G699" s="731"/>
      <c r="H699" s="731"/>
      <c r="I699" s="734"/>
      <c r="J699" s="731"/>
      <c r="K699" s="731"/>
      <c r="L699" s="734"/>
      <c r="M699" s="731"/>
      <c r="N699" s="731"/>
      <c r="O699" s="730"/>
      <c r="P699" s="731"/>
      <c r="Q699" s="731"/>
      <c r="R699" s="734"/>
      <c r="S699" s="731"/>
      <c r="T699" s="731"/>
      <c r="U699" s="734"/>
      <c r="V699" s="731"/>
      <c r="W699" s="731"/>
      <c r="X699" s="734"/>
      <c r="Y699" s="731"/>
      <c r="Z699" s="731"/>
    </row>
    <row r="700">
      <c r="C700" s="734"/>
      <c r="D700" s="731"/>
      <c r="E700" s="731"/>
      <c r="F700" s="734"/>
      <c r="G700" s="731"/>
      <c r="H700" s="731"/>
      <c r="I700" s="734"/>
      <c r="J700" s="731"/>
      <c r="K700" s="731"/>
      <c r="L700" s="734"/>
      <c r="M700" s="731"/>
      <c r="N700" s="731"/>
      <c r="O700" s="730"/>
      <c r="P700" s="731"/>
      <c r="Q700" s="731"/>
      <c r="R700" s="734"/>
      <c r="S700" s="731"/>
      <c r="T700" s="731"/>
      <c r="U700" s="734"/>
      <c r="V700" s="731"/>
      <c r="W700" s="731"/>
      <c r="X700" s="734"/>
      <c r="Y700" s="731"/>
      <c r="Z700" s="731"/>
    </row>
    <row r="701">
      <c r="C701" s="734"/>
      <c r="D701" s="731"/>
      <c r="E701" s="731"/>
      <c r="F701" s="734"/>
      <c r="G701" s="731"/>
      <c r="H701" s="731"/>
      <c r="I701" s="734"/>
      <c r="J701" s="731"/>
      <c r="K701" s="731"/>
      <c r="L701" s="734"/>
      <c r="M701" s="731"/>
      <c r="N701" s="731"/>
      <c r="O701" s="730"/>
      <c r="P701" s="731"/>
      <c r="Q701" s="731"/>
      <c r="R701" s="734"/>
      <c r="S701" s="731"/>
      <c r="T701" s="731"/>
      <c r="U701" s="734"/>
      <c r="V701" s="731"/>
      <c r="W701" s="731"/>
      <c r="X701" s="734"/>
      <c r="Y701" s="731"/>
      <c r="Z701" s="731"/>
    </row>
    <row r="702">
      <c r="C702" s="734"/>
      <c r="D702" s="731"/>
      <c r="E702" s="731"/>
      <c r="F702" s="734"/>
      <c r="G702" s="731"/>
      <c r="H702" s="731"/>
      <c r="I702" s="734"/>
      <c r="J702" s="731"/>
      <c r="K702" s="731"/>
      <c r="L702" s="734"/>
      <c r="M702" s="731"/>
      <c r="N702" s="731"/>
      <c r="O702" s="730"/>
      <c r="P702" s="731"/>
      <c r="Q702" s="731"/>
      <c r="R702" s="734"/>
      <c r="S702" s="731"/>
      <c r="T702" s="731"/>
      <c r="U702" s="734"/>
      <c r="V702" s="731"/>
      <c r="W702" s="731"/>
      <c r="X702" s="734"/>
      <c r="Y702" s="731"/>
      <c r="Z702" s="731"/>
    </row>
    <row r="703">
      <c r="C703" s="734"/>
      <c r="D703" s="731"/>
      <c r="E703" s="731"/>
      <c r="F703" s="734"/>
      <c r="G703" s="731"/>
      <c r="H703" s="731"/>
      <c r="I703" s="734"/>
      <c r="J703" s="731"/>
      <c r="K703" s="731"/>
      <c r="L703" s="734"/>
      <c r="M703" s="731"/>
      <c r="N703" s="731"/>
      <c r="O703" s="730"/>
      <c r="P703" s="731"/>
      <c r="Q703" s="731"/>
      <c r="R703" s="734"/>
      <c r="S703" s="731"/>
      <c r="T703" s="731"/>
      <c r="U703" s="734"/>
      <c r="V703" s="731"/>
      <c r="W703" s="731"/>
      <c r="X703" s="734"/>
      <c r="Y703" s="731"/>
      <c r="Z703" s="731"/>
    </row>
    <row r="704">
      <c r="C704" s="734"/>
      <c r="D704" s="731"/>
      <c r="E704" s="731"/>
      <c r="F704" s="734"/>
      <c r="G704" s="731"/>
      <c r="H704" s="731"/>
      <c r="I704" s="734"/>
      <c r="J704" s="731"/>
      <c r="K704" s="731"/>
      <c r="L704" s="734"/>
      <c r="M704" s="731"/>
      <c r="N704" s="731"/>
      <c r="O704" s="730"/>
      <c r="P704" s="731"/>
      <c r="Q704" s="731"/>
      <c r="R704" s="734"/>
      <c r="S704" s="731"/>
      <c r="T704" s="731"/>
      <c r="U704" s="734"/>
      <c r="V704" s="731"/>
      <c r="W704" s="731"/>
      <c r="X704" s="734"/>
      <c r="Y704" s="731"/>
      <c r="Z704" s="731"/>
    </row>
    <row r="705">
      <c r="C705" s="734"/>
      <c r="D705" s="731"/>
      <c r="E705" s="731"/>
      <c r="F705" s="734"/>
      <c r="G705" s="731"/>
      <c r="H705" s="731"/>
      <c r="I705" s="734"/>
      <c r="J705" s="731"/>
      <c r="K705" s="731"/>
      <c r="L705" s="734"/>
      <c r="M705" s="731"/>
      <c r="N705" s="731"/>
      <c r="O705" s="730"/>
      <c r="P705" s="731"/>
      <c r="Q705" s="731"/>
      <c r="R705" s="734"/>
      <c r="S705" s="731"/>
      <c r="T705" s="731"/>
      <c r="U705" s="734"/>
      <c r="V705" s="731"/>
      <c r="W705" s="731"/>
      <c r="X705" s="734"/>
      <c r="Y705" s="731"/>
      <c r="Z705" s="731"/>
    </row>
    <row r="706">
      <c r="C706" s="734"/>
      <c r="D706" s="731"/>
      <c r="E706" s="731"/>
      <c r="F706" s="734"/>
      <c r="G706" s="731"/>
      <c r="H706" s="731"/>
      <c r="I706" s="734"/>
      <c r="J706" s="731"/>
      <c r="K706" s="731"/>
      <c r="L706" s="734"/>
      <c r="M706" s="731"/>
      <c r="N706" s="731"/>
      <c r="O706" s="730"/>
      <c r="P706" s="731"/>
      <c r="Q706" s="731"/>
      <c r="R706" s="734"/>
      <c r="S706" s="731"/>
      <c r="T706" s="731"/>
      <c r="U706" s="734"/>
      <c r="V706" s="731"/>
      <c r="W706" s="731"/>
      <c r="X706" s="734"/>
      <c r="Y706" s="731"/>
      <c r="Z706" s="731"/>
    </row>
    <row r="707">
      <c r="C707" s="734"/>
      <c r="D707" s="731"/>
      <c r="E707" s="731"/>
      <c r="F707" s="734"/>
      <c r="G707" s="731"/>
      <c r="H707" s="731"/>
      <c r="I707" s="734"/>
      <c r="J707" s="731"/>
      <c r="K707" s="731"/>
      <c r="L707" s="734"/>
      <c r="M707" s="731"/>
      <c r="N707" s="731"/>
      <c r="O707" s="730"/>
      <c r="P707" s="731"/>
      <c r="Q707" s="731"/>
      <c r="R707" s="734"/>
      <c r="S707" s="731"/>
      <c r="T707" s="731"/>
      <c r="U707" s="734"/>
      <c r="V707" s="731"/>
      <c r="W707" s="731"/>
      <c r="X707" s="734"/>
      <c r="Y707" s="731"/>
      <c r="Z707" s="731"/>
    </row>
    <row r="708">
      <c r="C708" s="734"/>
      <c r="D708" s="731"/>
      <c r="E708" s="731"/>
      <c r="F708" s="734"/>
      <c r="G708" s="731"/>
      <c r="H708" s="731"/>
      <c r="I708" s="734"/>
      <c r="J708" s="731"/>
      <c r="K708" s="731"/>
      <c r="L708" s="734"/>
      <c r="M708" s="731"/>
      <c r="N708" s="731"/>
      <c r="O708" s="730"/>
      <c r="P708" s="731"/>
      <c r="Q708" s="731"/>
      <c r="R708" s="734"/>
      <c r="S708" s="731"/>
      <c r="T708" s="731"/>
      <c r="U708" s="734"/>
      <c r="V708" s="731"/>
      <c r="W708" s="731"/>
      <c r="X708" s="734"/>
      <c r="Y708" s="731"/>
      <c r="Z708" s="731"/>
    </row>
    <row r="709">
      <c r="C709" s="734"/>
      <c r="D709" s="731"/>
      <c r="E709" s="731"/>
      <c r="F709" s="734"/>
      <c r="G709" s="731"/>
      <c r="H709" s="731"/>
      <c r="I709" s="734"/>
      <c r="J709" s="731"/>
      <c r="K709" s="731"/>
      <c r="L709" s="734"/>
      <c r="M709" s="731"/>
      <c r="N709" s="731"/>
      <c r="O709" s="730"/>
      <c r="P709" s="731"/>
      <c r="Q709" s="731"/>
      <c r="R709" s="734"/>
      <c r="S709" s="731"/>
      <c r="T709" s="731"/>
      <c r="U709" s="734"/>
      <c r="V709" s="731"/>
      <c r="W709" s="731"/>
      <c r="X709" s="734"/>
      <c r="Y709" s="731"/>
      <c r="Z709" s="731"/>
    </row>
    <row r="710">
      <c r="C710" s="734"/>
      <c r="D710" s="731"/>
      <c r="E710" s="731"/>
      <c r="F710" s="734"/>
      <c r="G710" s="731"/>
      <c r="H710" s="731"/>
      <c r="I710" s="734"/>
      <c r="J710" s="731"/>
      <c r="K710" s="731"/>
      <c r="L710" s="734"/>
      <c r="M710" s="731"/>
      <c r="N710" s="731"/>
      <c r="O710" s="730"/>
      <c r="P710" s="731"/>
      <c r="Q710" s="731"/>
      <c r="R710" s="734"/>
      <c r="S710" s="731"/>
      <c r="T710" s="731"/>
      <c r="U710" s="734"/>
      <c r="V710" s="731"/>
      <c r="W710" s="731"/>
      <c r="X710" s="734"/>
      <c r="Y710" s="731"/>
      <c r="Z710" s="731"/>
    </row>
    <row r="711">
      <c r="C711" s="734"/>
      <c r="D711" s="731"/>
      <c r="E711" s="731"/>
      <c r="F711" s="734"/>
      <c r="G711" s="731"/>
      <c r="H711" s="731"/>
      <c r="I711" s="734"/>
      <c r="J711" s="731"/>
      <c r="K711" s="731"/>
      <c r="L711" s="734"/>
      <c r="M711" s="731"/>
      <c r="N711" s="731"/>
      <c r="O711" s="730"/>
      <c r="P711" s="731"/>
      <c r="Q711" s="731"/>
      <c r="R711" s="734"/>
      <c r="S711" s="731"/>
      <c r="T711" s="731"/>
      <c r="U711" s="734"/>
      <c r="V711" s="731"/>
      <c r="W711" s="731"/>
      <c r="X711" s="734"/>
      <c r="Y711" s="731"/>
      <c r="Z711" s="731"/>
    </row>
    <row r="712">
      <c r="C712" s="734"/>
      <c r="D712" s="731"/>
      <c r="E712" s="731"/>
      <c r="F712" s="734"/>
      <c r="G712" s="731"/>
      <c r="H712" s="731"/>
      <c r="I712" s="734"/>
      <c r="J712" s="731"/>
      <c r="K712" s="731"/>
      <c r="L712" s="734"/>
      <c r="M712" s="731"/>
      <c r="N712" s="731"/>
      <c r="O712" s="730"/>
      <c r="P712" s="731"/>
      <c r="Q712" s="731"/>
      <c r="R712" s="734"/>
      <c r="S712" s="731"/>
      <c r="T712" s="731"/>
      <c r="U712" s="734"/>
      <c r="V712" s="731"/>
      <c r="W712" s="731"/>
      <c r="X712" s="734"/>
      <c r="Y712" s="731"/>
      <c r="Z712" s="731"/>
    </row>
    <row r="713">
      <c r="C713" s="734"/>
      <c r="D713" s="731"/>
      <c r="E713" s="731"/>
      <c r="F713" s="734"/>
      <c r="G713" s="731"/>
      <c r="H713" s="731"/>
      <c r="I713" s="734"/>
      <c r="J713" s="731"/>
      <c r="K713" s="731"/>
      <c r="L713" s="734"/>
      <c r="M713" s="731"/>
      <c r="N713" s="731"/>
      <c r="O713" s="730"/>
      <c r="P713" s="731"/>
      <c r="Q713" s="731"/>
      <c r="R713" s="734"/>
      <c r="S713" s="731"/>
      <c r="T713" s="731"/>
      <c r="U713" s="734"/>
      <c r="V713" s="731"/>
      <c r="W713" s="731"/>
      <c r="X713" s="734"/>
      <c r="Y713" s="731"/>
      <c r="Z713" s="731"/>
    </row>
    <row r="714">
      <c r="C714" s="734"/>
      <c r="D714" s="731"/>
      <c r="E714" s="731"/>
      <c r="F714" s="734"/>
      <c r="G714" s="731"/>
      <c r="H714" s="731"/>
      <c r="I714" s="734"/>
      <c r="J714" s="731"/>
      <c r="K714" s="731"/>
      <c r="L714" s="734"/>
      <c r="M714" s="731"/>
      <c r="N714" s="731"/>
      <c r="O714" s="730"/>
      <c r="P714" s="731"/>
      <c r="Q714" s="731"/>
      <c r="R714" s="734"/>
      <c r="S714" s="731"/>
      <c r="T714" s="731"/>
      <c r="U714" s="734"/>
      <c r="V714" s="731"/>
      <c r="W714" s="731"/>
      <c r="X714" s="734"/>
      <c r="Y714" s="731"/>
      <c r="Z714" s="731"/>
    </row>
    <row r="715">
      <c r="C715" s="734"/>
      <c r="D715" s="731"/>
      <c r="E715" s="731"/>
      <c r="F715" s="734"/>
      <c r="G715" s="731"/>
      <c r="H715" s="731"/>
      <c r="I715" s="734"/>
      <c r="J715" s="731"/>
      <c r="K715" s="731"/>
      <c r="L715" s="734"/>
      <c r="M715" s="731"/>
      <c r="N715" s="731"/>
      <c r="O715" s="730"/>
      <c r="P715" s="731"/>
      <c r="Q715" s="731"/>
      <c r="R715" s="734"/>
      <c r="S715" s="731"/>
      <c r="T715" s="731"/>
      <c r="U715" s="734"/>
      <c r="V715" s="731"/>
      <c r="W715" s="731"/>
      <c r="X715" s="734"/>
      <c r="Y715" s="731"/>
      <c r="Z715" s="731"/>
    </row>
    <row r="716">
      <c r="C716" s="734"/>
      <c r="D716" s="731"/>
      <c r="E716" s="731"/>
      <c r="F716" s="734"/>
      <c r="G716" s="731"/>
      <c r="H716" s="731"/>
      <c r="I716" s="734"/>
      <c r="J716" s="731"/>
      <c r="K716" s="731"/>
      <c r="L716" s="734"/>
      <c r="M716" s="731"/>
      <c r="N716" s="731"/>
      <c r="O716" s="730"/>
      <c r="P716" s="731"/>
      <c r="Q716" s="731"/>
      <c r="R716" s="734"/>
      <c r="S716" s="731"/>
      <c r="T716" s="731"/>
      <c r="U716" s="734"/>
      <c r="V716" s="731"/>
      <c r="W716" s="731"/>
      <c r="X716" s="734"/>
      <c r="Y716" s="731"/>
      <c r="Z716" s="731"/>
    </row>
    <row r="717">
      <c r="C717" s="734"/>
      <c r="D717" s="731"/>
      <c r="E717" s="731"/>
      <c r="F717" s="734"/>
      <c r="G717" s="731"/>
      <c r="H717" s="731"/>
      <c r="I717" s="734"/>
      <c r="J717" s="731"/>
      <c r="K717" s="731"/>
      <c r="L717" s="734"/>
      <c r="M717" s="731"/>
      <c r="N717" s="731"/>
      <c r="O717" s="730"/>
      <c r="P717" s="731"/>
      <c r="Q717" s="731"/>
      <c r="R717" s="734"/>
      <c r="S717" s="731"/>
      <c r="T717" s="731"/>
      <c r="U717" s="734"/>
      <c r="V717" s="731"/>
      <c r="W717" s="731"/>
      <c r="X717" s="734"/>
      <c r="Y717" s="731"/>
      <c r="Z717" s="731"/>
    </row>
    <row r="718">
      <c r="C718" s="734"/>
      <c r="D718" s="731"/>
      <c r="E718" s="731"/>
      <c r="F718" s="734"/>
      <c r="G718" s="731"/>
      <c r="H718" s="731"/>
      <c r="I718" s="734"/>
      <c r="J718" s="731"/>
      <c r="K718" s="731"/>
      <c r="L718" s="734"/>
      <c r="M718" s="731"/>
      <c r="N718" s="731"/>
      <c r="O718" s="730"/>
      <c r="P718" s="731"/>
      <c r="Q718" s="731"/>
      <c r="R718" s="734"/>
      <c r="S718" s="731"/>
      <c r="T718" s="731"/>
      <c r="U718" s="734"/>
      <c r="V718" s="731"/>
      <c r="W718" s="731"/>
      <c r="X718" s="734"/>
      <c r="Y718" s="731"/>
      <c r="Z718" s="731"/>
    </row>
    <row r="719">
      <c r="C719" s="734"/>
      <c r="D719" s="731"/>
      <c r="E719" s="731"/>
      <c r="F719" s="734"/>
      <c r="G719" s="731"/>
      <c r="H719" s="731"/>
      <c r="I719" s="734"/>
      <c r="J719" s="731"/>
      <c r="K719" s="731"/>
      <c r="L719" s="734"/>
      <c r="M719" s="731"/>
      <c r="N719" s="731"/>
      <c r="O719" s="730"/>
      <c r="P719" s="731"/>
      <c r="Q719" s="731"/>
      <c r="R719" s="734"/>
      <c r="S719" s="731"/>
      <c r="T719" s="731"/>
      <c r="U719" s="734"/>
      <c r="V719" s="731"/>
      <c r="W719" s="731"/>
      <c r="X719" s="734"/>
      <c r="Y719" s="731"/>
      <c r="Z719" s="731"/>
    </row>
    <row r="720">
      <c r="C720" s="734"/>
      <c r="D720" s="731"/>
      <c r="E720" s="731"/>
      <c r="F720" s="734"/>
      <c r="G720" s="731"/>
      <c r="H720" s="731"/>
      <c r="I720" s="734"/>
      <c r="J720" s="731"/>
      <c r="K720" s="731"/>
      <c r="L720" s="734"/>
      <c r="M720" s="731"/>
      <c r="N720" s="731"/>
      <c r="O720" s="730"/>
      <c r="P720" s="731"/>
      <c r="Q720" s="731"/>
      <c r="R720" s="734"/>
      <c r="S720" s="731"/>
      <c r="T720" s="731"/>
      <c r="U720" s="734"/>
      <c r="V720" s="731"/>
      <c r="W720" s="731"/>
      <c r="X720" s="734"/>
      <c r="Y720" s="731"/>
      <c r="Z720" s="731"/>
    </row>
    <row r="721">
      <c r="C721" s="734"/>
      <c r="D721" s="731"/>
      <c r="E721" s="731"/>
      <c r="F721" s="734"/>
      <c r="G721" s="731"/>
      <c r="H721" s="731"/>
      <c r="I721" s="734"/>
      <c r="J721" s="731"/>
      <c r="K721" s="731"/>
      <c r="L721" s="734"/>
      <c r="M721" s="731"/>
      <c r="N721" s="731"/>
      <c r="O721" s="730"/>
      <c r="P721" s="731"/>
      <c r="Q721" s="731"/>
      <c r="R721" s="734"/>
      <c r="S721" s="731"/>
      <c r="T721" s="731"/>
      <c r="U721" s="734"/>
      <c r="V721" s="731"/>
      <c r="W721" s="731"/>
      <c r="X721" s="734"/>
      <c r="Y721" s="731"/>
      <c r="Z721" s="731"/>
    </row>
    <row r="722">
      <c r="C722" s="734"/>
      <c r="D722" s="731"/>
      <c r="E722" s="731"/>
      <c r="F722" s="734"/>
      <c r="G722" s="731"/>
      <c r="H722" s="731"/>
      <c r="I722" s="734"/>
      <c r="J722" s="731"/>
      <c r="K722" s="731"/>
      <c r="L722" s="734"/>
      <c r="M722" s="731"/>
      <c r="N722" s="731"/>
      <c r="O722" s="730"/>
      <c r="P722" s="731"/>
      <c r="Q722" s="731"/>
      <c r="R722" s="734"/>
      <c r="S722" s="731"/>
      <c r="T722" s="731"/>
      <c r="U722" s="734"/>
      <c r="V722" s="731"/>
      <c r="W722" s="731"/>
      <c r="X722" s="734"/>
      <c r="Y722" s="731"/>
      <c r="Z722" s="731"/>
    </row>
    <row r="723">
      <c r="C723" s="734"/>
      <c r="D723" s="731"/>
      <c r="E723" s="731"/>
      <c r="F723" s="734"/>
      <c r="G723" s="731"/>
      <c r="H723" s="731"/>
      <c r="I723" s="734"/>
      <c r="J723" s="731"/>
      <c r="K723" s="731"/>
      <c r="L723" s="734"/>
      <c r="M723" s="731"/>
      <c r="N723" s="731"/>
      <c r="O723" s="730"/>
      <c r="P723" s="731"/>
      <c r="Q723" s="731"/>
      <c r="R723" s="734"/>
      <c r="S723" s="731"/>
      <c r="T723" s="731"/>
      <c r="U723" s="734"/>
      <c r="V723" s="731"/>
      <c r="W723" s="731"/>
      <c r="X723" s="734"/>
      <c r="Y723" s="731"/>
      <c r="Z723" s="731"/>
    </row>
    <row r="724">
      <c r="C724" s="734"/>
      <c r="D724" s="731"/>
      <c r="E724" s="731"/>
      <c r="F724" s="734"/>
      <c r="G724" s="731"/>
      <c r="H724" s="731"/>
      <c r="I724" s="734"/>
      <c r="J724" s="731"/>
      <c r="K724" s="731"/>
      <c r="L724" s="734"/>
      <c r="M724" s="731"/>
      <c r="N724" s="731"/>
      <c r="O724" s="730"/>
      <c r="P724" s="731"/>
      <c r="Q724" s="731"/>
      <c r="R724" s="734"/>
      <c r="S724" s="731"/>
      <c r="T724" s="731"/>
      <c r="U724" s="734"/>
      <c r="V724" s="731"/>
      <c r="W724" s="731"/>
      <c r="X724" s="734"/>
      <c r="Y724" s="731"/>
      <c r="Z724" s="731"/>
    </row>
    <row r="725">
      <c r="C725" s="734"/>
      <c r="D725" s="731"/>
      <c r="E725" s="731"/>
      <c r="F725" s="734"/>
      <c r="G725" s="731"/>
      <c r="H725" s="731"/>
      <c r="I725" s="734"/>
      <c r="J725" s="731"/>
      <c r="K725" s="731"/>
      <c r="L725" s="734"/>
      <c r="M725" s="731"/>
      <c r="N725" s="731"/>
      <c r="O725" s="730"/>
      <c r="P725" s="731"/>
      <c r="Q725" s="731"/>
      <c r="R725" s="734"/>
      <c r="S725" s="731"/>
      <c r="T725" s="731"/>
      <c r="U725" s="734"/>
      <c r="V725" s="731"/>
      <c r="W725" s="731"/>
      <c r="X725" s="734"/>
      <c r="Y725" s="731"/>
      <c r="Z725" s="731"/>
    </row>
    <row r="726">
      <c r="C726" s="734"/>
      <c r="D726" s="731"/>
      <c r="E726" s="731"/>
      <c r="F726" s="734"/>
      <c r="G726" s="731"/>
      <c r="H726" s="731"/>
      <c r="I726" s="734"/>
      <c r="J726" s="731"/>
      <c r="K726" s="731"/>
      <c r="L726" s="734"/>
      <c r="M726" s="731"/>
      <c r="N726" s="731"/>
      <c r="O726" s="730"/>
      <c r="P726" s="731"/>
      <c r="Q726" s="731"/>
      <c r="R726" s="734"/>
      <c r="S726" s="731"/>
      <c r="T726" s="731"/>
      <c r="U726" s="734"/>
      <c r="V726" s="731"/>
      <c r="W726" s="731"/>
      <c r="X726" s="734"/>
      <c r="Y726" s="731"/>
      <c r="Z726" s="731"/>
    </row>
    <row r="727">
      <c r="C727" s="734"/>
      <c r="D727" s="731"/>
      <c r="E727" s="731"/>
      <c r="F727" s="734"/>
      <c r="G727" s="731"/>
      <c r="H727" s="731"/>
      <c r="I727" s="734"/>
      <c r="J727" s="731"/>
      <c r="K727" s="731"/>
      <c r="L727" s="734"/>
      <c r="M727" s="731"/>
      <c r="N727" s="731"/>
      <c r="O727" s="730"/>
      <c r="P727" s="731"/>
      <c r="Q727" s="731"/>
      <c r="R727" s="734"/>
      <c r="S727" s="731"/>
      <c r="T727" s="731"/>
      <c r="U727" s="734"/>
      <c r="V727" s="731"/>
      <c r="W727" s="731"/>
      <c r="X727" s="734"/>
      <c r="Y727" s="731"/>
      <c r="Z727" s="731"/>
    </row>
    <row r="728">
      <c r="C728" s="734"/>
      <c r="D728" s="731"/>
      <c r="E728" s="731"/>
      <c r="F728" s="734"/>
      <c r="G728" s="731"/>
      <c r="H728" s="731"/>
      <c r="I728" s="734"/>
      <c r="J728" s="731"/>
      <c r="K728" s="731"/>
      <c r="L728" s="734"/>
      <c r="M728" s="731"/>
      <c r="N728" s="731"/>
      <c r="O728" s="730"/>
      <c r="P728" s="731"/>
      <c r="Q728" s="731"/>
      <c r="R728" s="734"/>
      <c r="S728" s="731"/>
      <c r="T728" s="731"/>
      <c r="U728" s="734"/>
      <c r="V728" s="731"/>
      <c r="W728" s="731"/>
      <c r="X728" s="734"/>
      <c r="Y728" s="731"/>
      <c r="Z728" s="731"/>
    </row>
    <row r="729">
      <c r="C729" s="734"/>
      <c r="D729" s="731"/>
      <c r="E729" s="731"/>
      <c r="F729" s="734"/>
      <c r="G729" s="731"/>
      <c r="H729" s="731"/>
      <c r="I729" s="734"/>
      <c r="J729" s="731"/>
      <c r="K729" s="731"/>
      <c r="L729" s="734"/>
      <c r="M729" s="731"/>
      <c r="N729" s="731"/>
      <c r="O729" s="730"/>
      <c r="P729" s="731"/>
      <c r="Q729" s="731"/>
      <c r="R729" s="734"/>
      <c r="S729" s="731"/>
      <c r="T729" s="731"/>
      <c r="U729" s="734"/>
      <c r="V729" s="731"/>
      <c r="W729" s="731"/>
      <c r="X729" s="734"/>
      <c r="Y729" s="731"/>
      <c r="Z729" s="731"/>
    </row>
    <row r="730">
      <c r="C730" s="734"/>
      <c r="D730" s="731"/>
      <c r="E730" s="731"/>
      <c r="F730" s="734"/>
      <c r="G730" s="731"/>
      <c r="H730" s="731"/>
      <c r="I730" s="734"/>
      <c r="J730" s="731"/>
      <c r="K730" s="731"/>
      <c r="L730" s="734"/>
      <c r="M730" s="731"/>
      <c r="N730" s="731"/>
      <c r="O730" s="730"/>
      <c r="P730" s="731"/>
      <c r="Q730" s="731"/>
      <c r="R730" s="734"/>
      <c r="S730" s="731"/>
      <c r="T730" s="731"/>
      <c r="U730" s="734"/>
      <c r="V730" s="731"/>
      <c r="W730" s="731"/>
      <c r="X730" s="734"/>
      <c r="Y730" s="731"/>
      <c r="Z730" s="731"/>
    </row>
    <row r="731">
      <c r="C731" s="734"/>
      <c r="D731" s="731"/>
      <c r="E731" s="731"/>
      <c r="F731" s="734"/>
      <c r="G731" s="731"/>
      <c r="H731" s="731"/>
      <c r="I731" s="734"/>
      <c r="J731" s="731"/>
      <c r="K731" s="731"/>
      <c r="L731" s="734"/>
      <c r="M731" s="731"/>
      <c r="N731" s="731"/>
      <c r="O731" s="730"/>
      <c r="P731" s="731"/>
      <c r="Q731" s="731"/>
      <c r="R731" s="734"/>
      <c r="S731" s="731"/>
      <c r="T731" s="731"/>
      <c r="U731" s="734"/>
      <c r="V731" s="731"/>
      <c r="W731" s="731"/>
      <c r="X731" s="734"/>
      <c r="Y731" s="731"/>
      <c r="Z731" s="731"/>
    </row>
    <row r="732">
      <c r="C732" s="734"/>
      <c r="D732" s="731"/>
      <c r="E732" s="731"/>
      <c r="F732" s="734"/>
      <c r="G732" s="731"/>
      <c r="H732" s="731"/>
      <c r="I732" s="734"/>
      <c r="J732" s="731"/>
      <c r="K732" s="731"/>
      <c r="L732" s="734"/>
      <c r="M732" s="731"/>
      <c r="N732" s="731"/>
      <c r="O732" s="730"/>
      <c r="P732" s="731"/>
      <c r="Q732" s="731"/>
      <c r="R732" s="734"/>
      <c r="S732" s="731"/>
      <c r="T732" s="731"/>
      <c r="U732" s="734"/>
      <c r="V732" s="731"/>
      <c r="W732" s="731"/>
      <c r="X732" s="734"/>
      <c r="Y732" s="731"/>
      <c r="Z732" s="731"/>
    </row>
    <row r="733">
      <c r="C733" s="734"/>
      <c r="D733" s="731"/>
      <c r="E733" s="731"/>
      <c r="F733" s="734"/>
      <c r="G733" s="731"/>
      <c r="H733" s="731"/>
      <c r="I733" s="734"/>
      <c r="J733" s="731"/>
      <c r="K733" s="731"/>
      <c r="L733" s="734"/>
      <c r="M733" s="731"/>
      <c r="N733" s="731"/>
      <c r="O733" s="730"/>
      <c r="P733" s="731"/>
      <c r="Q733" s="731"/>
      <c r="R733" s="734"/>
      <c r="S733" s="731"/>
      <c r="T733" s="731"/>
      <c r="U733" s="734"/>
      <c r="V733" s="731"/>
      <c r="W733" s="731"/>
      <c r="X733" s="734"/>
      <c r="Y733" s="731"/>
      <c r="Z733" s="731"/>
    </row>
    <row r="734">
      <c r="C734" s="734"/>
      <c r="D734" s="731"/>
      <c r="E734" s="731"/>
      <c r="F734" s="734"/>
      <c r="G734" s="731"/>
      <c r="H734" s="731"/>
      <c r="I734" s="734"/>
      <c r="J734" s="731"/>
      <c r="K734" s="731"/>
      <c r="L734" s="734"/>
      <c r="M734" s="731"/>
      <c r="N734" s="731"/>
      <c r="O734" s="730"/>
      <c r="P734" s="731"/>
      <c r="Q734" s="731"/>
      <c r="R734" s="734"/>
      <c r="S734" s="731"/>
      <c r="T734" s="731"/>
      <c r="U734" s="734"/>
      <c r="V734" s="731"/>
      <c r="W734" s="731"/>
      <c r="X734" s="734"/>
      <c r="Y734" s="731"/>
      <c r="Z734" s="731"/>
    </row>
    <row r="735">
      <c r="C735" s="734"/>
      <c r="D735" s="731"/>
      <c r="E735" s="731"/>
      <c r="F735" s="734"/>
      <c r="G735" s="731"/>
      <c r="H735" s="731"/>
      <c r="I735" s="734"/>
      <c r="J735" s="731"/>
      <c r="K735" s="731"/>
      <c r="L735" s="734"/>
      <c r="M735" s="731"/>
      <c r="N735" s="731"/>
      <c r="O735" s="730"/>
      <c r="P735" s="731"/>
      <c r="Q735" s="731"/>
      <c r="R735" s="734"/>
      <c r="S735" s="731"/>
      <c r="T735" s="731"/>
      <c r="U735" s="734"/>
      <c r="V735" s="731"/>
      <c r="W735" s="731"/>
      <c r="X735" s="734"/>
      <c r="Y735" s="731"/>
      <c r="Z735" s="731"/>
    </row>
    <row r="736">
      <c r="C736" s="734"/>
      <c r="D736" s="731"/>
      <c r="E736" s="731"/>
      <c r="F736" s="734"/>
      <c r="G736" s="731"/>
      <c r="H736" s="731"/>
      <c r="I736" s="734"/>
      <c r="J736" s="731"/>
      <c r="K736" s="731"/>
      <c r="L736" s="734"/>
      <c r="M736" s="731"/>
      <c r="N736" s="731"/>
      <c r="O736" s="730"/>
      <c r="P736" s="731"/>
      <c r="Q736" s="731"/>
      <c r="R736" s="734"/>
      <c r="S736" s="731"/>
      <c r="T736" s="731"/>
      <c r="U736" s="734"/>
      <c r="V736" s="731"/>
      <c r="W736" s="731"/>
      <c r="X736" s="734"/>
      <c r="Y736" s="731"/>
      <c r="Z736" s="731"/>
    </row>
    <row r="737">
      <c r="C737" s="734"/>
      <c r="D737" s="731"/>
      <c r="E737" s="731"/>
      <c r="F737" s="734"/>
      <c r="G737" s="731"/>
      <c r="H737" s="731"/>
      <c r="I737" s="734"/>
      <c r="J737" s="731"/>
      <c r="K737" s="731"/>
      <c r="L737" s="734"/>
      <c r="M737" s="731"/>
      <c r="N737" s="731"/>
      <c r="O737" s="730"/>
      <c r="P737" s="731"/>
      <c r="Q737" s="731"/>
      <c r="R737" s="734"/>
      <c r="S737" s="731"/>
      <c r="T737" s="731"/>
      <c r="U737" s="734"/>
      <c r="V737" s="731"/>
      <c r="W737" s="731"/>
      <c r="X737" s="734"/>
      <c r="Y737" s="731"/>
      <c r="Z737" s="731"/>
    </row>
    <row r="738">
      <c r="C738" s="734"/>
      <c r="D738" s="731"/>
      <c r="E738" s="731"/>
      <c r="F738" s="734"/>
      <c r="G738" s="731"/>
      <c r="H738" s="731"/>
      <c r="I738" s="734"/>
      <c r="J738" s="731"/>
      <c r="K738" s="731"/>
      <c r="L738" s="734"/>
      <c r="M738" s="731"/>
      <c r="N738" s="731"/>
      <c r="O738" s="730"/>
      <c r="P738" s="731"/>
      <c r="Q738" s="731"/>
      <c r="R738" s="734"/>
      <c r="S738" s="731"/>
      <c r="T738" s="731"/>
      <c r="U738" s="734"/>
      <c r="V738" s="731"/>
      <c r="W738" s="731"/>
      <c r="X738" s="734"/>
      <c r="Y738" s="731"/>
      <c r="Z738" s="731"/>
    </row>
    <row r="739">
      <c r="C739" s="734"/>
      <c r="D739" s="731"/>
      <c r="E739" s="731"/>
      <c r="F739" s="734"/>
      <c r="G739" s="731"/>
      <c r="H739" s="731"/>
      <c r="I739" s="734"/>
      <c r="J739" s="731"/>
      <c r="K739" s="731"/>
      <c r="L739" s="734"/>
      <c r="M739" s="731"/>
      <c r="N739" s="731"/>
      <c r="O739" s="730"/>
      <c r="P739" s="731"/>
      <c r="Q739" s="731"/>
      <c r="R739" s="734"/>
      <c r="S739" s="731"/>
      <c r="T739" s="731"/>
      <c r="U739" s="734"/>
      <c r="V739" s="731"/>
      <c r="W739" s="731"/>
      <c r="X739" s="734"/>
      <c r="Y739" s="731"/>
      <c r="Z739" s="731"/>
    </row>
    <row r="740">
      <c r="C740" s="734"/>
      <c r="D740" s="731"/>
      <c r="E740" s="731"/>
      <c r="F740" s="734"/>
      <c r="G740" s="731"/>
      <c r="H740" s="731"/>
      <c r="I740" s="734"/>
      <c r="J740" s="731"/>
      <c r="K740" s="731"/>
      <c r="L740" s="734"/>
      <c r="M740" s="731"/>
      <c r="N740" s="731"/>
      <c r="O740" s="730"/>
      <c r="P740" s="731"/>
      <c r="Q740" s="731"/>
      <c r="R740" s="734"/>
      <c r="S740" s="731"/>
      <c r="T740" s="731"/>
      <c r="U740" s="734"/>
      <c r="V740" s="731"/>
      <c r="W740" s="731"/>
      <c r="X740" s="734"/>
      <c r="Y740" s="731"/>
      <c r="Z740" s="731"/>
    </row>
    <row r="741">
      <c r="C741" s="734"/>
      <c r="D741" s="731"/>
      <c r="E741" s="731"/>
      <c r="F741" s="734"/>
      <c r="G741" s="731"/>
      <c r="H741" s="731"/>
      <c r="I741" s="734"/>
      <c r="J741" s="731"/>
      <c r="K741" s="731"/>
      <c r="L741" s="734"/>
      <c r="M741" s="731"/>
      <c r="N741" s="731"/>
      <c r="O741" s="730"/>
      <c r="P741" s="731"/>
      <c r="Q741" s="731"/>
      <c r="R741" s="734"/>
      <c r="S741" s="731"/>
      <c r="T741" s="731"/>
      <c r="U741" s="734"/>
      <c r="V741" s="731"/>
      <c r="W741" s="731"/>
      <c r="X741" s="734"/>
      <c r="Y741" s="731"/>
      <c r="Z741" s="731"/>
    </row>
    <row r="742">
      <c r="C742" s="734"/>
      <c r="D742" s="731"/>
      <c r="E742" s="731"/>
      <c r="F742" s="734"/>
      <c r="G742" s="731"/>
      <c r="H742" s="731"/>
      <c r="I742" s="734"/>
      <c r="J742" s="731"/>
      <c r="K742" s="731"/>
      <c r="L742" s="734"/>
      <c r="M742" s="731"/>
      <c r="N742" s="731"/>
      <c r="O742" s="730"/>
      <c r="P742" s="731"/>
      <c r="Q742" s="731"/>
      <c r="R742" s="734"/>
      <c r="S742" s="731"/>
      <c r="T742" s="731"/>
      <c r="U742" s="734"/>
      <c r="V742" s="731"/>
      <c r="W742" s="731"/>
      <c r="X742" s="734"/>
      <c r="Y742" s="731"/>
      <c r="Z742" s="731"/>
    </row>
    <row r="743">
      <c r="C743" s="734"/>
      <c r="D743" s="731"/>
      <c r="E743" s="731"/>
      <c r="F743" s="734"/>
      <c r="G743" s="731"/>
      <c r="H743" s="731"/>
      <c r="I743" s="734"/>
      <c r="J743" s="731"/>
      <c r="K743" s="731"/>
      <c r="L743" s="734"/>
      <c r="M743" s="731"/>
      <c r="N743" s="731"/>
      <c r="O743" s="730"/>
      <c r="P743" s="731"/>
      <c r="Q743" s="731"/>
      <c r="R743" s="734"/>
      <c r="S743" s="731"/>
      <c r="T743" s="731"/>
      <c r="U743" s="734"/>
      <c r="V743" s="731"/>
      <c r="W743" s="731"/>
      <c r="X743" s="734"/>
      <c r="Y743" s="731"/>
      <c r="Z743" s="731"/>
    </row>
    <row r="744">
      <c r="C744" s="734"/>
      <c r="D744" s="731"/>
      <c r="E744" s="731"/>
      <c r="F744" s="734"/>
      <c r="G744" s="731"/>
      <c r="H744" s="731"/>
      <c r="I744" s="734"/>
      <c r="J744" s="731"/>
      <c r="K744" s="731"/>
      <c r="L744" s="734"/>
      <c r="M744" s="731"/>
      <c r="N744" s="731"/>
      <c r="O744" s="730"/>
      <c r="P744" s="731"/>
      <c r="Q744" s="731"/>
      <c r="R744" s="734"/>
      <c r="S744" s="731"/>
      <c r="T744" s="731"/>
      <c r="U744" s="734"/>
      <c r="V744" s="731"/>
      <c r="W744" s="731"/>
      <c r="X744" s="734"/>
      <c r="Y744" s="731"/>
      <c r="Z744" s="731"/>
    </row>
    <row r="745">
      <c r="C745" s="734"/>
      <c r="D745" s="731"/>
      <c r="E745" s="731"/>
      <c r="F745" s="734"/>
      <c r="G745" s="731"/>
      <c r="H745" s="731"/>
      <c r="I745" s="734"/>
      <c r="J745" s="731"/>
      <c r="K745" s="731"/>
      <c r="L745" s="734"/>
      <c r="M745" s="731"/>
      <c r="N745" s="731"/>
      <c r="O745" s="730"/>
      <c r="P745" s="731"/>
      <c r="Q745" s="731"/>
      <c r="R745" s="734"/>
      <c r="S745" s="731"/>
      <c r="T745" s="731"/>
      <c r="U745" s="734"/>
      <c r="V745" s="731"/>
      <c r="W745" s="731"/>
      <c r="X745" s="734"/>
      <c r="Y745" s="731"/>
      <c r="Z745" s="731"/>
    </row>
    <row r="746">
      <c r="C746" s="734"/>
      <c r="D746" s="731"/>
      <c r="E746" s="731"/>
      <c r="F746" s="734"/>
      <c r="G746" s="731"/>
      <c r="H746" s="731"/>
      <c r="I746" s="734"/>
      <c r="J746" s="731"/>
      <c r="K746" s="731"/>
      <c r="L746" s="734"/>
      <c r="M746" s="731"/>
      <c r="N746" s="731"/>
      <c r="O746" s="730"/>
      <c r="P746" s="731"/>
      <c r="Q746" s="731"/>
      <c r="R746" s="734"/>
      <c r="S746" s="731"/>
      <c r="T746" s="731"/>
      <c r="U746" s="734"/>
      <c r="V746" s="731"/>
      <c r="W746" s="731"/>
      <c r="X746" s="734"/>
      <c r="Y746" s="731"/>
      <c r="Z746" s="731"/>
    </row>
    <row r="747">
      <c r="C747" s="734"/>
      <c r="D747" s="731"/>
      <c r="E747" s="731"/>
      <c r="F747" s="734"/>
      <c r="G747" s="731"/>
      <c r="H747" s="731"/>
      <c r="I747" s="734"/>
      <c r="J747" s="731"/>
      <c r="K747" s="731"/>
      <c r="L747" s="734"/>
      <c r="M747" s="731"/>
      <c r="N747" s="731"/>
      <c r="O747" s="730"/>
      <c r="P747" s="731"/>
      <c r="Q747" s="731"/>
      <c r="R747" s="734"/>
      <c r="S747" s="731"/>
      <c r="T747" s="731"/>
      <c r="U747" s="734"/>
      <c r="V747" s="731"/>
      <c r="W747" s="731"/>
      <c r="X747" s="734"/>
      <c r="Y747" s="731"/>
      <c r="Z747" s="731"/>
    </row>
    <row r="748">
      <c r="C748" s="734"/>
      <c r="D748" s="731"/>
      <c r="E748" s="731"/>
      <c r="F748" s="734"/>
      <c r="G748" s="731"/>
      <c r="H748" s="731"/>
      <c r="I748" s="734"/>
      <c r="J748" s="731"/>
      <c r="K748" s="731"/>
      <c r="L748" s="734"/>
      <c r="M748" s="731"/>
      <c r="N748" s="731"/>
      <c r="O748" s="730"/>
      <c r="P748" s="731"/>
      <c r="Q748" s="731"/>
      <c r="R748" s="734"/>
      <c r="S748" s="731"/>
      <c r="T748" s="731"/>
      <c r="U748" s="734"/>
      <c r="V748" s="731"/>
      <c r="W748" s="731"/>
      <c r="X748" s="734"/>
      <c r="Y748" s="731"/>
      <c r="Z748" s="731"/>
    </row>
    <row r="749">
      <c r="C749" s="734"/>
      <c r="D749" s="731"/>
      <c r="E749" s="731"/>
      <c r="F749" s="734"/>
      <c r="G749" s="731"/>
      <c r="H749" s="731"/>
      <c r="I749" s="734"/>
      <c r="J749" s="731"/>
      <c r="K749" s="731"/>
      <c r="L749" s="734"/>
      <c r="M749" s="731"/>
      <c r="N749" s="731"/>
      <c r="O749" s="730"/>
      <c r="P749" s="731"/>
      <c r="Q749" s="731"/>
      <c r="R749" s="734"/>
      <c r="S749" s="731"/>
      <c r="T749" s="731"/>
      <c r="U749" s="734"/>
      <c r="V749" s="731"/>
      <c r="W749" s="731"/>
      <c r="X749" s="734"/>
      <c r="Y749" s="731"/>
      <c r="Z749" s="731"/>
    </row>
    <row r="750">
      <c r="C750" s="734"/>
      <c r="D750" s="731"/>
      <c r="E750" s="731"/>
      <c r="F750" s="734"/>
      <c r="G750" s="731"/>
      <c r="H750" s="731"/>
      <c r="I750" s="734"/>
      <c r="J750" s="731"/>
      <c r="K750" s="731"/>
      <c r="L750" s="734"/>
      <c r="M750" s="731"/>
      <c r="N750" s="731"/>
      <c r="O750" s="730"/>
      <c r="P750" s="731"/>
      <c r="Q750" s="731"/>
      <c r="R750" s="734"/>
      <c r="S750" s="731"/>
      <c r="T750" s="731"/>
      <c r="U750" s="734"/>
      <c r="V750" s="731"/>
      <c r="W750" s="731"/>
      <c r="X750" s="734"/>
      <c r="Y750" s="731"/>
      <c r="Z750" s="731"/>
    </row>
    <row r="751">
      <c r="C751" s="734"/>
      <c r="D751" s="731"/>
      <c r="E751" s="731"/>
      <c r="F751" s="734"/>
      <c r="G751" s="731"/>
      <c r="H751" s="731"/>
      <c r="I751" s="734"/>
      <c r="J751" s="731"/>
      <c r="K751" s="731"/>
      <c r="L751" s="734"/>
      <c r="M751" s="731"/>
      <c r="N751" s="731"/>
      <c r="O751" s="730"/>
      <c r="P751" s="731"/>
      <c r="Q751" s="731"/>
      <c r="R751" s="734"/>
      <c r="S751" s="731"/>
      <c r="T751" s="731"/>
      <c r="U751" s="734"/>
      <c r="V751" s="731"/>
      <c r="W751" s="731"/>
      <c r="X751" s="734"/>
      <c r="Y751" s="731"/>
      <c r="Z751" s="731"/>
    </row>
    <row r="752">
      <c r="C752" s="734"/>
      <c r="D752" s="731"/>
      <c r="E752" s="731"/>
      <c r="F752" s="734"/>
      <c r="G752" s="731"/>
      <c r="H752" s="731"/>
      <c r="I752" s="734"/>
      <c r="J752" s="731"/>
      <c r="K752" s="731"/>
      <c r="L752" s="734"/>
      <c r="M752" s="731"/>
      <c r="N752" s="731"/>
      <c r="O752" s="730"/>
      <c r="P752" s="731"/>
      <c r="Q752" s="731"/>
      <c r="R752" s="734"/>
      <c r="S752" s="731"/>
      <c r="T752" s="731"/>
      <c r="U752" s="734"/>
      <c r="V752" s="731"/>
      <c r="W752" s="731"/>
      <c r="X752" s="734"/>
      <c r="Y752" s="731"/>
      <c r="Z752" s="731"/>
    </row>
    <row r="753">
      <c r="C753" s="734"/>
      <c r="D753" s="731"/>
      <c r="E753" s="731"/>
      <c r="F753" s="734"/>
      <c r="G753" s="731"/>
      <c r="H753" s="731"/>
      <c r="I753" s="734"/>
      <c r="J753" s="731"/>
      <c r="K753" s="731"/>
      <c r="L753" s="734"/>
      <c r="M753" s="731"/>
      <c r="N753" s="731"/>
      <c r="O753" s="730"/>
      <c r="P753" s="731"/>
      <c r="Q753" s="731"/>
      <c r="R753" s="734"/>
      <c r="S753" s="731"/>
      <c r="T753" s="731"/>
      <c r="U753" s="734"/>
      <c r="V753" s="731"/>
      <c r="W753" s="731"/>
      <c r="X753" s="734"/>
      <c r="Y753" s="731"/>
      <c r="Z753" s="731"/>
    </row>
    <row r="754">
      <c r="C754" s="734"/>
      <c r="D754" s="731"/>
      <c r="E754" s="731"/>
      <c r="F754" s="734"/>
      <c r="G754" s="731"/>
      <c r="H754" s="731"/>
      <c r="I754" s="734"/>
      <c r="J754" s="731"/>
      <c r="K754" s="731"/>
      <c r="L754" s="734"/>
      <c r="M754" s="731"/>
      <c r="N754" s="731"/>
      <c r="O754" s="730"/>
      <c r="P754" s="731"/>
      <c r="Q754" s="731"/>
      <c r="R754" s="734"/>
      <c r="S754" s="731"/>
      <c r="T754" s="731"/>
      <c r="U754" s="734"/>
      <c r="V754" s="731"/>
      <c r="W754" s="731"/>
      <c r="X754" s="734"/>
      <c r="Y754" s="731"/>
      <c r="Z754" s="731"/>
    </row>
    <row r="755">
      <c r="C755" s="734"/>
      <c r="D755" s="731"/>
      <c r="E755" s="731"/>
      <c r="F755" s="734"/>
      <c r="G755" s="731"/>
      <c r="H755" s="731"/>
      <c r="I755" s="734"/>
      <c r="J755" s="731"/>
      <c r="K755" s="731"/>
      <c r="L755" s="734"/>
      <c r="M755" s="731"/>
      <c r="N755" s="731"/>
      <c r="O755" s="730"/>
      <c r="P755" s="731"/>
      <c r="Q755" s="731"/>
      <c r="R755" s="734"/>
      <c r="S755" s="731"/>
      <c r="T755" s="731"/>
      <c r="U755" s="734"/>
      <c r="V755" s="731"/>
      <c r="W755" s="731"/>
      <c r="X755" s="734"/>
      <c r="Y755" s="731"/>
      <c r="Z755" s="731"/>
    </row>
    <row r="756">
      <c r="C756" s="734"/>
      <c r="D756" s="731"/>
      <c r="E756" s="731"/>
      <c r="F756" s="734"/>
      <c r="G756" s="731"/>
      <c r="H756" s="731"/>
      <c r="I756" s="734"/>
      <c r="J756" s="731"/>
      <c r="K756" s="731"/>
      <c r="L756" s="734"/>
      <c r="M756" s="731"/>
      <c r="N756" s="731"/>
      <c r="O756" s="730"/>
      <c r="P756" s="731"/>
      <c r="Q756" s="731"/>
      <c r="R756" s="734"/>
      <c r="S756" s="731"/>
      <c r="T756" s="731"/>
      <c r="U756" s="734"/>
      <c r="V756" s="731"/>
      <c r="W756" s="731"/>
      <c r="X756" s="734"/>
      <c r="Y756" s="731"/>
      <c r="Z756" s="731"/>
    </row>
    <row r="757">
      <c r="C757" s="734"/>
      <c r="D757" s="731"/>
      <c r="E757" s="731"/>
      <c r="F757" s="734"/>
      <c r="G757" s="731"/>
      <c r="H757" s="731"/>
      <c r="I757" s="734"/>
      <c r="J757" s="731"/>
      <c r="K757" s="731"/>
      <c r="L757" s="734"/>
      <c r="M757" s="731"/>
      <c r="N757" s="731"/>
      <c r="O757" s="730"/>
      <c r="P757" s="731"/>
      <c r="Q757" s="731"/>
      <c r="R757" s="734"/>
      <c r="S757" s="731"/>
      <c r="T757" s="731"/>
      <c r="U757" s="734"/>
      <c r="V757" s="731"/>
      <c r="W757" s="731"/>
      <c r="X757" s="734"/>
      <c r="Y757" s="731"/>
      <c r="Z757" s="731"/>
    </row>
    <row r="758">
      <c r="C758" s="734"/>
      <c r="D758" s="731"/>
      <c r="E758" s="731"/>
      <c r="F758" s="734"/>
      <c r="G758" s="731"/>
      <c r="H758" s="731"/>
      <c r="I758" s="734"/>
      <c r="J758" s="731"/>
      <c r="K758" s="731"/>
      <c r="L758" s="734"/>
      <c r="M758" s="731"/>
      <c r="N758" s="731"/>
      <c r="O758" s="730"/>
      <c r="P758" s="731"/>
      <c r="Q758" s="731"/>
      <c r="R758" s="734"/>
      <c r="S758" s="731"/>
      <c r="T758" s="731"/>
      <c r="U758" s="734"/>
      <c r="V758" s="731"/>
      <c r="W758" s="731"/>
      <c r="X758" s="734"/>
      <c r="Y758" s="731"/>
      <c r="Z758" s="731"/>
    </row>
    <row r="759">
      <c r="C759" s="734"/>
      <c r="D759" s="731"/>
      <c r="E759" s="731"/>
      <c r="F759" s="734"/>
      <c r="G759" s="731"/>
      <c r="H759" s="731"/>
      <c r="I759" s="734"/>
      <c r="J759" s="731"/>
      <c r="K759" s="731"/>
      <c r="L759" s="734"/>
      <c r="M759" s="731"/>
      <c r="N759" s="731"/>
      <c r="O759" s="730"/>
      <c r="P759" s="731"/>
      <c r="Q759" s="731"/>
      <c r="R759" s="734"/>
      <c r="S759" s="731"/>
      <c r="T759" s="731"/>
      <c r="U759" s="734"/>
      <c r="V759" s="731"/>
      <c r="W759" s="731"/>
      <c r="X759" s="734"/>
      <c r="Y759" s="731"/>
      <c r="Z759" s="731"/>
    </row>
    <row r="760">
      <c r="C760" s="734"/>
      <c r="D760" s="731"/>
      <c r="E760" s="731"/>
      <c r="F760" s="734"/>
      <c r="G760" s="731"/>
      <c r="H760" s="731"/>
      <c r="I760" s="734"/>
      <c r="J760" s="731"/>
      <c r="K760" s="731"/>
      <c r="L760" s="734"/>
      <c r="M760" s="731"/>
      <c r="N760" s="731"/>
      <c r="O760" s="730"/>
      <c r="P760" s="731"/>
      <c r="Q760" s="731"/>
      <c r="R760" s="734"/>
      <c r="S760" s="731"/>
      <c r="T760" s="731"/>
      <c r="U760" s="734"/>
      <c r="V760" s="731"/>
      <c r="W760" s="731"/>
      <c r="X760" s="734"/>
      <c r="Y760" s="731"/>
      <c r="Z760" s="731"/>
    </row>
    <row r="761">
      <c r="C761" s="734"/>
      <c r="D761" s="731"/>
      <c r="E761" s="731"/>
      <c r="F761" s="734"/>
      <c r="G761" s="731"/>
      <c r="H761" s="731"/>
      <c r="I761" s="734"/>
      <c r="J761" s="731"/>
      <c r="K761" s="731"/>
      <c r="L761" s="734"/>
      <c r="M761" s="731"/>
      <c r="N761" s="731"/>
      <c r="O761" s="730"/>
      <c r="P761" s="731"/>
      <c r="Q761" s="731"/>
      <c r="R761" s="734"/>
      <c r="S761" s="731"/>
      <c r="T761" s="731"/>
      <c r="U761" s="734"/>
      <c r="V761" s="731"/>
      <c r="W761" s="731"/>
      <c r="X761" s="734"/>
      <c r="Y761" s="731"/>
      <c r="Z761" s="731"/>
    </row>
    <row r="762">
      <c r="C762" s="734"/>
      <c r="D762" s="731"/>
      <c r="E762" s="731"/>
      <c r="F762" s="734"/>
      <c r="G762" s="731"/>
      <c r="H762" s="731"/>
      <c r="I762" s="734"/>
      <c r="J762" s="731"/>
      <c r="K762" s="731"/>
      <c r="L762" s="734"/>
      <c r="M762" s="731"/>
      <c r="N762" s="731"/>
      <c r="O762" s="730"/>
      <c r="P762" s="731"/>
      <c r="Q762" s="731"/>
      <c r="R762" s="734"/>
      <c r="S762" s="731"/>
      <c r="T762" s="731"/>
      <c r="U762" s="734"/>
      <c r="V762" s="731"/>
      <c r="W762" s="731"/>
      <c r="X762" s="734"/>
      <c r="Y762" s="731"/>
      <c r="Z762" s="731"/>
    </row>
    <row r="763">
      <c r="C763" s="734"/>
      <c r="D763" s="731"/>
      <c r="E763" s="731"/>
      <c r="F763" s="734"/>
      <c r="G763" s="731"/>
      <c r="H763" s="731"/>
      <c r="I763" s="734"/>
      <c r="J763" s="731"/>
      <c r="K763" s="731"/>
      <c r="L763" s="734"/>
      <c r="M763" s="731"/>
      <c r="N763" s="731"/>
      <c r="O763" s="730"/>
      <c r="P763" s="731"/>
      <c r="Q763" s="731"/>
      <c r="R763" s="734"/>
      <c r="S763" s="731"/>
      <c r="T763" s="731"/>
      <c r="U763" s="734"/>
      <c r="V763" s="731"/>
      <c r="W763" s="731"/>
      <c r="X763" s="734"/>
      <c r="Y763" s="731"/>
      <c r="Z763" s="731"/>
    </row>
    <row r="764">
      <c r="C764" s="734"/>
      <c r="D764" s="731"/>
      <c r="E764" s="731"/>
      <c r="F764" s="734"/>
      <c r="G764" s="731"/>
      <c r="H764" s="731"/>
      <c r="I764" s="734"/>
      <c r="J764" s="731"/>
      <c r="K764" s="731"/>
      <c r="L764" s="734"/>
      <c r="M764" s="731"/>
      <c r="N764" s="731"/>
      <c r="O764" s="730"/>
      <c r="P764" s="731"/>
      <c r="Q764" s="731"/>
      <c r="R764" s="734"/>
      <c r="S764" s="731"/>
      <c r="T764" s="731"/>
      <c r="U764" s="734"/>
      <c r="V764" s="731"/>
      <c r="W764" s="731"/>
      <c r="X764" s="734"/>
      <c r="Y764" s="731"/>
      <c r="Z764" s="731"/>
    </row>
    <row r="765">
      <c r="C765" s="734"/>
      <c r="D765" s="731"/>
      <c r="E765" s="731"/>
      <c r="F765" s="734"/>
      <c r="G765" s="731"/>
      <c r="H765" s="731"/>
      <c r="I765" s="734"/>
      <c r="J765" s="731"/>
      <c r="K765" s="731"/>
      <c r="L765" s="734"/>
      <c r="M765" s="731"/>
      <c r="N765" s="731"/>
      <c r="O765" s="730"/>
      <c r="P765" s="731"/>
      <c r="Q765" s="731"/>
      <c r="R765" s="734"/>
      <c r="S765" s="731"/>
      <c r="T765" s="731"/>
      <c r="U765" s="734"/>
      <c r="V765" s="731"/>
      <c r="W765" s="731"/>
      <c r="X765" s="734"/>
      <c r="Y765" s="731"/>
      <c r="Z765" s="731"/>
    </row>
    <row r="766">
      <c r="C766" s="734"/>
      <c r="D766" s="731"/>
      <c r="E766" s="731"/>
      <c r="F766" s="734"/>
      <c r="G766" s="731"/>
      <c r="H766" s="731"/>
      <c r="I766" s="734"/>
      <c r="J766" s="731"/>
      <c r="K766" s="731"/>
      <c r="L766" s="734"/>
      <c r="M766" s="731"/>
      <c r="N766" s="731"/>
      <c r="O766" s="730"/>
      <c r="P766" s="731"/>
      <c r="Q766" s="731"/>
      <c r="R766" s="734"/>
      <c r="S766" s="731"/>
      <c r="T766" s="731"/>
      <c r="U766" s="734"/>
      <c r="V766" s="731"/>
      <c r="W766" s="731"/>
      <c r="X766" s="734"/>
      <c r="Y766" s="731"/>
      <c r="Z766" s="731"/>
    </row>
    <row r="767">
      <c r="C767" s="734"/>
      <c r="D767" s="731"/>
      <c r="E767" s="731"/>
      <c r="F767" s="734"/>
      <c r="G767" s="731"/>
      <c r="H767" s="731"/>
      <c r="I767" s="734"/>
      <c r="J767" s="731"/>
      <c r="K767" s="731"/>
      <c r="L767" s="734"/>
      <c r="M767" s="731"/>
      <c r="N767" s="731"/>
      <c r="O767" s="730"/>
      <c r="P767" s="731"/>
      <c r="Q767" s="731"/>
      <c r="R767" s="734"/>
      <c r="S767" s="731"/>
      <c r="T767" s="731"/>
      <c r="U767" s="734"/>
      <c r="V767" s="731"/>
      <c r="W767" s="731"/>
      <c r="X767" s="734"/>
      <c r="Y767" s="731"/>
      <c r="Z767" s="731"/>
    </row>
    <row r="768">
      <c r="C768" s="734"/>
      <c r="D768" s="731"/>
      <c r="E768" s="731"/>
      <c r="F768" s="734"/>
      <c r="G768" s="731"/>
      <c r="H768" s="731"/>
      <c r="I768" s="734"/>
      <c r="J768" s="731"/>
      <c r="K768" s="731"/>
      <c r="L768" s="734"/>
      <c r="M768" s="731"/>
      <c r="N768" s="731"/>
      <c r="O768" s="730"/>
      <c r="P768" s="731"/>
      <c r="Q768" s="731"/>
      <c r="R768" s="734"/>
      <c r="S768" s="731"/>
      <c r="T768" s="731"/>
      <c r="U768" s="734"/>
      <c r="V768" s="731"/>
      <c r="W768" s="731"/>
      <c r="X768" s="734"/>
      <c r="Y768" s="731"/>
      <c r="Z768" s="731"/>
    </row>
    <row r="769">
      <c r="C769" s="734"/>
      <c r="D769" s="731"/>
      <c r="E769" s="731"/>
      <c r="F769" s="734"/>
      <c r="G769" s="731"/>
      <c r="H769" s="731"/>
      <c r="I769" s="734"/>
      <c r="J769" s="731"/>
      <c r="K769" s="731"/>
      <c r="L769" s="734"/>
      <c r="M769" s="731"/>
      <c r="N769" s="731"/>
      <c r="O769" s="730"/>
      <c r="P769" s="731"/>
      <c r="Q769" s="731"/>
      <c r="R769" s="734"/>
      <c r="S769" s="731"/>
      <c r="T769" s="731"/>
      <c r="U769" s="734"/>
      <c r="V769" s="731"/>
      <c r="W769" s="731"/>
      <c r="X769" s="734"/>
      <c r="Y769" s="731"/>
      <c r="Z769" s="731"/>
    </row>
    <row r="770">
      <c r="C770" s="734"/>
      <c r="D770" s="731"/>
      <c r="E770" s="731"/>
      <c r="F770" s="734"/>
      <c r="G770" s="731"/>
      <c r="H770" s="731"/>
      <c r="I770" s="734"/>
      <c r="J770" s="731"/>
      <c r="K770" s="731"/>
      <c r="L770" s="734"/>
      <c r="M770" s="731"/>
      <c r="N770" s="731"/>
      <c r="O770" s="730"/>
      <c r="P770" s="731"/>
      <c r="Q770" s="731"/>
      <c r="R770" s="734"/>
      <c r="S770" s="731"/>
      <c r="T770" s="731"/>
      <c r="U770" s="734"/>
      <c r="V770" s="731"/>
      <c r="W770" s="731"/>
      <c r="X770" s="734"/>
      <c r="Y770" s="731"/>
      <c r="Z770" s="731"/>
    </row>
    <row r="771">
      <c r="C771" s="734"/>
      <c r="D771" s="731"/>
      <c r="E771" s="731"/>
      <c r="F771" s="734"/>
      <c r="G771" s="731"/>
      <c r="H771" s="731"/>
      <c r="I771" s="734"/>
      <c r="J771" s="731"/>
      <c r="K771" s="731"/>
      <c r="L771" s="734"/>
      <c r="M771" s="731"/>
      <c r="N771" s="731"/>
      <c r="O771" s="730"/>
      <c r="P771" s="731"/>
      <c r="Q771" s="731"/>
      <c r="R771" s="734"/>
      <c r="S771" s="731"/>
      <c r="T771" s="731"/>
      <c r="U771" s="734"/>
      <c r="V771" s="731"/>
      <c r="W771" s="731"/>
      <c r="X771" s="734"/>
      <c r="Y771" s="731"/>
      <c r="Z771" s="731"/>
    </row>
    <row r="772">
      <c r="C772" s="734"/>
      <c r="D772" s="731"/>
      <c r="E772" s="731"/>
      <c r="F772" s="734"/>
      <c r="G772" s="731"/>
      <c r="H772" s="731"/>
      <c r="I772" s="734"/>
      <c r="J772" s="731"/>
      <c r="K772" s="731"/>
      <c r="L772" s="734"/>
      <c r="M772" s="731"/>
      <c r="N772" s="731"/>
      <c r="O772" s="730"/>
      <c r="P772" s="731"/>
      <c r="Q772" s="731"/>
      <c r="R772" s="734"/>
      <c r="S772" s="731"/>
      <c r="T772" s="731"/>
      <c r="U772" s="734"/>
      <c r="V772" s="731"/>
      <c r="W772" s="731"/>
      <c r="X772" s="734"/>
      <c r="Y772" s="731"/>
      <c r="Z772" s="731"/>
    </row>
    <row r="773">
      <c r="C773" s="734"/>
      <c r="D773" s="731"/>
      <c r="E773" s="731"/>
      <c r="F773" s="734"/>
      <c r="G773" s="731"/>
      <c r="H773" s="731"/>
      <c r="I773" s="734"/>
      <c r="J773" s="731"/>
      <c r="K773" s="731"/>
      <c r="L773" s="734"/>
      <c r="M773" s="731"/>
      <c r="N773" s="731"/>
      <c r="O773" s="730"/>
      <c r="P773" s="731"/>
      <c r="Q773" s="731"/>
      <c r="R773" s="734"/>
      <c r="S773" s="731"/>
      <c r="T773" s="731"/>
      <c r="U773" s="734"/>
      <c r="V773" s="731"/>
      <c r="W773" s="731"/>
      <c r="X773" s="734"/>
      <c r="Y773" s="731"/>
      <c r="Z773" s="731"/>
    </row>
    <row r="774">
      <c r="C774" s="734"/>
      <c r="D774" s="731"/>
      <c r="E774" s="731"/>
      <c r="F774" s="734"/>
      <c r="G774" s="731"/>
      <c r="H774" s="731"/>
      <c r="I774" s="734"/>
      <c r="J774" s="731"/>
      <c r="K774" s="731"/>
      <c r="L774" s="734"/>
      <c r="M774" s="731"/>
      <c r="N774" s="731"/>
      <c r="O774" s="730"/>
      <c r="P774" s="731"/>
      <c r="Q774" s="731"/>
      <c r="R774" s="734"/>
      <c r="S774" s="731"/>
      <c r="T774" s="731"/>
      <c r="U774" s="734"/>
      <c r="V774" s="731"/>
      <c r="W774" s="731"/>
      <c r="X774" s="734"/>
      <c r="Y774" s="731"/>
      <c r="Z774" s="731"/>
    </row>
    <row r="775">
      <c r="C775" s="734"/>
      <c r="D775" s="731"/>
      <c r="E775" s="731"/>
      <c r="F775" s="734"/>
      <c r="G775" s="731"/>
      <c r="H775" s="731"/>
      <c r="I775" s="734"/>
      <c r="J775" s="731"/>
      <c r="K775" s="731"/>
      <c r="L775" s="734"/>
      <c r="M775" s="731"/>
      <c r="N775" s="731"/>
      <c r="O775" s="730"/>
      <c r="P775" s="731"/>
      <c r="Q775" s="731"/>
      <c r="R775" s="734"/>
      <c r="S775" s="731"/>
      <c r="T775" s="731"/>
      <c r="U775" s="734"/>
      <c r="V775" s="731"/>
      <c r="W775" s="731"/>
      <c r="X775" s="734"/>
      <c r="Y775" s="731"/>
      <c r="Z775" s="731"/>
    </row>
    <row r="776">
      <c r="C776" s="734"/>
      <c r="D776" s="731"/>
      <c r="E776" s="731"/>
      <c r="F776" s="734"/>
      <c r="G776" s="731"/>
      <c r="H776" s="731"/>
      <c r="I776" s="734"/>
      <c r="J776" s="731"/>
      <c r="K776" s="731"/>
      <c r="L776" s="734"/>
      <c r="M776" s="731"/>
      <c r="N776" s="731"/>
      <c r="O776" s="730"/>
      <c r="P776" s="731"/>
      <c r="Q776" s="731"/>
      <c r="R776" s="734"/>
      <c r="S776" s="731"/>
      <c r="T776" s="731"/>
      <c r="U776" s="734"/>
      <c r="V776" s="731"/>
      <c r="W776" s="731"/>
      <c r="X776" s="734"/>
      <c r="Y776" s="731"/>
      <c r="Z776" s="731"/>
    </row>
    <row r="777">
      <c r="C777" s="734"/>
      <c r="D777" s="731"/>
      <c r="E777" s="731"/>
      <c r="F777" s="734"/>
      <c r="G777" s="731"/>
      <c r="H777" s="731"/>
      <c r="I777" s="734"/>
      <c r="J777" s="731"/>
      <c r="K777" s="731"/>
      <c r="L777" s="734"/>
      <c r="M777" s="731"/>
      <c r="N777" s="731"/>
      <c r="O777" s="730"/>
      <c r="P777" s="731"/>
      <c r="Q777" s="731"/>
      <c r="R777" s="734"/>
      <c r="S777" s="731"/>
      <c r="T777" s="731"/>
      <c r="U777" s="734"/>
      <c r="V777" s="731"/>
      <c r="W777" s="731"/>
      <c r="X777" s="734"/>
      <c r="Y777" s="731"/>
      <c r="Z777" s="731"/>
    </row>
    <row r="778">
      <c r="C778" s="734"/>
      <c r="D778" s="731"/>
      <c r="E778" s="731"/>
      <c r="F778" s="734"/>
      <c r="G778" s="731"/>
      <c r="H778" s="731"/>
      <c r="I778" s="734"/>
      <c r="J778" s="731"/>
      <c r="K778" s="731"/>
      <c r="L778" s="734"/>
      <c r="M778" s="731"/>
      <c r="N778" s="731"/>
      <c r="O778" s="730"/>
      <c r="P778" s="731"/>
      <c r="Q778" s="731"/>
      <c r="R778" s="734"/>
      <c r="S778" s="731"/>
      <c r="T778" s="731"/>
      <c r="U778" s="734"/>
      <c r="V778" s="731"/>
      <c r="W778" s="731"/>
      <c r="X778" s="734"/>
      <c r="Y778" s="731"/>
      <c r="Z778" s="731"/>
    </row>
    <row r="779">
      <c r="C779" s="734"/>
      <c r="D779" s="731"/>
      <c r="E779" s="731"/>
      <c r="F779" s="734"/>
      <c r="G779" s="731"/>
      <c r="H779" s="731"/>
      <c r="I779" s="734"/>
      <c r="J779" s="731"/>
      <c r="K779" s="731"/>
      <c r="L779" s="734"/>
      <c r="M779" s="731"/>
      <c r="N779" s="731"/>
      <c r="O779" s="730"/>
      <c r="P779" s="731"/>
      <c r="Q779" s="731"/>
      <c r="R779" s="734"/>
      <c r="S779" s="731"/>
      <c r="T779" s="731"/>
      <c r="U779" s="734"/>
      <c r="V779" s="731"/>
      <c r="W779" s="731"/>
      <c r="X779" s="734"/>
      <c r="Y779" s="731"/>
      <c r="Z779" s="731"/>
    </row>
    <row r="780">
      <c r="C780" s="734"/>
      <c r="D780" s="731"/>
      <c r="E780" s="731"/>
      <c r="F780" s="734"/>
      <c r="G780" s="731"/>
      <c r="H780" s="731"/>
      <c r="I780" s="734"/>
      <c r="J780" s="731"/>
      <c r="K780" s="731"/>
      <c r="L780" s="734"/>
      <c r="M780" s="731"/>
      <c r="N780" s="731"/>
      <c r="O780" s="730"/>
      <c r="P780" s="731"/>
      <c r="Q780" s="731"/>
      <c r="R780" s="734"/>
      <c r="S780" s="731"/>
      <c r="T780" s="731"/>
      <c r="U780" s="734"/>
      <c r="V780" s="731"/>
      <c r="W780" s="731"/>
      <c r="X780" s="734"/>
      <c r="Y780" s="731"/>
      <c r="Z780" s="731"/>
    </row>
    <row r="781">
      <c r="C781" s="734"/>
      <c r="D781" s="731"/>
      <c r="E781" s="731"/>
      <c r="F781" s="734"/>
      <c r="G781" s="731"/>
      <c r="H781" s="731"/>
      <c r="I781" s="734"/>
      <c r="J781" s="731"/>
      <c r="K781" s="731"/>
      <c r="L781" s="734"/>
      <c r="M781" s="731"/>
      <c r="N781" s="731"/>
      <c r="O781" s="730"/>
      <c r="P781" s="731"/>
      <c r="Q781" s="731"/>
      <c r="R781" s="734"/>
      <c r="S781" s="731"/>
      <c r="T781" s="731"/>
      <c r="U781" s="734"/>
      <c r="V781" s="731"/>
      <c r="W781" s="731"/>
      <c r="X781" s="734"/>
      <c r="Y781" s="731"/>
      <c r="Z781" s="731"/>
    </row>
    <row r="782">
      <c r="C782" s="734"/>
      <c r="D782" s="731"/>
      <c r="E782" s="731"/>
      <c r="F782" s="734"/>
      <c r="G782" s="731"/>
      <c r="H782" s="731"/>
      <c r="I782" s="734"/>
      <c r="J782" s="731"/>
      <c r="K782" s="731"/>
      <c r="L782" s="734"/>
      <c r="M782" s="731"/>
      <c r="N782" s="731"/>
      <c r="O782" s="730"/>
      <c r="P782" s="731"/>
      <c r="Q782" s="731"/>
      <c r="R782" s="734"/>
      <c r="S782" s="731"/>
      <c r="T782" s="731"/>
      <c r="U782" s="734"/>
      <c r="V782" s="731"/>
      <c r="W782" s="731"/>
      <c r="X782" s="734"/>
      <c r="Y782" s="731"/>
      <c r="Z782" s="731"/>
    </row>
    <row r="783">
      <c r="C783" s="734"/>
      <c r="D783" s="731"/>
      <c r="E783" s="731"/>
      <c r="F783" s="734"/>
      <c r="G783" s="731"/>
      <c r="H783" s="731"/>
      <c r="I783" s="734"/>
      <c r="J783" s="731"/>
      <c r="K783" s="731"/>
      <c r="L783" s="734"/>
      <c r="M783" s="731"/>
      <c r="N783" s="731"/>
      <c r="O783" s="730"/>
      <c r="P783" s="731"/>
      <c r="Q783" s="731"/>
      <c r="R783" s="734"/>
      <c r="S783" s="731"/>
      <c r="T783" s="731"/>
      <c r="U783" s="734"/>
      <c r="V783" s="731"/>
      <c r="W783" s="731"/>
      <c r="X783" s="734"/>
      <c r="Y783" s="731"/>
      <c r="Z783" s="731"/>
    </row>
    <row r="784">
      <c r="C784" s="734"/>
      <c r="D784" s="731"/>
      <c r="E784" s="731"/>
      <c r="F784" s="734"/>
      <c r="G784" s="731"/>
      <c r="H784" s="731"/>
      <c r="I784" s="734"/>
      <c r="J784" s="731"/>
      <c r="K784" s="731"/>
      <c r="L784" s="734"/>
      <c r="M784" s="731"/>
      <c r="N784" s="731"/>
      <c r="O784" s="730"/>
      <c r="P784" s="731"/>
      <c r="Q784" s="731"/>
      <c r="R784" s="734"/>
      <c r="S784" s="731"/>
      <c r="T784" s="731"/>
      <c r="U784" s="734"/>
      <c r="V784" s="731"/>
      <c r="W784" s="731"/>
      <c r="X784" s="734"/>
      <c r="Y784" s="731"/>
      <c r="Z784" s="731"/>
    </row>
    <row r="785">
      <c r="C785" s="734"/>
      <c r="D785" s="731"/>
      <c r="E785" s="731"/>
      <c r="F785" s="734"/>
      <c r="G785" s="731"/>
      <c r="H785" s="731"/>
      <c r="I785" s="734"/>
      <c r="J785" s="731"/>
      <c r="K785" s="731"/>
      <c r="L785" s="734"/>
      <c r="M785" s="731"/>
      <c r="N785" s="731"/>
      <c r="O785" s="730"/>
      <c r="P785" s="731"/>
      <c r="Q785" s="731"/>
      <c r="R785" s="734"/>
      <c r="S785" s="731"/>
      <c r="T785" s="731"/>
      <c r="U785" s="734"/>
      <c r="V785" s="731"/>
      <c r="W785" s="731"/>
      <c r="X785" s="734"/>
      <c r="Y785" s="731"/>
      <c r="Z785" s="731"/>
    </row>
    <row r="786">
      <c r="C786" s="734"/>
      <c r="D786" s="731"/>
      <c r="E786" s="731"/>
      <c r="F786" s="734"/>
      <c r="G786" s="731"/>
      <c r="H786" s="731"/>
      <c r="I786" s="734"/>
      <c r="J786" s="731"/>
      <c r="K786" s="731"/>
      <c r="L786" s="734"/>
      <c r="M786" s="731"/>
      <c r="N786" s="731"/>
      <c r="O786" s="730"/>
      <c r="P786" s="731"/>
      <c r="Q786" s="731"/>
      <c r="R786" s="734"/>
      <c r="S786" s="731"/>
      <c r="T786" s="731"/>
      <c r="U786" s="734"/>
      <c r="V786" s="731"/>
      <c r="W786" s="731"/>
      <c r="X786" s="734"/>
      <c r="Y786" s="731"/>
      <c r="Z786" s="731"/>
    </row>
    <row r="787">
      <c r="C787" s="734"/>
      <c r="D787" s="731"/>
      <c r="E787" s="731"/>
      <c r="F787" s="734"/>
      <c r="G787" s="731"/>
      <c r="H787" s="731"/>
      <c r="I787" s="734"/>
      <c r="J787" s="731"/>
      <c r="K787" s="731"/>
      <c r="L787" s="734"/>
      <c r="M787" s="731"/>
      <c r="N787" s="731"/>
      <c r="O787" s="730"/>
      <c r="P787" s="731"/>
      <c r="Q787" s="731"/>
      <c r="R787" s="734"/>
      <c r="S787" s="731"/>
      <c r="T787" s="731"/>
      <c r="U787" s="734"/>
      <c r="V787" s="731"/>
      <c r="W787" s="731"/>
      <c r="X787" s="734"/>
      <c r="Y787" s="731"/>
      <c r="Z787" s="731"/>
    </row>
    <row r="788">
      <c r="C788" s="734"/>
      <c r="D788" s="731"/>
      <c r="E788" s="731"/>
      <c r="F788" s="734"/>
      <c r="G788" s="731"/>
      <c r="H788" s="731"/>
      <c r="I788" s="734"/>
      <c r="J788" s="731"/>
      <c r="K788" s="731"/>
      <c r="L788" s="734"/>
      <c r="M788" s="731"/>
      <c r="N788" s="731"/>
      <c r="O788" s="730"/>
      <c r="P788" s="731"/>
      <c r="Q788" s="731"/>
      <c r="R788" s="734"/>
      <c r="S788" s="731"/>
      <c r="T788" s="731"/>
      <c r="U788" s="734"/>
      <c r="V788" s="731"/>
      <c r="W788" s="731"/>
      <c r="X788" s="734"/>
      <c r="Y788" s="731"/>
      <c r="Z788" s="731"/>
    </row>
    <row r="789">
      <c r="C789" s="734"/>
      <c r="D789" s="731"/>
      <c r="E789" s="731"/>
      <c r="F789" s="734"/>
      <c r="G789" s="731"/>
      <c r="H789" s="731"/>
      <c r="I789" s="734"/>
      <c r="J789" s="731"/>
      <c r="K789" s="731"/>
      <c r="L789" s="734"/>
      <c r="M789" s="731"/>
      <c r="N789" s="731"/>
      <c r="O789" s="730"/>
      <c r="P789" s="731"/>
      <c r="Q789" s="731"/>
      <c r="R789" s="734"/>
      <c r="S789" s="731"/>
      <c r="T789" s="731"/>
      <c r="U789" s="734"/>
      <c r="V789" s="731"/>
      <c r="W789" s="731"/>
      <c r="X789" s="734"/>
      <c r="Y789" s="731"/>
      <c r="Z789" s="731"/>
    </row>
    <row r="790">
      <c r="C790" s="734"/>
      <c r="D790" s="731"/>
      <c r="E790" s="731"/>
      <c r="F790" s="734"/>
      <c r="G790" s="731"/>
      <c r="H790" s="731"/>
      <c r="I790" s="734"/>
      <c r="J790" s="731"/>
      <c r="K790" s="731"/>
      <c r="L790" s="734"/>
      <c r="M790" s="731"/>
      <c r="N790" s="731"/>
      <c r="O790" s="730"/>
      <c r="P790" s="731"/>
      <c r="Q790" s="731"/>
      <c r="R790" s="734"/>
      <c r="S790" s="731"/>
      <c r="T790" s="731"/>
      <c r="U790" s="734"/>
      <c r="V790" s="731"/>
      <c r="W790" s="731"/>
      <c r="X790" s="734"/>
      <c r="Y790" s="731"/>
      <c r="Z790" s="731"/>
    </row>
    <row r="791">
      <c r="C791" s="734"/>
      <c r="D791" s="731"/>
      <c r="E791" s="731"/>
      <c r="F791" s="734"/>
      <c r="G791" s="731"/>
      <c r="H791" s="731"/>
      <c r="I791" s="734"/>
      <c r="J791" s="731"/>
      <c r="K791" s="731"/>
      <c r="L791" s="734"/>
      <c r="M791" s="731"/>
      <c r="N791" s="731"/>
      <c r="O791" s="730"/>
      <c r="P791" s="731"/>
      <c r="Q791" s="731"/>
      <c r="R791" s="734"/>
      <c r="S791" s="731"/>
      <c r="T791" s="731"/>
      <c r="U791" s="734"/>
      <c r="V791" s="731"/>
      <c r="W791" s="731"/>
      <c r="X791" s="734"/>
      <c r="Y791" s="731"/>
      <c r="Z791" s="731"/>
    </row>
    <row r="792">
      <c r="C792" s="734"/>
      <c r="D792" s="731"/>
      <c r="E792" s="731"/>
      <c r="F792" s="734"/>
      <c r="G792" s="731"/>
      <c r="H792" s="731"/>
      <c r="I792" s="734"/>
      <c r="J792" s="731"/>
      <c r="K792" s="731"/>
      <c r="L792" s="734"/>
      <c r="M792" s="731"/>
      <c r="N792" s="731"/>
      <c r="O792" s="730"/>
      <c r="P792" s="731"/>
      <c r="Q792" s="731"/>
      <c r="R792" s="734"/>
      <c r="S792" s="731"/>
      <c r="T792" s="731"/>
      <c r="U792" s="734"/>
      <c r="V792" s="731"/>
      <c r="W792" s="731"/>
      <c r="X792" s="734"/>
      <c r="Y792" s="731"/>
      <c r="Z792" s="731"/>
    </row>
    <row r="793">
      <c r="C793" s="734"/>
      <c r="D793" s="731"/>
      <c r="E793" s="731"/>
      <c r="F793" s="734"/>
      <c r="G793" s="731"/>
      <c r="H793" s="731"/>
      <c r="I793" s="734"/>
      <c r="J793" s="731"/>
      <c r="K793" s="731"/>
      <c r="L793" s="734"/>
      <c r="M793" s="731"/>
      <c r="N793" s="731"/>
      <c r="O793" s="730"/>
      <c r="P793" s="731"/>
      <c r="Q793" s="731"/>
      <c r="R793" s="734"/>
      <c r="S793" s="731"/>
      <c r="T793" s="731"/>
      <c r="U793" s="734"/>
      <c r="V793" s="731"/>
      <c r="W793" s="731"/>
      <c r="X793" s="734"/>
      <c r="Y793" s="731"/>
      <c r="Z793" s="731"/>
    </row>
    <row r="794">
      <c r="C794" s="734"/>
      <c r="D794" s="731"/>
      <c r="E794" s="731"/>
      <c r="F794" s="734"/>
      <c r="G794" s="731"/>
      <c r="H794" s="731"/>
      <c r="I794" s="734"/>
      <c r="J794" s="731"/>
      <c r="K794" s="731"/>
      <c r="L794" s="734"/>
      <c r="M794" s="731"/>
      <c r="N794" s="731"/>
      <c r="O794" s="730"/>
      <c r="P794" s="731"/>
      <c r="Q794" s="731"/>
      <c r="R794" s="734"/>
      <c r="S794" s="731"/>
      <c r="T794" s="731"/>
      <c r="U794" s="734"/>
      <c r="V794" s="731"/>
      <c r="W794" s="731"/>
      <c r="X794" s="734"/>
      <c r="Y794" s="731"/>
      <c r="Z794" s="731"/>
    </row>
    <row r="795">
      <c r="C795" s="734"/>
      <c r="D795" s="731"/>
      <c r="E795" s="731"/>
      <c r="F795" s="734"/>
      <c r="G795" s="731"/>
      <c r="H795" s="731"/>
      <c r="I795" s="734"/>
      <c r="J795" s="731"/>
      <c r="K795" s="731"/>
      <c r="L795" s="734"/>
      <c r="M795" s="731"/>
      <c r="N795" s="731"/>
      <c r="O795" s="730"/>
      <c r="P795" s="731"/>
      <c r="Q795" s="731"/>
      <c r="R795" s="734"/>
      <c r="S795" s="731"/>
      <c r="T795" s="731"/>
      <c r="U795" s="734"/>
      <c r="V795" s="731"/>
      <c r="W795" s="731"/>
      <c r="X795" s="734"/>
      <c r="Y795" s="731"/>
      <c r="Z795" s="731"/>
    </row>
    <row r="796">
      <c r="C796" s="734"/>
      <c r="D796" s="731"/>
      <c r="E796" s="731"/>
      <c r="F796" s="734"/>
      <c r="G796" s="731"/>
      <c r="H796" s="731"/>
      <c r="I796" s="734"/>
      <c r="J796" s="731"/>
      <c r="K796" s="731"/>
      <c r="L796" s="734"/>
      <c r="M796" s="731"/>
      <c r="N796" s="731"/>
      <c r="O796" s="730"/>
      <c r="P796" s="731"/>
      <c r="Q796" s="731"/>
      <c r="R796" s="734"/>
      <c r="S796" s="731"/>
      <c r="T796" s="731"/>
      <c r="U796" s="734"/>
      <c r="V796" s="731"/>
      <c r="W796" s="731"/>
      <c r="X796" s="734"/>
      <c r="Y796" s="731"/>
      <c r="Z796" s="731"/>
    </row>
    <row r="797">
      <c r="C797" s="734"/>
      <c r="D797" s="731"/>
      <c r="E797" s="731"/>
      <c r="F797" s="734"/>
      <c r="G797" s="731"/>
      <c r="H797" s="731"/>
      <c r="I797" s="734"/>
      <c r="J797" s="731"/>
      <c r="K797" s="731"/>
      <c r="L797" s="734"/>
      <c r="M797" s="731"/>
      <c r="N797" s="731"/>
      <c r="O797" s="730"/>
      <c r="P797" s="731"/>
      <c r="Q797" s="731"/>
      <c r="R797" s="734"/>
      <c r="S797" s="731"/>
      <c r="T797" s="731"/>
      <c r="U797" s="734"/>
      <c r="V797" s="731"/>
      <c r="W797" s="731"/>
      <c r="X797" s="734"/>
      <c r="Y797" s="731"/>
      <c r="Z797" s="731"/>
    </row>
    <row r="798">
      <c r="C798" s="734"/>
      <c r="D798" s="731"/>
      <c r="E798" s="731"/>
      <c r="F798" s="734"/>
      <c r="G798" s="731"/>
      <c r="H798" s="731"/>
      <c r="I798" s="734"/>
      <c r="J798" s="731"/>
      <c r="K798" s="731"/>
      <c r="L798" s="734"/>
      <c r="M798" s="731"/>
      <c r="N798" s="731"/>
      <c r="O798" s="730"/>
      <c r="P798" s="731"/>
      <c r="Q798" s="731"/>
      <c r="R798" s="734"/>
      <c r="S798" s="731"/>
      <c r="T798" s="731"/>
      <c r="U798" s="734"/>
      <c r="V798" s="731"/>
      <c r="W798" s="731"/>
      <c r="X798" s="734"/>
      <c r="Y798" s="731"/>
      <c r="Z798" s="731"/>
    </row>
    <row r="799">
      <c r="C799" s="734"/>
      <c r="D799" s="731"/>
      <c r="E799" s="731"/>
      <c r="F799" s="734"/>
      <c r="G799" s="731"/>
      <c r="H799" s="731"/>
      <c r="I799" s="734"/>
      <c r="J799" s="731"/>
      <c r="K799" s="731"/>
      <c r="L799" s="734"/>
      <c r="M799" s="731"/>
      <c r="N799" s="731"/>
      <c r="O799" s="730"/>
      <c r="P799" s="731"/>
      <c r="Q799" s="731"/>
      <c r="R799" s="734"/>
      <c r="S799" s="731"/>
      <c r="T799" s="731"/>
      <c r="U799" s="734"/>
      <c r="V799" s="731"/>
      <c r="W799" s="731"/>
      <c r="X799" s="734"/>
      <c r="Y799" s="731"/>
      <c r="Z799" s="731"/>
    </row>
    <row r="800">
      <c r="C800" s="734"/>
      <c r="D800" s="731"/>
      <c r="E800" s="731"/>
      <c r="F800" s="734"/>
      <c r="G800" s="731"/>
      <c r="H800" s="731"/>
      <c r="I800" s="734"/>
      <c r="J800" s="731"/>
      <c r="K800" s="731"/>
      <c r="L800" s="734"/>
      <c r="M800" s="731"/>
      <c r="N800" s="731"/>
      <c r="O800" s="730"/>
      <c r="P800" s="731"/>
      <c r="Q800" s="731"/>
      <c r="R800" s="734"/>
      <c r="S800" s="731"/>
      <c r="T800" s="731"/>
      <c r="U800" s="734"/>
      <c r="V800" s="731"/>
      <c r="W800" s="731"/>
      <c r="X800" s="734"/>
      <c r="Y800" s="731"/>
      <c r="Z800" s="731"/>
    </row>
    <row r="801">
      <c r="C801" s="734"/>
      <c r="D801" s="731"/>
      <c r="E801" s="731"/>
      <c r="F801" s="734"/>
      <c r="G801" s="731"/>
      <c r="H801" s="731"/>
      <c r="I801" s="734"/>
      <c r="J801" s="731"/>
      <c r="K801" s="731"/>
      <c r="L801" s="734"/>
      <c r="M801" s="731"/>
      <c r="N801" s="731"/>
      <c r="O801" s="730"/>
      <c r="P801" s="731"/>
      <c r="Q801" s="731"/>
      <c r="R801" s="734"/>
      <c r="S801" s="731"/>
      <c r="T801" s="731"/>
      <c r="U801" s="734"/>
      <c r="V801" s="731"/>
      <c r="W801" s="731"/>
      <c r="X801" s="734"/>
      <c r="Y801" s="731"/>
      <c r="Z801" s="731"/>
    </row>
    <row r="802">
      <c r="C802" s="734"/>
      <c r="D802" s="731"/>
      <c r="E802" s="731"/>
      <c r="F802" s="734"/>
      <c r="G802" s="731"/>
      <c r="H802" s="731"/>
      <c r="I802" s="734"/>
      <c r="J802" s="731"/>
      <c r="K802" s="731"/>
      <c r="L802" s="734"/>
      <c r="M802" s="731"/>
      <c r="N802" s="731"/>
      <c r="O802" s="730"/>
      <c r="P802" s="731"/>
      <c r="Q802" s="731"/>
      <c r="R802" s="734"/>
      <c r="S802" s="731"/>
      <c r="T802" s="731"/>
      <c r="U802" s="734"/>
      <c r="V802" s="731"/>
      <c r="W802" s="731"/>
      <c r="X802" s="734"/>
      <c r="Y802" s="731"/>
      <c r="Z802" s="731"/>
    </row>
    <row r="803">
      <c r="C803" s="734"/>
      <c r="D803" s="731"/>
      <c r="E803" s="731"/>
      <c r="F803" s="734"/>
      <c r="G803" s="731"/>
      <c r="H803" s="731"/>
      <c r="I803" s="734"/>
      <c r="J803" s="731"/>
      <c r="K803" s="731"/>
      <c r="L803" s="734"/>
      <c r="M803" s="731"/>
      <c r="N803" s="731"/>
      <c r="O803" s="730"/>
      <c r="P803" s="731"/>
      <c r="Q803" s="731"/>
      <c r="R803" s="734"/>
      <c r="S803" s="731"/>
      <c r="T803" s="731"/>
      <c r="U803" s="734"/>
      <c r="V803" s="731"/>
      <c r="W803" s="731"/>
      <c r="X803" s="734"/>
      <c r="Y803" s="731"/>
      <c r="Z803" s="731"/>
    </row>
    <row r="804">
      <c r="C804" s="734"/>
      <c r="D804" s="731"/>
      <c r="E804" s="731"/>
      <c r="F804" s="734"/>
      <c r="G804" s="731"/>
      <c r="H804" s="731"/>
      <c r="I804" s="734"/>
      <c r="J804" s="731"/>
      <c r="K804" s="731"/>
      <c r="L804" s="734"/>
      <c r="M804" s="731"/>
      <c r="N804" s="731"/>
      <c r="O804" s="730"/>
      <c r="P804" s="731"/>
      <c r="Q804" s="731"/>
      <c r="R804" s="734"/>
      <c r="S804" s="731"/>
      <c r="T804" s="731"/>
      <c r="U804" s="734"/>
      <c r="V804" s="731"/>
      <c r="W804" s="731"/>
      <c r="X804" s="734"/>
      <c r="Y804" s="731"/>
      <c r="Z804" s="731"/>
    </row>
    <row r="805">
      <c r="C805" s="734"/>
      <c r="D805" s="731"/>
      <c r="E805" s="731"/>
      <c r="F805" s="734"/>
      <c r="G805" s="731"/>
      <c r="H805" s="731"/>
      <c r="I805" s="734"/>
      <c r="J805" s="731"/>
      <c r="K805" s="731"/>
      <c r="L805" s="734"/>
      <c r="M805" s="731"/>
      <c r="N805" s="731"/>
      <c r="O805" s="730"/>
      <c r="P805" s="731"/>
      <c r="Q805" s="731"/>
      <c r="R805" s="734"/>
      <c r="S805" s="731"/>
      <c r="T805" s="731"/>
      <c r="U805" s="734"/>
      <c r="V805" s="731"/>
      <c r="W805" s="731"/>
      <c r="X805" s="734"/>
      <c r="Y805" s="731"/>
      <c r="Z805" s="731"/>
    </row>
    <row r="806">
      <c r="C806" s="734"/>
      <c r="D806" s="731"/>
      <c r="E806" s="731"/>
      <c r="F806" s="734"/>
      <c r="G806" s="731"/>
      <c r="H806" s="731"/>
      <c r="I806" s="734"/>
      <c r="J806" s="731"/>
      <c r="K806" s="731"/>
      <c r="L806" s="734"/>
      <c r="M806" s="731"/>
      <c r="N806" s="731"/>
      <c r="O806" s="730"/>
      <c r="P806" s="731"/>
      <c r="Q806" s="731"/>
      <c r="R806" s="734"/>
      <c r="S806" s="731"/>
      <c r="T806" s="731"/>
      <c r="U806" s="734"/>
      <c r="V806" s="731"/>
      <c r="W806" s="731"/>
      <c r="X806" s="734"/>
      <c r="Y806" s="731"/>
      <c r="Z806" s="731"/>
    </row>
    <row r="807">
      <c r="C807" s="734"/>
      <c r="D807" s="731"/>
      <c r="E807" s="731"/>
      <c r="F807" s="734"/>
      <c r="G807" s="731"/>
      <c r="H807" s="731"/>
      <c r="I807" s="734"/>
      <c r="J807" s="731"/>
      <c r="K807" s="731"/>
      <c r="L807" s="734"/>
      <c r="M807" s="731"/>
      <c r="N807" s="731"/>
      <c r="O807" s="730"/>
      <c r="P807" s="731"/>
      <c r="Q807" s="731"/>
      <c r="R807" s="734"/>
      <c r="S807" s="731"/>
      <c r="T807" s="731"/>
      <c r="U807" s="734"/>
      <c r="V807" s="731"/>
      <c r="W807" s="731"/>
      <c r="X807" s="734"/>
      <c r="Y807" s="731"/>
      <c r="Z807" s="731"/>
    </row>
    <row r="808">
      <c r="C808" s="734"/>
      <c r="D808" s="731"/>
      <c r="E808" s="731"/>
      <c r="F808" s="734"/>
      <c r="G808" s="731"/>
      <c r="H808" s="731"/>
      <c r="I808" s="734"/>
      <c r="J808" s="731"/>
      <c r="K808" s="731"/>
      <c r="L808" s="734"/>
      <c r="M808" s="731"/>
      <c r="N808" s="731"/>
      <c r="O808" s="730"/>
      <c r="P808" s="731"/>
      <c r="Q808" s="731"/>
      <c r="R808" s="734"/>
      <c r="S808" s="731"/>
      <c r="T808" s="731"/>
      <c r="U808" s="734"/>
      <c r="V808" s="731"/>
      <c r="W808" s="731"/>
      <c r="X808" s="734"/>
      <c r="Y808" s="731"/>
      <c r="Z808" s="731"/>
    </row>
    <row r="809">
      <c r="C809" s="734"/>
      <c r="D809" s="731"/>
      <c r="E809" s="731"/>
      <c r="F809" s="734"/>
      <c r="G809" s="731"/>
      <c r="H809" s="731"/>
      <c r="I809" s="734"/>
      <c r="J809" s="731"/>
      <c r="K809" s="731"/>
      <c r="L809" s="734"/>
      <c r="M809" s="731"/>
      <c r="N809" s="731"/>
      <c r="O809" s="730"/>
      <c r="P809" s="731"/>
      <c r="Q809" s="731"/>
      <c r="R809" s="734"/>
      <c r="S809" s="731"/>
      <c r="T809" s="731"/>
      <c r="U809" s="734"/>
      <c r="V809" s="731"/>
      <c r="W809" s="731"/>
      <c r="X809" s="734"/>
      <c r="Y809" s="731"/>
      <c r="Z809" s="731"/>
    </row>
    <row r="810">
      <c r="C810" s="734"/>
      <c r="D810" s="731"/>
      <c r="E810" s="731"/>
      <c r="F810" s="734"/>
      <c r="G810" s="731"/>
      <c r="H810" s="731"/>
      <c r="I810" s="734"/>
      <c r="J810" s="731"/>
      <c r="K810" s="731"/>
      <c r="L810" s="734"/>
      <c r="M810" s="731"/>
      <c r="N810" s="731"/>
      <c r="O810" s="730"/>
      <c r="P810" s="731"/>
      <c r="Q810" s="731"/>
      <c r="R810" s="734"/>
      <c r="S810" s="731"/>
      <c r="T810" s="731"/>
      <c r="U810" s="734"/>
      <c r="V810" s="731"/>
      <c r="W810" s="731"/>
      <c r="X810" s="734"/>
      <c r="Y810" s="731"/>
      <c r="Z810" s="731"/>
    </row>
    <row r="811">
      <c r="C811" s="734"/>
      <c r="D811" s="731"/>
      <c r="E811" s="731"/>
      <c r="F811" s="734"/>
      <c r="G811" s="731"/>
      <c r="H811" s="731"/>
      <c r="I811" s="734"/>
      <c r="J811" s="731"/>
      <c r="K811" s="731"/>
      <c r="L811" s="734"/>
      <c r="M811" s="731"/>
      <c r="N811" s="731"/>
      <c r="O811" s="730"/>
      <c r="P811" s="731"/>
      <c r="Q811" s="731"/>
      <c r="R811" s="734"/>
      <c r="S811" s="731"/>
      <c r="T811" s="731"/>
      <c r="U811" s="734"/>
      <c r="V811" s="731"/>
      <c r="W811" s="731"/>
      <c r="X811" s="734"/>
      <c r="Y811" s="731"/>
      <c r="Z811" s="731"/>
    </row>
    <row r="812">
      <c r="C812" s="734"/>
      <c r="D812" s="731"/>
      <c r="E812" s="731"/>
      <c r="F812" s="734"/>
      <c r="G812" s="731"/>
      <c r="H812" s="731"/>
      <c r="I812" s="734"/>
      <c r="J812" s="731"/>
      <c r="K812" s="731"/>
      <c r="L812" s="734"/>
      <c r="M812" s="731"/>
      <c r="N812" s="731"/>
      <c r="O812" s="730"/>
      <c r="P812" s="731"/>
      <c r="Q812" s="731"/>
      <c r="R812" s="734"/>
      <c r="S812" s="731"/>
      <c r="T812" s="731"/>
      <c r="U812" s="734"/>
      <c r="V812" s="731"/>
      <c r="W812" s="731"/>
      <c r="X812" s="734"/>
      <c r="Y812" s="731"/>
      <c r="Z812" s="731"/>
    </row>
    <row r="813">
      <c r="C813" s="734"/>
      <c r="D813" s="731"/>
      <c r="E813" s="731"/>
      <c r="F813" s="734"/>
      <c r="G813" s="731"/>
      <c r="H813" s="731"/>
      <c r="I813" s="734"/>
      <c r="J813" s="731"/>
      <c r="K813" s="731"/>
      <c r="L813" s="734"/>
      <c r="M813" s="731"/>
      <c r="N813" s="731"/>
      <c r="O813" s="730"/>
      <c r="P813" s="731"/>
      <c r="Q813" s="731"/>
      <c r="R813" s="734"/>
      <c r="S813" s="731"/>
      <c r="T813" s="731"/>
      <c r="U813" s="734"/>
      <c r="V813" s="731"/>
      <c r="W813" s="731"/>
      <c r="X813" s="734"/>
      <c r="Y813" s="731"/>
      <c r="Z813" s="731"/>
    </row>
    <row r="814">
      <c r="C814" s="734"/>
      <c r="D814" s="731"/>
      <c r="E814" s="731"/>
      <c r="F814" s="734"/>
      <c r="G814" s="731"/>
      <c r="H814" s="731"/>
      <c r="I814" s="734"/>
      <c r="J814" s="731"/>
      <c r="K814" s="731"/>
      <c r="L814" s="734"/>
      <c r="M814" s="731"/>
      <c r="N814" s="731"/>
      <c r="O814" s="730"/>
      <c r="P814" s="731"/>
      <c r="Q814" s="731"/>
      <c r="R814" s="734"/>
      <c r="S814" s="731"/>
      <c r="T814" s="731"/>
      <c r="U814" s="734"/>
      <c r="V814" s="731"/>
      <c r="W814" s="731"/>
      <c r="X814" s="734"/>
      <c r="Y814" s="731"/>
      <c r="Z814" s="731"/>
    </row>
    <row r="815">
      <c r="C815" s="734"/>
      <c r="D815" s="731"/>
      <c r="E815" s="731"/>
      <c r="F815" s="734"/>
      <c r="G815" s="731"/>
      <c r="H815" s="731"/>
      <c r="I815" s="734"/>
      <c r="J815" s="731"/>
      <c r="K815" s="731"/>
      <c r="L815" s="734"/>
      <c r="M815" s="731"/>
      <c r="N815" s="731"/>
      <c r="O815" s="730"/>
      <c r="P815" s="731"/>
      <c r="Q815" s="731"/>
      <c r="R815" s="734"/>
      <c r="S815" s="731"/>
      <c r="T815" s="731"/>
      <c r="U815" s="734"/>
      <c r="V815" s="731"/>
      <c r="W815" s="731"/>
      <c r="X815" s="734"/>
      <c r="Y815" s="731"/>
      <c r="Z815" s="731"/>
    </row>
    <row r="816">
      <c r="C816" s="734"/>
      <c r="D816" s="731"/>
      <c r="E816" s="731"/>
      <c r="F816" s="734"/>
      <c r="G816" s="731"/>
      <c r="H816" s="731"/>
      <c r="I816" s="734"/>
      <c r="J816" s="731"/>
      <c r="K816" s="731"/>
      <c r="L816" s="734"/>
      <c r="M816" s="731"/>
      <c r="N816" s="731"/>
      <c r="O816" s="730"/>
      <c r="P816" s="731"/>
      <c r="Q816" s="731"/>
      <c r="R816" s="734"/>
      <c r="S816" s="731"/>
      <c r="T816" s="731"/>
      <c r="U816" s="734"/>
      <c r="V816" s="731"/>
      <c r="W816" s="731"/>
      <c r="X816" s="734"/>
      <c r="Y816" s="731"/>
      <c r="Z816" s="731"/>
    </row>
    <row r="817">
      <c r="C817" s="734"/>
      <c r="D817" s="731"/>
      <c r="E817" s="731"/>
      <c r="F817" s="734"/>
      <c r="G817" s="731"/>
      <c r="H817" s="731"/>
      <c r="I817" s="734"/>
      <c r="J817" s="731"/>
      <c r="K817" s="731"/>
      <c r="L817" s="734"/>
      <c r="M817" s="731"/>
      <c r="N817" s="731"/>
      <c r="O817" s="730"/>
      <c r="P817" s="731"/>
      <c r="Q817" s="731"/>
      <c r="R817" s="734"/>
      <c r="S817" s="731"/>
      <c r="T817" s="731"/>
      <c r="U817" s="734"/>
      <c r="V817" s="731"/>
      <c r="W817" s="731"/>
      <c r="X817" s="734"/>
      <c r="Y817" s="731"/>
      <c r="Z817" s="731"/>
    </row>
    <row r="818">
      <c r="C818" s="734"/>
      <c r="D818" s="731"/>
      <c r="E818" s="731"/>
      <c r="F818" s="734"/>
      <c r="G818" s="731"/>
      <c r="H818" s="731"/>
      <c r="I818" s="734"/>
      <c r="J818" s="731"/>
      <c r="K818" s="731"/>
      <c r="L818" s="734"/>
      <c r="M818" s="731"/>
      <c r="N818" s="731"/>
      <c r="O818" s="730"/>
      <c r="P818" s="731"/>
      <c r="Q818" s="731"/>
      <c r="R818" s="734"/>
      <c r="S818" s="731"/>
      <c r="T818" s="731"/>
      <c r="U818" s="734"/>
      <c r="V818" s="731"/>
      <c r="W818" s="731"/>
      <c r="X818" s="734"/>
      <c r="Y818" s="731"/>
      <c r="Z818" s="731"/>
    </row>
    <row r="819">
      <c r="C819" s="734"/>
      <c r="D819" s="731"/>
      <c r="E819" s="731"/>
      <c r="F819" s="734"/>
      <c r="G819" s="731"/>
      <c r="H819" s="731"/>
      <c r="I819" s="734"/>
      <c r="J819" s="731"/>
      <c r="K819" s="731"/>
      <c r="L819" s="734"/>
      <c r="M819" s="731"/>
      <c r="N819" s="731"/>
      <c r="O819" s="730"/>
      <c r="P819" s="731"/>
      <c r="Q819" s="731"/>
      <c r="R819" s="734"/>
      <c r="S819" s="731"/>
      <c r="T819" s="731"/>
      <c r="U819" s="734"/>
      <c r="V819" s="731"/>
      <c r="W819" s="731"/>
      <c r="X819" s="734"/>
      <c r="Y819" s="731"/>
      <c r="Z819" s="731"/>
    </row>
    <row r="820">
      <c r="C820" s="734"/>
      <c r="D820" s="731"/>
      <c r="E820" s="731"/>
      <c r="F820" s="734"/>
      <c r="G820" s="731"/>
      <c r="H820" s="731"/>
      <c r="I820" s="734"/>
      <c r="J820" s="731"/>
      <c r="K820" s="731"/>
      <c r="L820" s="734"/>
      <c r="M820" s="731"/>
      <c r="N820" s="731"/>
      <c r="O820" s="730"/>
      <c r="P820" s="731"/>
      <c r="Q820" s="731"/>
      <c r="R820" s="734"/>
      <c r="S820" s="731"/>
      <c r="T820" s="731"/>
      <c r="U820" s="734"/>
      <c r="V820" s="731"/>
      <c r="W820" s="731"/>
      <c r="X820" s="734"/>
      <c r="Y820" s="731"/>
      <c r="Z820" s="731"/>
    </row>
    <row r="821">
      <c r="C821" s="734"/>
      <c r="D821" s="731"/>
      <c r="E821" s="731"/>
      <c r="F821" s="734"/>
      <c r="G821" s="731"/>
      <c r="H821" s="731"/>
      <c r="I821" s="734"/>
      <c r="J821" s="731"/>
      <c r="K821" s="731"/>
      <c r="L821" s="734"/>
      <c r="M821" s="731"/>
      <c r="N821" s="731"/>
      <c r="O821" s="730"/>
      <c r="P821" s="731"/>
      <c r="Q821" s="731"/>
      <c r="R821" s="734"/>
      <c r="S821" s="731"/>
      <c r="T821" s="731"/>
      <c r="U821" s="734"/>
      <c r="V821" s="731"/>
      <c r="W821" s="731"/>
      <c r="X821" s="734"/>
      <c r="Y821" s="731"/>
      <c r="Z821" s="731"/>
    </row>
    <row r="822">
      <c r="C822" s="734"/>
      <c r="D822" s="731"/>
      <c r="E822" s="731"/>
      <c r="F822" s="734"/>
      <c r="G822" s="731"/>
      <c r="H822" s="731"/>
      <c r="I822" s="734"/>
      <c r="J822" s="731"/>
      <c r="K822" s="731"/>
      <c r="L822" s="734"/>
      <c r="M822" s="731"/>
      <c r="N822" s="731"/>
      <c r="O822" s="730"/>
      <c r="P822" s="731"/>
      <c r="Q822" s="731"/>
      <c r="R822" s="734"/>
      <c r="S822" s="731"/>
      <c r="T822" s="731"/>
      <c r="U822" s="734"/>
      <c r="V822" s="731"/>
      <c r="W822" s="731"/>
      <c r="X822" s="734"/>
      <c r="Y822" s="731"/>
      <c r="Z822" s="731"/>
    </row>
    <row r="823">
      <c r="C823" s="734"/>
      <c r="D823" s="731"/>
      <c r="E823" s="731"/>
      <c r="F823" s="734"/>
      <c r="G823" s="731"/>
      <c r="H823" s="731"/>
      <c r="I823" s="734"/>
      <c r="J823" s="731"/>
      <c r="K823" s="731"/>
      <c r="L823" s="734"/>
      <c r="M823" s="731"/>
      <c r="N823" s="731"/>
      <c r="O823" s="730"/>
      <c r="P823" s="731"/>
      <c r="Q823" s="731"/>
      <c r="R823" s="734"/>
      <c r="S823" s="731"/>
      <c r="T823" s="731"/>
      <c r="U823" s="734"/>
      <c r="V823" s="731"/>
      <c r="W823" s="731"/>
      <c r="X823" s="734"/>
      <c r="Y823" s="731"/>
      <c r="Z823" s="731"/>
    </row>
    <row r="824">
      <c r="C824" s="734"/>
      <c r="D824" s="731"/>
      <c r="E824" s="731"/>
      <c r="F824" s="734"/>
      <c r="G824" s="731"/>
      <c r="H824" s="731"/>
      <c r="I824" s="734"/>
      <c r="J824" s="731"/>
      <c r="K824" s="731"/>
      <c r="L824" s="734"/>
      <c r="M824" s="731"/>
      <c r="N824" s="731"/>
      <c r="O824" s="730"/>
      <c r="P824" s="731"/>
      <c r="Q824" s="731"/>
      <c r="R824" s="734"/>
      <c r="S824" s="731"/>
      <c r="T824" s="731"/>
      <c r="U824" s="734"/>
      <c r="V824" s="731"/>
      <c r="W824" s="731"/>
      <c r="X824" s="734"/>
      <c r="Y824" s="731"/>
      <c r="Z824" s="731"/>
    </row>
    <row r="825">
      <c r="C825" s="734"/>
      <c r="D825" s="731"/>
      <c r="E825" s="731"/>
      <c r="F825" s="734"/>
      <c r="G825" s="731"/>
      <c r="H825" s="731"/>
      <c r="I825" s="734"/>
      <c r="J825" s="731"/>
      <c r="K825" s="731"/>
      <c r="L825" s="734"/>
      <c r="M825" s="731"/>
      <c r="N825" s="731"/>
      <c r="O825" s="730"/>
      <c r="P825" s="731"/>
      <c r="Q825" s="731"/>
      <c r="R825" s="734"/>
      <c r="S825" s="731"/>
      <c r="T825" s="731"/>
      <c r="U825" s="734"/>
      <c r="V825" s="731"/>
      <c r="W825" s="731"/>
      <c r="X825" s="734"/>
      <c r="Y825" s="731"/>
      <c r="Z825" s="731"/>
    </row>
    <row r="826">
      <c r="C826" s="734"/>
      <c r="D826" s="731"/>
      <c r="E826" s="731"/>
      <c r="F826" s="734"/>
      <c r="G826" s="731"/>
      <c r="H826" s="731"/>
      <c r="I826" s="734"/>
      <c r="J826" s="731"/>
      <c r="K826" s="731"/>
      <c r="L826" s="734"/>
      <c r="M826" s="731"/>
      <c r="N826" s="731"/>
      <c r="O826" s="730"/>
      <c r="P826" s="731"/>
      <c r="Q826" s="731"/>
      <c r="R826" s="734"/>
      <c r="S826" s="731"/>
      <c r="T826" s="731"/>
      <c r="U826" s="734"/>
      <c r="V826" s="731"/>
      <c r="W826" s="731"/>
      <c r="X826" s="734"/>
      <c r="Y826" s="731"/>
      <c r="Z826" s="731"/>
    </row>
    <row r="827">
      <c r="C827" s="734"/>
      <c r="D827" s="731"/>
      <c r="E827" s="731"/>
      <c r="F827" s="734"/>
      <c r="G827" s="731"/>
      <c r="H827" s="731"/>
      <c r="I827" s="734"/>
      <c r="J827" s="731"/>
      <c r="K827" s="731"/>
      <c r="L827" s="734"/>
      <c r="M827" s="731"/>
      <c r="N827" s="731"/>
      <c r="O827" s="730"/>
      <c r="P827" s="731"/>
      <c r="Q827" s="731"/>
      <c r="R827" s="734"/>
      <c r="S827" s="731"/>
      <c r="T827" s="731"/>
      <c r="U827" s="734"/>
      <c r="V827" s="731"/>
      <c r="W827" s="731"/>
      <c r="X827" s="734"/>
      <c r="Y827" s="731"/>
      <c r="Z827" s="731"/>
    </row>
    <row r="828">
      <c r="C828" s="734"/>
      <c r="D828" s="731"/>
      <c r="E828" s="731"/>
      <c r="F828" s="734"/>
      <c r="G828" s="731"/>
      <c r="H828" s="731"/>
      <c r="I828" s="734"/>
      <c r="J828" s="731"/>
      <c r="K828" s="731"/>
      <c r="L828" s="734"/>
      <c r="M828" s="731"/>
      <c r="N828" s="731"/>
      <c r="O828" s="730"/>
      <c r="P828" s="731"/>
      <c r="Q828" s="731"/>
      <c r="R828" s="734"/>
      <c r="S828" s="731"/>
      <c r="T828" s="731"/>
      <c r="U828" s="734"/>
      <c r="V828" s="731"/>
      <c r="W828" s="731"/>
      <c r="X828" s="734"/>
      <c r="Y828" s="731"/>
      <c r="Z828" s="731"/>
    </row>
    <row r="829">
      <c r="C829" s="734"/>
      <c r="D829" s="731"/>
      <c r="E829" s="731"/>
      <c r="F829" s="734"/>
      <c r="G829" s="731"/>
      <c r="H829" s="731"/>
      <c r="I829" s="734"/>
      <c r="J829" s="731"/>
      <c r="K829" s="731"/>
      <c r="L829" s="734"/>
      <c r="M829" s="731"/>
      <c r="N829" s="731"/>
      <c r="O829" s="730"/>
      <c r="P829" s="731"/>
      <c r="Q829" s="731"/>
      <c r="R829" s="734"/>
      <c r="S829" s="731"/>
      <c r="T829" s="731"/>
      <c r="U829" s="734"/>
      <c r="V829" s="731"/>
      <c r="W829" s="731"/>
      <c r="X829" s="734"/>
      <c r="Y829" s="731"/>
      <c r="Z829" s="731"/>
    </row>
    <row r="830">
      <c r="C830" s="734"/>
      <c r="D830" s="731"/>
      <c r="E830" s="731"/>
      <c r="F830" s="734"/>
      <c r="G830" s="731"/>
      <c r="H830" s="731"/>
      <c r="I830" s="734"/>
      <c r="J830" s="731"/>
      <c r="K830" s="731"/>
      <c r="L830" s="734"/>
      <c r="M830" s="731"/>
      <c r="N830" s="731"/>
      <c r="O830" s="730"/>
      <c r="P830" s="731"/>
      <c r="Q830" s="731"/>
      <c r="R830" s="734"/>
      <c r="S830" s="731"/>
      <c r="T830" s="731"/>
      <c r="U830" s="734"/>
      <c r="V830" s="731"/>
      <c r="W830" s="731"/>
      <c r="X830" s="734"/>
      <c r="Y830" s="731"/>
      <c r="Z830" s="731"/>
    </row>
    <row r="831">
      <c r="C831" s="734"/>
      <c r="D831" s="731"/>
      <c r="E831" s="731"/>
      <c r="F831" s="734"/>
      <c r="G831" s="731"/>
      <c r="H831" s="731"/>
      <c r="I831" s="734"/>
      <c r="J831" s="731"/>
      <c r="K831" s="731"/>
      <c r="L831" s="734"/>
      <c r="M831" s="731"/>
      <c r="N831" s="731"/>
      <c r="O831" s="730"/>
      <c r="P831" s="731"/>
      <c r="Q831" s="731"/>
      <c r="R831" s="734"/>
      <c r="S831" s="731"/>
      <c r="T831" s="731"/>
      <c r="U831" s="734"/>
      <c r="V831" s="731"/>
      <c r="W831" s="731"/>
      <c r="X831" s="734"/>
      <c r="Y831" s="731"/>
      <c r="Z831" s="731"/>
    </row>
    <row r="832">
      <c r="C832" s="734"/>
      <c r="D832" s="731"/>
      <c r="E832" s="731"/>
      <c r="F832" s="734"/>
      <c r="G832" s="731"/>
      <c r="H832" s="731"/>
      <c r="I832" s="734"/>
      <c r="J832" s="731"/>
      <c r="K832" s="731"/>
      <c r="L832" s="734"/>
      <c r="M832" s="731"/>
      <c r="N832" s="731"/>
      <c r="O832" s="730"/>
      <c r="P832" s="731"/>
      <c r="Q832" s="731"/>
      <c r="R832" s="734"/>
      <c r="S832" s="731"/>
      <c r="T832" s="731"/>
      <c r="U832" s="734"/>
      <c r="V832" s="731"/>
      <c r="W832" s="731"/>
      <c r="X832" s="734"/>
      <c r="Y832" s="731"/>
      <c r="Z832" s="731"/>
    </row>
    <row r="833">
      <c r="C833" s="734"/>
      <c r="D833" s="731"/>
      <c r="E833" s="731"/>
      <c r="F833" s="734"/>
      <c r="G833" s="731"/>
      <c r="H833" s="731"/>
      <c r="I833" s="734"/>
      <c r="J833" s="731"/>
      <c r="K833" s="731"/>
      <c r="L833" s="734"/>
      <c r="M833" s="731"/>
      <c r="N833" s="731"/>
      <c r="O833" s="730"/>
      <c r="P833" s="731"/>
      <c r="Q833" s="731"/>
      <c r="R833" s="734"/>
      <c r="S833" s="731"/>
      <c r="T833" s="731"/>
      <c r="U833" s="734"/>
      <c r="V833" s="731"/>
      <c r="W833" s="731"/>
      <c r="X833" s="734"/>
      <c r="Y833" s="731"/>
      <c r="Z833" s="731"/>
    </row>
    <row r="834">
      <c r="C834" s="734"/>
      <c r="D834" s="731"/>
      <c r="E834" s="731"/>
      <c r="F834" s="734"/>
      <c r="G834" s="731"/>
      <c r="H834" s="731"/>
      <c r="I834" s="734"/>
      <c r="J834" s="731"/>
      <c r="K834" s="731"/>
      <c r="L834" s="734"/>
      <c r="M834" s="731"/>
      <c r="N834" s="731"/>
      <c r="O834" s="730"/>
      <c r="P834" s="731"/>
      <c r="Q834" s="731"/>
      <c r="R834" s="734"/>
      <c r="S834" s="731"/>
      <c r="T834" s="731"/>
      <c r="U834" s="734"/>
      <c r="V834" s="731"/>
      <c r="W834" s="731"/>
      <c r="X834" s="734"/>
      <c r="Y834" s="731"/>
      <c r="Z834" s="731"/>
    </row>
    <row r="835">
      <c r="C835" s="734"/>
      <c r="D835" s="731"/>
      <c r="E835" s="731"/>
      <c r="F835" s="734"/>
      <c r="G835" s="731"/>
      <c r="H835" s="731"/>
      <c r="I835" s="734"/>
      <c r="J835" s="731"/>
      <c r="K835" s="731"/>
      <c r="L835" s="734"/>
      <c r="M835" s="731"/>
      <c r="N835" s="731"/>
      <c r="O835" s="730"/>
      <c r="P835" s="731"/>
      <c r="Q835" s="731"/>
      <c r="R835" s="734"/>
      <c r="S835" s="731"/>
      <c r="T835" s="731"/>
      <c r="U835" s="734"/>
      <c r="V835" s="731"/>
      <c r="W835" s="731"/>
      <c r="X835" s="734"/>
      <c r="Y835" s="731"/>
      <c r="Z835" s="731"/>
    </row>
    <row r="836">
      <c r="C836" s="734"/>
      <c r="D836" s="731"/>
      <c r="E836" s="731"/>
      <c r="F836" s="734"/>
      <c r="G836" s="731"/>
      <c r="H836" s="731"/>
      <c r="I836" s="734"/>
      <c r="J836" s="731"/>
      <c r="K836" s="731"/>
      <c r="L836" s="734"/>
      <c r="M836" s="731"/>
      <c r="N836" s="731"/>
      <c r="O836" s="730"/>
      <c r="P836" s="731"/>
      <c r="Q836" s="731"/>
      <c r="R836" s="734"/>
      <c r="S836" s="731"/>
      <c r="T836" s="731"/>
      <c r="U836" s="734"/>
      <c r="V836" s="731"/>
      <c r="W836" s="731"/>
      <c r="X836" s="734"/>
      <c r="Y836" s="731"/>
      <c r="Z836" s="731"/>
    </row>
    <row r="837">
      <c r="C837" s="734"/>
      <c r="D837" s="731"/>
      <c r="E837" s="731"/>
      <c r="F837" s="734"/>
      <c r="G837" s="731"/>
      <c r="H837" s="731"/>
      <c r="I837" s="734"/>
      <c r="J837" s="731"/>
      <c r="K837" s="731"/>
      <c r="L837" s="734"/>
      <c r="M837" s="731"/>
      <c r="N837" s="731"/>
      <c r="O837" s="730"/>
      <c r="P837" s="731"/>
      <c r="Q837" s="731"/>
      <c r="R837" s="734"/>
      <c r="S837" s="731"/>
      <c r="T837" s="731"/>
      <c r="U837" s="734"/>
      <c r="V837" s="731"/>
      <c r="W837" s="731"/>
      <c r="X837" s="734"/>
      <c r="Y837" s="731"/>
      <c r="Z837" s="731"/>
    </row>
    <row r="838">
      <c r="C838" s="734"/>
      <c r="D838" s="731"/>
      <c r="E838" s="731"/>
      <c r="F838" s="734"/>
      <c r="G838" s="731"/>
      <c r="H838" s="731"/>
      <c r="I838" s="734"/>
      <c r="J838" s="731"/>
      <c r="K838" s="731"/>
      <c r="L838" s="734"/>
      <c r="M838" s="731"/>
      <c r="N838" s="731"/>
      <c r="O838" s="730"/>
      <c r="P838" s="731"/>
      <c r="Q838" s="731"/>
      <c r="R838" s="734"/>
      <c r="S838" s="731"/>
      <c r="T838" s="731"/>
      <c r="U838" s="734"/>
      <c r="V838" s="731"/>
      <c r="W838" s="731"/>
      <c r="X838" s="734"/>
      <c r="Y838" s="731"/>
      <c r="Z838" s="731"/>
    </row>
    <row r="839">
      <c r="C839" s="734"/>
      <c r="D839" s="731"/>
      <c r="E839" s="731"/>
      <c r="F839" s="734"/>
      <c r="G839" s="731"/>
      <c r="H839" s="731"/>
      <c r="I839" s="734"/>
      <c r="J839" s="731"/>
      <c r="K839" s="731"/>
      <c r="L839" s="734"/>
      <c r="M839" s="731"/>
      <c r="N839" s="731"/>
      <c r="O839" s="730"/>
      <c r="P839" s="731"/>
      <c r="Q839" s="731"/>
      <c r="R839" s="734"/>
      <c r="S839" s="731"/>
      <c r="T839" s="731"/>
      <c r="U839" s="734"/>
      <c r="V839" s="731"/>
      <c r="W839" s="731"/>
      <c r="X839" s="734"/>
      <c r="Y839" s="731"/>
      <c r="Z839" s="731"/>
    </row>
    <row r="840">
      <c r="C840" s="734"/>
      <c r="D840" s="731"/>
      <c r="E840" s="731"/>
      <c r="F840" s="734"/>
      <c r="G840" s="731"/>
      <c r="H840" s="731"/>
      <c r="I840" s="734"/>
      <c r="J840" s="731"/>
      <c r="K840" s="731"/>
      <c r="L840" s="734"/>
      <c r="M840" s="731"/>
      <c r="N840" s="731"/>
      <c r="O840" s="730"/>
      <c r="P840" s="731"/>
      <c r="Q840" s="731"/>
      <c r="R840" s="734"/>
      <c r="S840" s="731"/>
      <c r="T840" s="731"/>
      <c r="U840" s="734"/>
      <c r="V840" s="731"/>
      <c r="W840" s="731"/>
      <c r="X840" s="734"/>
      <c r="Y840" s="731"/>
      <c r="Z840" s="731"/>
    </row>
    <row r="841">
      <c r="C841" s="734"/>
      <c r="D841" s="731"/>
      <c r="E841" s="731"/>
      <c r="F841" s="734"/>
      <c r="G841" s="731"/>
      <c r="H841" s="731"/>
      <c r="I841" s="734"/>
      <c r="J841" s="731"/>
      <c r="K841" s="731"/>
      <c r="L841" s="734"/>
      <c r="M841" s="731"/>
      <c r="N841" s="731"/>
      <c r="O841" s="730"/>
      <c r="P841" s="731"/>
      <c r="Q841" s="731"/>
      <c r="R841" s="734"/>
      <c r="S841" s="731"/>
      <c r="T841" s="731"/>
      <c r="U841" s="734"/>
      <c r="V841" s="731"/>
      <c r="W841" s="731"/>
      <c r="X841" s="734"/>
      <c r="Y841" s="731"/>
      <c r="Z841" s="731"/>
    </row>
    <row r="842">
      <c r="C842" s="734"/>
      <c r="D842" s="731"/>
      <c r="E842" s="731"/>
      <c r="F842" s="734"/>
      <c r="G842" s="731"/>
      <c r="H842" s="731"/>
      <c r="I842" s="734"/>
      <c r="J842" s="731"/>
      <c r="K842" s="731"/>
      <c r="L842" s="734"/>
      <c r="M842" s="731"/>
      <c r="N842" s="731"/>
      <c r="O842" s="730"/>
      <c r="P842" s="731"/>
      <c r="Q842" s="731"/>
      <c r="R842" s="734"/>
      <c r="S842" s="731"/>
      <c r="T842" s="731"/>
      <c r="U842" s="734"/>
      <c r="V842" s="731"/>
      <c r="W842" s="731"/>
      <c r="X842" s="734"/>
      <c r="Y842" s="731"/>
      <c r="Z842" s="731"/>
    </row>
    <row r="843">
      <c r="C843" s="734"/>
      <c r="D843" s="731"/>
      <c r="E843" s="731"/>
      <c r="F843" s="734"/>
      <c r="G843" s="731"/>
      <c r="H843" s="731"/>
      <c r="I843" s="734"/>
      <c r="J843" s="731"/>
      <c r="K843" s="731"/>
      <c r="L843" s="734"/>
      <c r="M843" s="731"/>
      <c r="N843" s="731"/>
      <c r="O843" s="730"/>
      <c r="P843" s="731"/>
      <c r="Q843" s="731"/>
      <c r="R843" s="734"/>
      <c r="S843" s="731"/>
      <c r="T843" s="731"/>
      <c r="U843" s="734"/>
      <c r="V843" s="731"/>
      <c r="W843" s="731"/>
      <c r="X843" s="734"/>
      <c r="Y843" s="731"/>
      <c r="Z843" s="731"/>
    </row>
    <row r="844">
      <c r="C844" s="734"/>
      <c r="D844" s="731"/>
      <c r="E844" s="731"/>
      <c r="F844" s="734"/>
      <c r="G844" s="731"/>
      <c r="H844" s="731"/>
      <c r="I844" s="734"/>
      <c r="J844" s="731"/>
      <c r="K844" s="731"/>
      <c r="L844" s="734"/>
      <c r="M844" s="731"/>
      <c r="N844" s="731"/>
      <c r="O844" s="730"/>
      <c r="P844" s="731"/>
      <c r="Q844" s="731"/>
      <c r="R844" s="734"/>
      <c r="S844" s="731"/>
      <c r="T844" s="731"/>
      <c r="U844" s="734"/>
      <c r="V844" s="731"/>
      <c r="W844" s="731"/>
      <c r="X844" s="734"/>
      <c r="Y844" s="731"/>
      <c r="Z844" s="731"/>
    </row>
    <row r="845">
      <c r="C845" s="734"/>
      <c r="D845" s="731"/>
      <c r="E845" s="731"/>
      <c r="F845" s="734"/>
      <c r="G845" s="731"/>
      <c r="H845" s="731"/>
      <c r="I845" s="734"/>
      <c r="J845" s="731"/>
      <c r="K845" s="731"/>
      <c r="L845" s="734"/>
      <c r="M845" s="731"/>
      <c r="N845" s="731"/>
      <c r="O845" s="730"/>
      <c r="P845" s="731"/>
      <c r="Q845" s="731"/>
      <c r="R845" s="734"/>
      <c r="S845" s="731"/>
      <c r="T845" s="731"/>
      <c r="U845" s="734"/>
      <c r="V845" s="731"/>
      <c r="W845" s="731"/>
      <c r="X845" s="734"/>
      <c r="Y845" s="731"/>
      <c r="Z845" s="731"/>
    </row>
    <row r="846">
      <c r="C846" s="734"/>
      <c r="D846" s="731"/>
      <c r="E846" s="731"/>
      <c r="F846" s="734"/>
      <c r="G846" s="731"/>
      <c r="H846" s="731"/>
      <c r="I846" s="734"/>
      <c r="J846" s="731"/>
      <c r="K846" s="731"/>
      <c r="L846" s="734"/>
      <c r="M846" s="731"/>
      <c r="N846" s="731"/>
      <c r="O846" s="730"/>
      <c r="P846" s="731"/>
      <c r="Q846" s="731"/>
      <c r="R846" s="734"/>
      <c r="S846" s="731"/>
      <c r="T846" s="731"/>
      <c r="U846" s="734"/>
      <c r="V846" s="731"/>
      <c r="W846" s="731"/>
      <c r="X846" s="734"/>
      <c r="Y846" s="731"/>
      <c r="Z846" s="731"/>
    </row>
    <row r="847">
      <c r="C847" s="734"/>
      <c r="D847" s="731"/>
      <c r="E847" s="731"/>
      <c r="F847" s="734"/>
      <c r="G847" s="731"/>
      <c r="H847" s="731"/>
      <c r="I847" s="734"/>
      <c r="J847" s="731"/>
      <c r="K847" s="731"/>
      <c r="L847" s="734"/>
      <c r="M847" s="731"/>
      <c r="N847" s="731"/>
      <c r="O847" s="730"/>
      <c r="P847" s="731"/>
      <c r="Q847" s="731"/>
      <c r="R847" s="734"/>
      <c r="S847" s="731"/>
      <c r="T847" s="731"/>
      <c r="U847" s="734"/>
      <c r="V847" s="731"/>
      <c r="W847" s="731"/>
      <c r="X847" s="734"/>
      <c r="Y847" s="731"/>
      <c r="Z847" s="731"/>
    </row>
    <row r="848">
      <c r="C848" s="734"/>
      <c r="D848" s="731"/>
      <c r="E848" s="731"/>
      <c r="F848" s="734"/>
      <c r="G848" s="731"/>
      <c r="H848" s="731"/>
      <c r="I848" s="734"/>
      <c r="J848" s="731"/>
      <c r="K848" s="731"/>
      <c r="L848" s="734"/>
      <c r="M848" s="731"/>
      <c r="N848" s="731"/>
      <c r="O848" s="730"/>
      <c r="P848" s="731"/>
      <c r="Q848" s="731"/>
      <c r="R848" s="734"/>
      <c r="S848" s="731"/>
      <c r="T848" s="731"/>
      <c r="U848" s="734"/>
      <c r="V848" s="731"/>
      <c r="W848" s="731"/>
      <c r="X848" s="734"/>
      <c r="Y848" s="731"/>
      <c r="Z848" s="731"/>
    </row>
    <row r="849">
      <c r="C849" s="734"/>
      <c r="D849" s="731"/>
      <c r="E849" s="731"/>
      <c r="F849" s="734"/>
      <c r="G849" s="731"/>
      <c r="H849" s="731"/>
      <c r="I849" s="734"/>
      <c r="J849" s="731"/>
      <c r="K849" s="731"/>
      <c r="L849" s="734"/>
      <c r="M849" s="731"/>
      <c r="N849" s="731"/>
      <c r="O849" s="730"/>
      <c r="P849" s="731"/>
      <c r="Q849" s="731"/>
      <c r="R849" s="734"/>
      <c r="S849" s="731"/>
      <c r="T849" s="731"/>
      <c r="U849" s="734"/>
      <c r="V849" s="731"/>
      <c r="W849" s="731"/>
      <c r="X849" s="734"/>
      <c r="Y849" s="731"/>
      <c r="Z849" s="731"/>
    </row>
    <row r="850">
      <c r="C850" s="734"/>
      <c r="D850" s="731"/>
      <c r="E850" s="731"/>
      <c r="F850" s="734"/>
      <c r="G850" s="731"/>
      <c r="H850" s="731"/>
      <c r="I850" s="734"/>
      <c r="J850" s="731"/>
      <c r="K850" s="731"/>
      <c r="L850" s="734"/>
      <c r="M850" s="731"/>
      <c r="N850" s="731"/>
      <c r="O850" s="730"/>
      <c r="P850" s="731"/>
      <c r="Q850" s="731"/>
      <c r="R850" s="734"/>
      <c r="S850" s="731"/>
      <c r="T850" s="731"/>
      <c r="U850" s="734"/>
      <c r="V850" s="731"/>
      <c r="W850" s="731"/>
      <c r="X850" s="734"/>
      <c r="Y850" s="731"/>
      <c r="Z850" s="731"/>
    </row>
    <row r="851">
      <c r="C851" s="734"/>
      <c r="D851" s="731"/>
      <c r="E851" s="731"/>
      <c r="F851" s="734"/>
      <c r="G851" s="731"/>
      <c r="H851" s="731"/>
      <c r="I851" s="734"/>
      <c r="J851" s="731"/>
      <c r="K851" s="731"/>
      <c r="L851" s="734"/>
      <c r="M851" s="731"/>
      <c r="N851" s="731"/>
      <c r="O851" s="730"/>
      <c r="P851" s="731"/>
      <c r="Q851" s="731"/>
      <c r="R851" s="734"/>
      <c r="S851" s="731"/>
      <c r="T851" s="731"/>
      <c r="U851" s="734"/>
      <c r="V851" s="731"/>
      <c r="W851" s="731"/>
      <c r="X851" s="734"/>
      <c r="Y851" s="731"/>
      <c r="Z851" s="731"/>
    </row>
    <row r="852">
      <c r="C852" s="734"/>
      <c r="D852" s="731"/>
      <c r="E852" s="731"/>
      <c r="F852" s="734"/>
      <c r="G852" s="731"/>
      <c r="H852" s="731"/>
      <c r="I852" s="734"/>
      <c r="J852" s="731"/>
      <c r="K852" s="731"/>
      <c r="L852" s="734"/>
      <c r="M852" s="731"/>
      <c r="N852" s="731"/>
      <c r="O852" s="730"/>
      <c r="P852" s="731"/>
      <c r="Q852" s="731"/>
      <c r="R852" s="734"/>
      <c r="S852" s="731"/>
      <c r="T852" s="731"/>
      <c r="U852" s="734"/>
      <c r="V852" s="731"/>
      <c r="W852" s="731"/>
      <c r="X852" s="734"/>
      <c r="Y852" s="731"/>
      <c r="Z852" s="731"/>
    </row>
    <row r="853">
      <c r="C853" s="734"/>
      <c r="D853" s="731"/>
      <c r="E853" s="731"/>
      <c r="F853" s="734"/>
      <c r="G853" s="731"/>
      <c r="H853" s="731"/>
      <c r="I853" s="734"/>
      <c r="J853" s="731"/>
      <c r="K853" s="731"/>
      <c r="L853" s="734"/>
      <c r="M853" s="731"/>
      <c r="N853" s="731"/>
      <c r="O853" s="730"/>
      <c r="P853" s="731"/>
      <c r="Q853" s="731"/>
      <c r="R853" s="734"/>
      <c r="S853" s="731"/>
      <c r="T853" s="731"/>
      <c r="U853" s="734"/>
      <c r="V853" s="731"/>
      <c r="W853" s="731"/>
      <c r="X853" s="734"/>
      <c r="Y853" s="731"/>
      <c r="Z853" s="731"/>
    </row>
    <row r="854">
      <c r="C854" s="734"/>
      <c r="D854" s="731"/>
      <c r="E854" s="731"/>
      <c r="F854" s="734"/>
      <c r="G854" s="731"/>
      <c r="H854" s="731"/>
      <c r="I854" s="734"/>
      <c r="J854" s="731"/>
      <c r="K854" s="731"/>
      <c r="L854" s="734"/>
      <c r="M854" s="731"/>
      <c r="N854" s="731"/>
      <c r="O854" s="730"/>
      <c r="P854" s="731"/>
      <c r="Q854" s="731"/>
      <c r="R854" s="734"/>
      <c r="S854" s="731"/>
      <c r="T854" s="731"/>
      <c r="U854" s="734"/>
      <c r="V854" s="731"/>
      <c r="W854" s="731"/>
      <c r="X854" s="734"/>
      <c r="Y854" s="731"/>
      <c r="Z854" s="731"/>
    </row>
    <row r="855">
      <c r="C855" s="734"/>
      <c r="D855" s="731"/>
      <c r="E855" s="731"/>
      <c r="F855" s="734"/>
      <c r="G855" s="731"/>
      <c r="H855" s="731"/>
      <c r="I855" s="734"/>
      <c r="J855" s="731"/>
      <c r="K855" s="731"/>
      <c r="L855" s="734"/>
      <c r="M855" s="731"/>
      <c r="N855" s="731"/>
      <c r="O855" s="730"/>
      <c r="P855" s="731"/>
      <c r="Q855" s="731"/>
      <c r="R855" s="734"/>
      <c r="S855" s="731"/>
      <c r="T855" s="731"/>
      <c r="U855" s="734"/>
      <c r="V855" s="731"/>
      <c r="W855" s="731"/>
      <c r="X855" s="734"/>
      <c r="Y855" s="731"/>
      <c r="Z855" s="731"/>
    </row>
    <row r="856">
      <c r="C856" s="734"/>
      <c r="D856" s="731"/>
      <c r="E856" s="731"/>
      <c r="F856" s="734"/>
      <c r="G856" s="731"/>
      <c r="H856" s="731"/>
      <c r="I856" s="734"/>
      <c r="J856" s="731"/>
      <c r="K856" s="731"/>
      <c r="L856" s="734"/>
      <c r="M856" s="731"/>
      <c r="N856" s="731"/>
      <c r="O856" s="730"/>
      <c r="P856" s="731"/>
      <c r="Q856" s="731"/>
      <c r="R856" s="734"/>
      <c r="S856" s="731"/>
      <c r="T856" s="731"/>
      <c r="U856" s="734"/>
      <c r="V856" s="731"/>
      <c r="W856" s="731"/>
      <c r="X856" s="734"/>
      <c r="Y856" s="731"/>
      <c r="Z856" s="731"/>
    </row>
    <row r="857">
      <c r="C857" s="734"/>
      <c r="D857" s="731"/>
      <c r="E857" s="731"/>
      <c r="F857" s="734"/>
      <c r="G857" s="731"/>
      <c r="H857" s="731"/>
      <c r="I857" s="734"/>
      <c r="J857" s="731"/>
      <c r="K857" s="731"/>
      <c r="L857" s="734"/>
      <c r="M857" s="731"/>
      <c r="N857" s="731"/>
      <c r="O857" s="730"/>
      <c r="P857" s="731"/>
      <c r="Q857" s="731"/>
      <c r="R857" s="734"/>
      <c r="S857" s="731"/>
      <c r="T857" s="731"/>
      <c r="U857" s="734"/>
      <c r="V857" s="731"/>
      <c r="W857" s="731"/>
      <c r="X857" s="734"/>
      <c r="Y857" s="731"/>
      <c r="Z857" s="731"/>
    </row>
    <row r="858">
      <c r="C858" s="734"/>
      <c r="D858" s="731"/>
      <c r="E858" s="731"/>
      <c r="F858" s="734"/>
      <c r="G858" s="731"/>
      <c r="H858" s="731"/>
      <c r="I858" s="734"/>
      <c r="J858" s="731"/>
      <c r="K858" s="731"/>
      <c r="L858" s="734"/>
      <c r="M858" s="731"/>
      <c r="N858" s="731"/>
      <c r="O858" s="730"/>
      <c r="P858" s="731"/>
      <c r="Q858" s="731"/>
      <c r="R858" s="734"/>
      <c r="S858" s="731"/>
      <c r="T858" s="731"/>
      <c r="U858" s="734"/>
      <c r="V858" s="731"/>
      <c r="W858" s="731"/>
      <c r="X858" s="734"/>
      <c r="Y858" s="731"/>
      <c r="Z858" s="731"/>
    </row>
    <row r="859">
      <c r="C859" s="734"/>
      <c r="D859" s="731"/>
      <c r="E859" s="731"/>
      <c r="F859" s="734"/>
      <c r="G859" s="731"/>
      <c r="H859" s="731"/>
      <c r="I859" s="734"/>
      <c r="J859" s="731"/>
      <c r="K859" s="731"/>
      <c r="L859" s="734"/>
      <c r="M859" s="731"/>
      <c r="N859" s="731"/>
      <c r="O859" s="730"/>
      <c r="P859" s="731"/>
      <c r="Q859" s="731"/>
      <c r="R859" s="734"/>
      <c r="S859" s="731"/>
      <c r="T859" s="731"/>
      <c r="U859" s="734"/>
      <c r="V859" s="731"/>
      <c r="W859" s="731"/>
      <c r="X859" s="734"/>
      <c r="Y859" s="731"/>
      <c r="Z859" s="731"/>
    </row>
    <row r="860">
      <c r="C860" s="734"/>
      <c r="D860" s="731"/>
      <c r="E860" s="731"/>
      <c r="F860" s="734"/>
      <c r="G860" s="731"/>
      <c r="H860" s="731"/>
      <c r="I860" s="734"/>
      <c r="J860" s="731"/>
      <c r="K860" s="731"/>
      <c r="L860" s="734"/>
      <c r="M860" s="731"/>
      <c r="N860" s="731"/>
      <c r="O860" s="730"/>
      <c r="P860" s="731"/>
      <c r="Q860" s="731"/>
      <c r="R860" s="734"/>
      <c r="S860" s="731"/>
      <c r="T860" s="731"/>
      <c r="U860" s="734"/>
      <c r="V860" s="731"/>
      <c r="W860" s="731"/>
      <c r="X860" s="734"/>
      <c r="Y860" s="731"/>
      <c r="Z860" s="731"/>
    </row>
    <row r="861">
      <c r="C861" s="734"/>
      <c r="D861" s="731"/>
      <c r="E861" s="731"/>
      <c r="F861" s="734"/>
      <c r="G861" s="731"/>
      <c r="H861" s="731"/>
      <c r="I861" s="734"/>
      <c r="J861" s="731"/>
      <c r="K861" s="731"/>
      <c r="L861" s="734"/>
      <c r="M861" s="731"/>
      <c r="N861" s="731"/>
      <c r="O861" s="730"/>
      <c r="P861" s="731"/>
      <c r="Q861" s="731"/>
      <c r="R861" s="734"/>
      <c r="S861" s="731"/>
      <c r="T861" s="731"/>
      <c r="U861" s="734"/>
      <c r="V861" s="731"/>
      <c r="W861" s="731"/>
      <c r="X861" s="734"/>
      <c r="Y861" s="731"/>
      <c r="Z861" s="731"/>
    </row>
    <row r="862">
      <c r="C862" s="734"/>
      <c r="D862" s="731"/>
      <c r="E862" s="731"/>
      <c r="F862" s="734"/>
      <c r="G862" s="731"/>
      <c r="H862" s="731"/>
      <c r="I862" s="734"/>
      <c r="J862" s="731"/>
      <c r="K862" s="731"/>
      <c r="L862" s="734"/>
      <c r="M862" s="731"/>
      <c r="N862" s="731"/>
      <c r="O862" s="730"/>
      <c r="P862" s="731"/>
      <c r="Q862" s="731"/>
      <c r="R862" s="734"/>
      <c r="S862" s="731"/>
      <c r="T862" s="731"/>
      <c r="U862" s="734"/>
      <c r="V862" s="731"/>
      <c r="W862" s="731"/>
      <c r="X862" s="734"/>
      <c r="Y862" s="731"/>
      <c r="Z862" s="731"/>
    </row>
    <row r="863">
      <c r="C863" s="734"/>
      <c r="D863" s="731"/>
      <c r="E863" s="731"/>
      <c r="F863" s="734"/>
      <c r="G863" s="731"/>
      <c r="H863" s="731"/>
      <c r="I863" s="734"/>
      <c r="J863" s="731"/>
      <c r="K863" s="731"/>
      <c r="L863" s="734"/>
      <c r="M863" s="731"/>
      <c r="N863" s="731"/>
      <c r="O863" s="730"/>
      <c r="P863" s="731"/>
      <c r="Q863" s="731"/>
      <c r="R863" s="734"/>
      <c r="S863" s="731"/>
      <c r="T863" s="731"/>
      <c r="U863" s="734"/>
      <c r="V863" s="731"/>
      <c r="W863" s="731"/>
      <c r="X863" s="734"/>
      <c r="Y863" s="731"/>
      <c r="Z863" s="731"/>
    </row>
    <row r="864">
      <c r="C864" s="734"/>
      <c r="D864" s="731"/>
      <c r="E864" s="731"/>
      <c r="F864" s="734"/>
      <c r="G864" s="731"/>
      <c r="H864" s="731"/>
      <c r="I864" s="734"/>
      <c r="J864" s="731"/>
      <c r="K864" s="731"/>
      <c r="L864" s="734"/>
      <c r="M864" s="731"/>
      <c r="N864" s="731"/>
      <c r="O864" s="730"/>
      <c r="P864" s="731"/>
      <c r="Q864" s="731"/>
      <c r="R864" s="734"/>
      <c r="S864" s="731"/>
      <c r="T864" s="731"/>
      <c r="U864" s="734"/>
      <c r="V864" s="731"/>
      <c r="W864" s="731"/>
      <c r="X864" s="734"/>
      <c r="Y864" s="731"/>
      <c r="Z864" s="731"/>
    </row>
    <row r="865">
      <c r="C865" s="734"/>
      <c r="D865" s="731"/>
      <c r="E865" s="731"/>
      <c r="F865" s="734"/>
      <c r="G865" s="731"/>
      <c r="H865" s="731"/>
      <c r="I865" s="734"/>
      <c r="J865" s="731"/>
      <c r="K865" s="731"/>
      <c r="L865" s="734"/>
      <c r="M865" s="731"/>
      <c r="N865" s="731"/>
      <c r="O865" s="730"/>
      <c r="P865" s="731"/>
      <c r="Q865" s="731"/>
      <c r="R865" s="734"/>
      <c r="S865" s="731"/>
      <c r="T865" s="731"/>
      <c r="U865" s="734"/>
      <c r="V865" s="731"/>
      <c r="W865" s="731"/>
      <c r="X865" s="734"/>
      <c r="Y865" s="731"/>
      <c r="Z865" s="731"/>
    </row>
    <row r="866">
      <c r="C866" s="734"/>
      <c r="D866" s="731"/>
      <c r="E866" s="731"/>
      <c r="F866" s="734"/>
      <c r="G866" s="731"/>
      <c r="H866" s="731"/>
      <c r="I866" s="734"/>
      <c r="J866" s="731"/>
      <c r="K866" s="731"/>
      <c r="L866" s="734"/>
      <c r="M866" s="731"/>
      <c r="N866" s="731"/>
      <c r="O866" s="730"/>
      <c r="P866" s="731"/>
      <c r="Q866" s="731"/>
      <c r="R866" s="734"/>
      <c r="S866" s="731"/>
      <c r="T866" s="731"/>
      <c r="U866" s="734"/>
      <c r="V866" s="731"/>
      <c r="W866" s="731"/>
      <c r="X866" s="734"/>
      <c r="Y866" s="731"/>
      <c r="Z866" s="731"/>
    </row>
    <row r="867">
      <c r="C867" s="734"/>
      <c r="D867" s="731"/>
      <c r="E867" s="731"/>
      <c r="F867" s="734"/>
      <c r="G867" s="731"/>
      <c r="H867" s="731"/>
      <c r="I867" s="734"/>
      <c r="J867" s="731"/>
      <c r="K867" s="731"/>
      <c r="L867" s="734"/>
      <c r="M867" s="731"/>
      <c r="N867" s="731"/>
      <c r="O867" s="730"/>
      <c r="P867" s="731"/>
      <c r="Q867" s="731"/>
      <c r="R867" s="734"/>
      <c r="S867" s="731"/>
      <c r="T867" s="731"/>
      <c r="U867" s="734"/>
      <c r="V867" s="731"/>
      <c r="W867" s="731"/>
      <c r="X867" s="734"/>
      <c r="Y867" s="731"/>
      <c r="Z867" s="731"/>
    </row>
    <row r="868">
      <c r="C868" s="734"/>
      <c r="D868" s="731"/>
      <c r="E868" s="731"/>
      <c r="F868" s="734"/>
      <c r="G868" s="731"/>
      <c r="H868" s="731"/>
      <c r="I868" s="734"/>
      <c r="J868" s="731"/>
      <c r="K868" s="731"/>
      <c r="L868" s="734"/>
      <c r="M868" s="731"/>
      <c r="N868" s="731"/>
      <c r="O868" s="730"/>
      <c r="P868" s="731"/>
      <c r="Q868" s="731"/>
      <c r="R868" s="734"/>
      <c r="S868" s="731"/>
      <c r="T868" s="731"/>
      <c r="U868" s="734"/>
      <c r="V868" s="731"/>
      <c r="W868" s="731"/>
      <c r="X868" s="734"/>
      <c r="Y868" s="731"/>
      <c r="Z868" s="731"/>
    </row>
    <row r="869">
      <c r="C869" s="734"/>
      <c r="D869" s="731"/>
      <c r="E869" s="731"/>
      <c r="F869" s="734"/>
      <c r="G869" s="731"/>
      <c r="H869" s="731"/>
      <c r="I869" s="734"/>
      <c r="J869" s="731"/>
      <c r="K869" s="731"/>
      <c r="L869" s="734"/>
      <c r="M869" s="731"/>
      <c r="N869" s="731"/>
      <c r="O869" s="730"/>
      <c r="P869" s="731"/>
      <c r="Q869" s="731"/>
      <c r="R869" s="734"/>
      <c r="S869" s="731"/>
      <c r="T869" s="731"/>
      <c r="U869" s="734"/>
      <c r="V869" s="731"/>
      <c r="W869" s="731"/>
      <c r="X869" s="734"/>
      <c r="Y869" s="731"/>
      <c r="Z869" s="731"/>
    </row>
    <row r="870">
      <c r="C870" s="734"/>
      <c r="D870" s="731"/>
      <c r="E870" s="731"/>
      <c r="F870" s="734"/>
      <c r="G870" s="731"/>
      <c r="H870" s="731"/>
      <c r="I870" s="734"/>
      <c r="J870" s="731"/>
      <c r="K870" s="731"/>
      <c r="L870" s="734"/>
      <c r="M870" s="731"/>
      <c r="N870" s="731"/>
      <c r="O870" s="730"/>
      <c r="P870" s="731"/>
      <c r="Q870" s="731"/>
      <c r="R870" s="734"/>
      <c r="S870" s="731"/>
      <c r="T870" s="731"/>
      <c r="U870" s="734"/>
      <c r="V870" s="731"/>
      <c r="W870" s="731"/>
      <c r="X870" s="734"/>
      <c r="Y870" s="731"/>
      <c r="Z870" s="731"/>
    </row>
    <row r="871">
      <c r="C871" s="734"/>
      <c r="D871" s="731"/>
      <c r="E871" s="731"/>
      <c r="F871" s="734"/>
      <c r="G871" s="731"/>
      <c r="H871" s="731"/>
      <c r="I871" s="734"/>
      <c r="J871" s="731"/>
      <c r="K871" s="731"/>
      <c r="L871" s="734"/>
      <c r="M871" s="731"/>
      <c r="N871" s="731"/>
      <c r="O871" s="730"/>
      <c r="P871" s="731"/>
      <c r="Q871" s="731"/>
      <c r="R871" s="734"/>
      <c r="S871" s="731"/>
      <c r="T871" s="731"/>
      <c r="U871" s="734"/>
      <c r="V871" s="731"/>
      <c r="W871" s="731"/>
      <c r="X871" s="734"/>
      <c r="Y871" s="731"/>
      <c r="Z871" s="731"/>
    </row>
    <row r="872">
      <c r="C872" s="734"/>
      <c r="D872" s="731"/>
      <c r="E872" s="731"/>
      <c r="F872" s="734"/>
      <c r="G872" s="731"/>
      <c r="H872" s="731"/>
      <c r="I872" s="734"/>
      <c r="J872" s="731"/>
      <c r="K872" s="731"/>
      <c r="L872" s="734"/>
      <c r="M872" s="731"/>
      <c r="N872" s="731"/>
      <c r="O872" s="730"/>
      <c r="P872" s="731"/>
      <c r="Q872" s="731"/>
      <c r="R872" s="734"/>
      <c r="S872" s="731"/>
      <c r="T872" s="731"/>
      <c r="U872" s="734"/>
      <c r="V872" s="731"/>
      <c r="W872" s="731"/>
      <c r="X872" s="734"/>
      <c r="Y872" s="731"/>
      <c r="Z872" s="731"/>
    </row>
    <row r="873">
      <c r="C873" s="734"/>
      <c r="D873" s="731"/>
      <c r="E873" s="731"/>
      <c r="F873" s="734"/>
      <c r="G873" s="731"/>
      <c r="H873" s="731"/>
      <c r="I873" s="734"/>
      <c r="J873" s="731"/>
      <c r="K873" s="731"/>
      <c r="L873" s="734"/>
      <c r="M873" s="731"/>
      <c r="N873" s="731"/>
      <c r="O873" s="730"/>
      <c r="P873" s="731"/>
      <c r="Q873" s="731"/>
      <c r="R873" s="734"/>
      <c r="S873" s="731"/>
      <c r="T873" s="731"/>
      <c r="U873" s="734"/>
      <c r="V873" s="731"/>
      <c r="W873" s="731"/>
      <c r="X873" s="734"/>
      <c r="Y873" s="731"/>
      <c r="Z873" s="731"/>
    </row>
    <row r="874">
      <c r="C874" s="734"/>
      <c r="D874" s="731"/>
      <c r="E874" s="731"/>
      <c r="F874" s="734"/>
      <c r="G874" s="731"/>
      <c r="H874" s="731"/>
      <c r="I874" s="734"/>
      <c r="J874" s="731"/>
      <c r="K874" s="731"/>
      <c r="L874" s="734"/>
      <c r="M874" s="731"/>
      <c r="N874" s="731"/>
      <c r="O874" s="730"/>
      <c r="P874" s="731"/>
      <c r="Q874" s="731"/>
      <c r="R874" s="734"/>
      <c r="S874" s="731"/>
      <c r="T874" s="731"/>
      <c r="U874" s="734"/>
      <c r="V874" s="731"/>
      <c r="W874" s="731"/>
      <c r="X874" s="734"/>
      <c r="Y874" s="731"/>
      <c r="Z874" s="731"/>
    </row>
    <row r="875">
      <c r="C875" s="734"/>
      <c r="D875" s="731"/>
      <c r="E875" s="731"/>
      <c r="F875" s="734"/>
      <c r="G875" s="731"/>
      <c r="H875" s="731"/>
      <c r="I875" s="734"/>
      <c r="J875" s="731"/>
      <c r="K875" s="731"/>
      <c r="L875" s="734"/>
      <c r="M875" s="731"/>
      <c r="N875" s="731"/>
      <c r="O875" s="730"/>
      <c r="P875" s="731"/>
      <c r="Q875" s="731"/>
      <c r="R875" s="734"/>
      <c r="S875" s="731"/>
      <c r="T875" s="731"/>
      <c r="U875" s="734"/>
      <c r="V875" s="731"/>
      <c r="W875" s="731"/>
      <c r="X875" s="734"/>
      <c r="Y875" s="731"/>
      <c r="Z875" s="731"/>
    </row>
    <row r="876">
      <c r="C876" s="734"/>
      <c r="D876" s="731"/>
      <c r="E876" s="731"/>
      <c r="F876" s="734"/>
      <c r="G876" s="731"/>
      <c r="H876" s="731"/>
      <c r="I876" s="734"/>
      <c r="J876" s="731"/>
      <c r="K876" s="731"/>
      <c r="L876" s="734"/>
      <c r="M876" s="731"/>
      <c r="N876" s="731"/>
      <c r="O876" s="730"/>
      <c r="P876" s="731"/>
      <c r="Q876" s="731"/>
      <c r="R876" s="734"/>
      <c r="S876" s="731"/>
      <c r="T876" s="731"/>
      <c r="U876" s="734"/>
      <c r="V876" s="731"/>
      <c r="W876" s="731"/>
      <c r="X876" s="734"/>
      <c r="Y876" s="731"/>
      <c r="Z876" s="731"/>
    </row>
    <row r="877">
      <c r="C877" s="734"/>
      <c r="D877" s="731"/>
      <c r="E877" s="731"/>
      <c r="F877" s="734"/>
      <c r="G877" s="731"/>
      <c r="H877" s="731"/>
      <c r="I877" s="734"/>
      <c r="J877" s="731"/>
      <c r="K877" s="731"/>
      <c r="L877" s="734"/>
      <c r="M877" s="731"/>
      <c r="N877" s="731"/>
      <c r="O877" s="730"/>
      <c r="P877" s="731"/>
      <c r="Q877" s="731"/>
      <c r="R877" s="734"/>
      <c r="S877" s="731"/>
      <c r="T877" s="731"/>
      <c r="U877" s="734"/>
      <c r="V877" s="731"/>
      <c r="W877" s="731"/>
      <c r="X877" s="734"/>
      <c r="Y877" s="731"/>
      <c r="Z877" s="731"/>
    </row>
    <row r="878">
      <c r="C878" s="734"/>
      <c r="D878" s="731"/>
      <c r="E878" s="731"/>
      <c r="F878" s="734"/>
      <c r="G878" s="731"/>
      <c r="H878" s="731"/>
      <c r="I878" s="734"/>
      <c r="J878" s="731"/>
      <c r="K878" s="731"/>
      <c r="L878" s="734"/>
      <c r="M878" s="731"/>
      <c r="N878" s="731"/>
      <c r="O878" s="730"/>
      <c r="P878" s="731"/>
      <c r="Q878" s="731"/>
      <c r="R878" s="734"/>
      <c r="S878" s="731"/>
      <c r="T878" s="731"/>
      <c r="U878" s="734"/>
      <c r="V878" s="731"/>
      <c r="W878" s="731"/>
      <c r="X878" s="734"/>
      <c r="Y878" s="731"/>
      <c r="Z878" s="731"/>
    </row>
    <row r="879">
      <c r="C879" s="734"/>
      <c r="D879" s="731"/>
      <c r="E879" s="731"/>
      <c r="F879" s="734"/>
      <c r="G879" s="731"/>
      <c r="H879" s="731"/>
      <c r="I879" s="734"/>
      <c r="J879" s="731"/>
      <c r="K879" s="731"/>
      <c r="L879" s="734"/>
      <c r="M879" s="731"/>
      <c r="N879" s="731"/>
      <c r="O879" s="730"/>
      <c r="P879" s="731"/>
      <c r="Q879" s="731"/>
      <c r="R879" s="734"/>
      <c r="S879" s="731"/>
      <c r="T879" s="731"/>
      <c r="U879" s="734"/>
      <c r="V879" s="731"/>
      <c r="W879" s="731"/>
      <c r="X879" s="734"/>
      <c r="Y879" s="731"/>
      <c r="Z879" s="731"/>
    </row>
    <row r="880">
      <c r="C880" s="734"/>
      <c r="D880" s="731"/>
      <c r="E880" s="731"/>
      <c r="F880" s="734"/>
      <c r="G880" s="731"/>
      <c r="H880" s="731"/>
      <c r="I880" s="734"/>
      <c r="J880" s="731"/>
      <c r="K880" s="731"/>
      <c r="L880" s="734"/>
      <c r="M880" s="731"/>
      <c r="N880" s="731"/>
      <c r="O880" s="730"/>
      <c r="P880" s="731"/>
      <c r="Q880" s="731"/>
      <c r="R880" s="734"/>
      <c r="S880" s="731"/>
      <c r="T880" s="731"/>
      <c r="U880" s="734"/>
      <c r="V880" s="731"/>
      <c r="W880" s="731"/>
      <c r="X880" s="734"/>
      <c r="Y880" s="731"/>
      <c r="Z880" s="731"/>
    </row>
    <row r="881">
      <c r="C881" s="734"/>
      <c r="D881" s="731"/>
      <c r="E881" s="731"/>
      <c r="F881" s="734"/>
      <c r="G881" s="731"/>
      <c r="H881" s="731"/>
      <c r="I881" s="734"/>
      <c r="J881" s="731"/>
      <c r="K881" s="731"/>
      <c r="L881" s="734"/>
      <c r="M881" s="731"/>
      <c r="N881" s="731"/>
      <c r="O881" s="730"/>
      <c r="P881" s="731"/>
      <c r="Q881" s="731"/>
      <c r="R881" s="734"/>
      <c r="S881" s="731"/>
      <c r="T881" s="731"/>
      <c r="U881" s="734"/>
      <c r="V881" s="731"/>
      <c r="W881" s="731"/>
      <c r="X881" s="734"/>
      <c r="Y881" s="731"/>
      <c r="Z881" s="731"/>
    </row>
    <row r="882">
      <c r="C882" s="734"/>
      <c r="D882" s="731"/>
      <c r="E882" s="731"/>
      <c r="F882" s="734"/>
      <c r="G882" s="731"/>
      <c r="H882" s="731"/>
      <c r="I882" s="734"/>
      <c r="J882" s="731"/>
      <c r="K882" s="731"/>
      <c r="L882" s="734"/>
      <c r="M882" s="731"/>
      <c r="N882" s="731"/>
      <c r="O882" s="730"/>
      <c r="P882" s="731"/>
      <c r="Q882" s="731"/>
      <c r="R882" s="734"/>
      <c r="S882" s="731"/>
      <c r="T882" s="731"/>
      <c r="U882" s="734"/>
      <c r="V882" s="731"/>
      <c r="W882" s="731"/>
      <c r="X882" s="734"/>
      <c r="Y882" s="731"/>
      <c r="Z882" s="731"/>
    </row>
    <row r="883">
      <c r="C883" s="734"/>
      <c r="D883" s="731"/>
      <c r="E883" s="731"/>
      <c r="F883" s="734"/>
      <c r="G883" s="731"/>
      <c r="H883" s="731"/>
      <c r="I883" s="734"/>
      <c r="J883" s="731"/>
      <c r="K883" s="731"/>
      <c r="L883" s="734"/>
      <c r="M883" s="731"/>
      <c r="N883" s="731"/>
      <c r="O883" s="730"/>
      <c r="P883" s="731"/>
      <c r="Q883" s="731"/>
      <c r="R883" s="734"/>
      <c r="S883" s="731"/>
      <c r="T883" s="731"/>
      <c r="U883" s="734"/>
      <c r="V883" s="731"/>
      <c r="W883" s="731"/>
      <c r="X883" s="734"/>
      <c r="Y883" s="731"/>
      <c r="Z883" s="731"/>
    </row>
    <row r="884">
      <c r="C884" s="734"/>
      <c r="D884" s="731"/>
      <c r="E884" s="731"/>
      <c r="F884" s="734"/>
      <c r="G884" s="731"/>
      <c r="H884" s="731"/>
      <c r="I884" s="734"/>
      <c r="J884" s="731"/>
      <c r="K884" s="731"/>
      <c r="L884" s="734"/>
      <c r="M884" s="731"/>
      <c r="N884" s="731"/>
      <c r="O884" s="730"/>
      <c r="P884" s="731"/>
      <c r="Q884" s="731"/>
      <c r="R884" s="734"/>
      <c r="S884" s="731"/>
      <c r="T884" s="731"/>
      <c r="U884" s="734"/>
      <c r="V884" s="731"/>
      <c r="W884" s="731"/>
      <c r="X884" s="734"/>
      <c r="Y884" s="731"/>
      <c r="Z884" s="731"/>
    </row>
    <row r="885">
      <c r="C885" s="734"/>
      <c r="D885" s="731"/>
      <c r="E885" s="731"/>
      <c r="F885" s="734"/>
      <c r="G885" s="731"/>
      <c r="H885" s="731"/>
      <c r="I885" s="734"/>
      <c r="J885" s="731"/>
      <c r="K885" s="731"/>
      <c r="L885" s="734"/>
      <c r="M885" s="731"/>
      <c r="N885" s="731"/>
      <c r="O885" s="730"/>
      <c r="P885" s="731"/>
      <c r="Q885" s="731"/>
      <c r="R885" s="734"/>
      <c r="S885" s="731"/>
      <c r="T885" s="731"/>
      <c r="U885" s="734"/>
      <c r="V885" s="731"/>
      <c r="W885" s="731"/>
      <c r="X885" s="734"/>
      <c r="Y885" s="731"/>
      <c r="Z885" s="731"/>
    </row>
    <row r="886">
      <c r="C886" s="734"/>
      <c r="D886" s="731"/>
      <c r="E886" s="731"/>
      <c r="F886" s="734"/>
      <c r="G886" s="731"/>
      <c r="H886" s="731"/>
      <c r="I886" s="734"/>
      <c r="J886" s="731"/>
      <c r="K886" s="731"/>
      <c r="L886" s="734"/>
      <c r="M886" s="731"/>
      <c r="N886" s="731"/>
      <c r="O886" s="730"/>
      <c r="P886" s="731"/>
      <c r="Q886" s="731"/>
      <c r="R886" s="734"/>
      <c r="S886" s="731"/>
      <c r="T886" s="731"/>
      <c r="U886" s="734"/>
      <c r="V886" s="731"/>
      <c r="W886" s="731"/>
      <c r="X886" s="734"/>
      <c r="Y886" s="731"/>
      <c r="Z886" s="731"/>
    </row>
    <row r="887">
      <c r="C887" s="734"/>
      <c r="D887" s="731"/>
      <c r="E887" s="731"/>
      <c r="F887" s="734"/>
      <c r="G887" s="731"/>
      <c r="H887" s="731"/>
      <c r="I887" s="734"/>
      <c r="J887" s="731"/>
      <c r="K887" s="731"/>
      <c r="L887" s="734"/>
      <c r="M887" s="731"/>
      <c r="N887" s="731"/>
      <c r="O887" s="730"/>
      <c r="P887" s="731"/>
      <c r="Q887" s="731"/>
      <c r="R887" s="734"/>
      <c r="S887" s="731"/>
      <c r="T887" s="731"/>
      <c r="U887" s="734"/>
      <c r="V887" s="731"/>
      <c r="W887" s="731"/>
      <c r="X887" s="734"/>
      <c r="Y887" s="731"/>
      <c r="Z887" s="731"/>
    </row>
    <row r="888">
      <c r="C888" s="734"/>
      <c r="D888" s="731"/>
      <c r="E888" s="731"/>
      <c r="F888" s="734"/>
      <c r="G888" s="731"/>
      <c r="H888" s="731"/>
      <c r="I888" s="734"/>
      <c r="J888" s="731"/>
      <c r="K888" s="731"/>
      <c r="L888" s="734"/>
      <c r="M888" s="731"/>
      <c r="N888" s="731"/>
      <c r="O888" s="730"/>
      <c r="P888" s="731"/>
      <c r="Q888" s="731"/>
      <c r="R888" s="734"/>
      <c r="S888" s="731"/>
      <c r="T888" s="731"/>
      <c r="U888" s="734"/>
      <c r="V888" s="731"/>
      <c r="W888" s="731"/>
      <c r="X888" s="734"/>
      <c r="Y888" s="731"/>
      <c r="Z888" s="731"/>
    </row>
    <row r="889">
      <c r="C889" s="734"/>
      <c r="D889" s="731"/>
      <c r="E889" s="731"/>
      <c r="F889" s="734"/>
      <c r="G889" s="731"/>
      <c r="H889" s="731"/>
      <c r="I889" s="734"/>
      <c r="J889" s="731"/>
      <c r="K889" s="731"/>
      <c r="L889" s="734"/>
      <c r="M889" s="731"/>
      <c r="N889" s="731"/>
      <c r="O889" s="730"/>
      <c r="P889" s="731"/>
      <c r="Q889" s="731"/>
      <c r="R889" s="734"/>
      <c r="S889" s="731"/>
      <c r="T889" s="731"/>
      <c r="U889" s="734"/>
      <c r="V889" s="731"/>
      <c r="W889" s="731"/>
      <c r="X889" s="734"/>
      <c r="Y889" s="731"/>
      <c r="Z889" s="731"/>
    </row>
    <row r="890">
      <c r="C890" s="734"/>
      <c r="D890" s="731"/>
      <c r="E890" s="731"/>
      <c r="F890" s="734"/>
      <c r="G890" s="731"/>
      <c r="H890" s="731"/>
      <c r="I890" s="734"/>
      <c r="J890" s="731"/>
      <c r="K890" s="731"/>
      <c r="L890" s="734"/>
      <c r="M890" s="731"/>
      <c r="N890" s="731"/>
      <c r="O890" s="730"/>
      <c r="P890" s="731"/>
      <c r="Q890" s="731"/>
      <c r="R890" s="734"/>
      <c r="S890" s="731"/>
      <c r="T890" s="731"/>
      <c r="U890" s="734"/>
      <c r="V890" s="731"/>
      <c r="W890" s="731"/>
      <c r="X890" s="734"/>
      <c r="Y890" s="731"/>
      <c r="Z890" s="731"/>
    </row>
    <row r="891">
      <c r="C891" s="734"/>
      <c r="D891" s="731"/>
      <c r="E891" s="731"/>
      <c r="F891" s="734"/>
      <c r="G891" s="731"/>
      <c r="H891" s="731"/>
      <c r="I891" s="734"/>
      <c r="J891" s="731"/>
      <c r="K891" s="731"/>
      <c r="L891" s="734"/>
      <c r="M891" s="731"/>
      <c r="N891" s="731"/>
      <c r="O891" s="730"/>
      <c r="P891" s="731"/>
      <c r="Q891" s="731"/>
      <c r="R891" s="734"/>
      <c r="S891" s="731"/>
      <c r="T891" s="731"/>
      <c r="U891" s="734"/>
      <c r="V891" s="731"/>
      <c r="W891" s="731"/>
      <c r="X891" s="734"/>
      <c r="Y891" s="731"/>
      <c r="Z891" s="731"/>
    </row>
    <row r="892">
      <c r="C892" s="734"/>
      <c r="D892" s="731"/>
      <c r="E892" s="731"/>
      <c r="F892" s="734"/>
      <c r="G892" s="731"/>
      <c r="H892" s="731"/>
      <c r="I892" s="734"/>
      <c r="J892" s="731"/>
      <c r="K892" s="731"/>
      <c r="L892" s="734"/>
      <c r="M892" s="731"/>
      <c r="N892" s="731"/>
      <c r="O892" s="730"/>
      <c r="P892" s="731"/>
      <c r="Q892" s="731"/>
      <c r="R892" s="734"/>
      <c r="S892" s="731"/>
      <c r="T892" s="731"/>
      <c r="U892" s="734"/>
      <c r="V892" s="731"/>
      <c r="W892" s="731"/>
      <c r="X892" s="734"/>
      <c r="Y892" s="731"/>
      <c r="Z892" s="731"/>
    </row>
    <row r="893">
      <c r="C893" s="734"/>
      <c r="D893" s="731"/>
      <c r="E893" s="731"/>
      <c r="F893" s="734"/>
      <c r="G893" s="731"/>
      <c r="H893" s="731"/>
      <c r="I893" s="734"/>
      <c r="J893" s="731"/>
      <c r="K893" s="731"/>
      <c r="L893" s="734"/>
      <c r="M893" s="731"/>
      <c r="N893" s="731"/>
      <c r="O893" s="730"/>
      <c r="P893" s="731"/>
      <c r="Q893" s="731"/>
      <c r="R893" s="734"/>
      <c r="S893" s="731"/>
      <c r="T893" s="731"/>
      <c r="U893" s="734"/>
      <c r="V893" s="731"/>
      <c r="W893" s="731"/>
      <c r="X893" s="734"/>
      <c r="Y893" s="731"/>
      <c r="Z893" s="731"/>
    </row>
    <row r="894">
      <c r="C894" s="734"/>
      <c r="D894" s="731"/>
      <c r="E894" s="731"/>
      <c r="F894" s="734"/>
      <c r="G894" s="731"/>
      <c r="H894" s="731"/>
      <c r="I894" s="734"/>
      <c r="J894" s="731"/>
      <c r="K894" s="731"/>
      <c r="L894" s="734"/>
      <c r="M894" s="731"/>
      <c r="N894" s="731"/>
      <c r="O894" s="730"/>
      <c r="P894" s="731"/>
      <c r="Q894" s="731"/>
      <c r="R894" s="734"/>
      <c r="S894" s="731"/>
      <c r="T894" s="731"/>
      <c r="U894" s="734"/>
      <c r="V894" s="731"/>
      <c r="W894" s="731"/>
      <c r="X894" s="734"/>
      <c r="Y894" s="731"/>
      <c r="Z894" s="731"/>
    </row>
    <row r="895">
      <c r="C895" s="734"/>
      <c r="D895" s="731"/>
      <c r="E895" s="731"/>
      <c r="F895" s="734"/>
      <c r="G895" s="731"/>
      <c r="H895" s="731"/>
      <c r="I895" s="734"/>
      <c r="J895" s="731"/>
      <c r="K895" s="731"/>
      <c r="L895" s="734"/>
      <c r="M895" s="731"/>
      <c r="N895" s="731"/>
      <c r="O895" s="730"/>
      <c r="P895" s="731"/>
      <c r="Q895" s="731"/>
      <c r="R895" s="734"/>
      <c r="S895" s="731"/>
      <c r="T895" s="731"/>
      <c r="U895" s="734"/>
      <c r="V895" s="731"/>
      <c r="W895" s="731"/>
      <c r="X895" s="734"/>
      <c r="Y895" s="731"/>
      <c r="Z895" s="731"/>
    </row>
    <row r="896">
      <c r="C896" s="734"/>
      <c r="D896" s="731"/>
      <c r="E896" s="731"/>
      <c r="F896" s="734"/>
      <c r="G896" s="731"/>
      <c r="H896" s="731"/>
      <c r="I896" s="734"/>
      <c r="J896" s="731"/>
      <c r="K896" s="731"/>
      <c r="L896" s="734"/>
      <c r="M896" s="731"/>
      <c r="N896" s="731"/>
      <c r="O896" s="730"/>
      <c r="P896" s="731"/>
      <c r="Q896" s="731"/>
      <c r="R896" s="734"/>
      <c r="S896" s="731"/>
      <c r="T896" s="731"/>
      <c r="U896" s="734"/>
      <c r="V896" s="731"/>
      <c r="W896" s="731"/>
      <c r="X896" s="734"/>
      <c r="Y896" s="731"/>
      <c r="Z896" s="731"/>
    </row>
    <row r="897">
      <c r="C897" s="734"/>
      <c r="D897" s="731"/>
      <c r="E897" s="731"/>
      <c r="F897" s="734"/>
      <c r="G897" s="731"/>
      <c r="H897" s="731"/>
      <c r="I897" s="734"/>
      <c r="J897" s="731"/>
      <c r="K897" s="731"/>
      <c r="L897" s="734"/>
      <c r="M897" s="731"/>
      <c r="N897" s="731"/>
      <c r="O897" s="730"/>
      <c r="P897" s="731"/>
      <c r="Q897" s="731"/>
      <c r="R897" s="734"/>
      <c r="S897" s="731"/>
      <c r="T897" s="731"/>
      <c r="U897" s="734"/>
      <c r="V897" s="731"/>
      <c r="W897" s="731"/>
      <c r="X897" s="734"/>
      <c r="Y897" s="731"/>
      <c r="Z897" s="731"/>
    </row>
    <row r="898">
      <c r="C898" s="734"/>
      <c r="D898" s="731"/>
      <c r="E898" s="731"/>
      <c r="F898" s="734"/>
      <c r="G898" s="731"/>
      <c r="H898" s="731"/>
      <c r="I898" s="734"/>
      <c r="J898" s="731"/>
      <c r="K898" s="731"/>
      <c r="L898" s="734"/>
      <c r="M898" s="731"/>
      <c r="N898" s="731"/>
      <c r="O898" s="730"/>
      <c r="P898" s="731"/>
      <c r="Q898" s="731"/>
      <c r="R898" s="734"/>
      <c r="S898" s="731"/>
      <c r="T898" s="731"/>
      <c r="U898" s="734"/>
      <c r="V898" s="731"/>
      <c r="W898" s="731"/>
      <c r="X898" s="734"/>
      <c r="Y898" s="731"/>
      <c r="Z898" s="731"/>
    </row>
    <row r="899">
      <c r="C899" s="734"/>
      <c r="D899" s="731"/>
      <c r="E899" s="731"/>
      <c r="F899" s="734"/>
      <c r="G899" s="731"/>
      <c r="H899" s="731"/>
      <c r="I899" s="734"/>
      <c r="J899" s="731"/>
      <c r="K899" s="731"/>
      <c r="L899" s="734"/>
      <c r="M899" s="731"/>
      <c r="N899" s="731"/>
      <c r="O899" s="730"/>
      <c r="P899" s="731"/>
      <c r="Q899" s="731"/>
      <c r="R899" s="734"/>
      <c r="S899" s="731"/>
      <c r="T899" s="731"/>
      <c r="U899" s="734"/>
      <c r="V899" s="731"/>
      <c r="W899" s="731"/>
      <c r="X899" s="734"/>
      <c r="Y899" s="731"/>
      <c r="Z899" s="731"/>
    </row>
    <row r="900">
      <c r="C900" s="734"/>
      <c r="D900" s="731"/>
      <c r="E900" s="731"/>
      <c r="F900" s="734"/>
      <c r="G900" s="731"/>
      <c r="H900" s="731"/>
      <c r="I900" s="734"/>
      <c r="J900" s="731"/>
      <c r="K900" s="731"/>
      <c r="L900" s="734"/>
      <c r="M900" s="731"/>
      <c r="N900" s="731"/>
      <c r="O900" s="730"/>
      <c r="P900" s="731"/>
      <c r="Q900" s="731"/>
      <c r="R900" s="734"/>
      <c r="S900" s="731"/>
      <c r="T900" s="731"/>
      <c r="U900" s="734"/>
      <c r="V900" s="731"/>
      <c r="W900" s="731"/>
      <c r="X900" s="734"/>
      <c r="Y900" s="731"/>
      <c r="Z900" s="731"/>
    </row>
    <row r="901">
      <c r="C901" s="734"/>
      <c r="D901" s="731"/>
      <c r="E901" s="731"/>
      <c r="F901" s="734"/>
      <c r="G901" s="731"/>
      <c r="H901" s="731"/>
      <c r="I901" s="734"/>
      <c r="J901" s="731"/>
      <c r="K901" s="731"/>
      <c r="L901" s="734"/>
      <c r="M901" s="731"/>
      <c r="N901" s="731"/>
      <c r="O901" s="730"/>
      <c r="P901" s="731"/>
      <c r="Q901" s="731"/>
      <c r="R901" s="734"/>
      <c r="S901" s="731"/>
      <c r="T901" s="731"/>
      <c r="U901" s="734"/>
      <c r="V901" s="731"/>
      <c r="W901" s="731"/>
      <c r="X901" s="734"/>
      <c r="Y901" s="731"/>
      <c r="Z901" s="731"/>
    </row>
    <row r="902">
      <c r="C902" s="734"/>
      <c r="D902" s="731"/>
      <c r="E902" s="731"/>
      <c r="F902" s="734"/>
      <c r="G902" s="731"/>
      <c r="H902" s="731"/>
      <c r="I902" s="734"/>
      <c r="J902" s="731"/>
      <c r="K902" s="731"/>
      <c r="L902" s="734"/>
      <c r="M902" s="731"/>
      <c r="N902" s="731"/>
      <c r="O902" s="730"/>
      <c r="P902" s="731"/>
      <c r="Q902" s="731"/>
      <c r="R902" s="734"/>
      <c r="S902" s="731"/>
      <c r="T902" s="731"/>
      <c r="U902" s="734"/>
      <c r="V902" s="731"/>
      <c r="W902" s="731"/>
      <c r="X902" s="734"/>
      <c r="Y902" s="731"/>
      <c r="Z902" s="731"/>
    </row>
    <row r="903">
      <c r="C903" s="734"/>
      <c r="D903" s="731"/>
      <c r="E903" s="731"/>
      <c r="F903" s="734"/>
      <c r="G903" s="731"/>
      <c r="H903" s="731"/>
      <c r="I903" s="734"/>
      <c r="J903" s="731"/>
      <c r="K903" s="731"/>
      <c r="L903" s="734"/>
      <c r="M903" s="731"/>
      <c r="N903" s="731"/>
      <c r="O903" s="730"/>
      <c r="P903" s="731"/>
      <c r="Q903" s="731"/>
      <c r="R903" s="734"/>
      <c r="S903" s="731"/>
      <c r="T903" s="731"/>
      <c r="U903" s="734"/>
      <c r="V903" s="731"/>
      <c r="W903" s="731"/>
      <c r="X903" s="734"/>
      <c r="Y903" s="731"/>
      <c r="Z903" s="731"/>
    </row>
    <row r="904">
      <c r="C904" s="734"/>
      <c r="D904" s="731"/>
      <c r="E904" s="731"/>
      <c r="F904" s="734"/>
      <c r="G904" s="731"/>
      <c r="H904" s="731"/>
      <c r="I904" s="734"/>
      <c r="J904" s="731"/>
      <c r="K904" s="731"/>
      <c r="L904" s="734"/>
      <c r="M904" s="731"/>
      <c r="N904" s="731"/>
      <c r="O904" s="730"/>
      <c r="P904" s="731"/>
      <c r="Q904" s="731"/>
      <c r="R904" s="734"/>
      <c r="S904" s="731"/>
      <c r="T904" s="731"/>
      <c r="U904" s="734"/>
      <c r="V904" s="731"/>
      <c r="W904" s="731"/>
      <c r="X904" s="734"/>
      <c r="Y904" s="731"/>
      <c r="Z904" s="731"/>
    </row>
    <row r="905">
      <c r="C905" s="734"/>
      <c r="D905" s="731"/>
      <c r="E905" s="731"/>
      <c r="F905" s="734"/>
      <c r="G905" s="731"/>
      <c r="H905" s="731"/>
      <c r="I905" s="734"/>
      <c r="J905" s="731"/>
      <c r="K905" s="731"/>
      <c r="L905" s="734"/>
      <c r="M905" s="731"/>
      <c r="N905" s="731"/>
      <c r="O905" s="730"/>
      <c r="P905" s="731"/>
      <c r="Q905" s="731"/>
      <c r="R905" s="734"/>
      <c r="S905" s="731"/>
      <c r="T905" s="731"/>
      <c r="U905" s="734"/>
      <c r="V905" s="731"/>
      <c r="W905" s="731"/>
      <c r="X905" s="734"/>
      <c r="Y905" s="731"/>
      <c r="Z905" s="731"/>
    </row>
    <row r="906">
      <c r="C906" s="734"/>
      <c r="D906" s="731"/>
      <c r="E906" s="731"/>
      <c r="F906" s="734"/>
      <c r="G906" s="731"/>
      <c r="H906" s="731"/>
      <c r="I906" s="734"/>
      <c r="J906" s="731"/>
      <c r="K906" s="731"/>
      <c r="L906" s="734"/>
      <c r="M906" s="731"/>
      <c r="N906" s="731"/>
      <c r="O906" s="730"/>
      <c r="P906" s="731"/>
      <c r="Q906" s="731"/>
      <c r="R906" s="734"/>
      <c r="S906" s="731"/>
      <c r="T906" s="731"/>
      <c r="U906" s="734"/>
      <c r="V906" s="731"/>
      <c r="W906" s="731"/>
      <c r="X906" s="734"/>
      <c r="Y906" s="731"/>
      <c r="Z906" s="731"/>
    </row>
    <row r="907">
      <c r="C907" s="734"/>
      <c r="D907" s="731"/>
      <c r="E907" s="731"/>
      <c r="F907" s="734"/>
      <c r="G907" s="731"/>
      <c r="H907" s="731"/>
      <c r="I907" s="734"/>
      <c r="J907" s="731"/>
      <c r="K907" s="731"/>
      <c r="L907" s="734"/>
      <c r="M907" s="731"/>
      <c r="N907" s="731"/>
      <c r="O907" s="730"/>
      <c r="P907" s="731"/>
      <c r="Q907" s="731"/>
      <c r="R907" s="734"/>
      <c r="S907" s="731"/>
      <c r="T907" s="731"/>
      <c r="U907" s="734"/>
      <c r="V907" s="731"/>
      <c r="W907" s="731"/>
      <c r="X907" s="734"/>
      <c r="Y907" s="731"/>
      <c r="Z907" s="731"/>
    </row>
    <row r="908">
      <c r="C908" s="734"/>
      <c r="D908" s="731"/>
      <c r="E908" s="731"/>
      <c r="F908" s="734"/>
      <c r="G908" s="731"/>
      <c r="H908" s="731"/>
      <c r="I908" s="734"/>
      <c r="J908" s="731"/>
      <c r="K908" s="731"/>
      <c r="L908" s="734"/>
      <c r="M908" s="731"/>
      <c r="N908" s="731"/>
      <c r="O908" s="730"/>
      <c r="P908" s="731"/>
      <c r="Q908" s="731"/>
      <c r="R908" s="734"/>
      <c r="S908" s="731"/>
      <c r="T908" s="731"/>
      <c r="U908" s="734"/>
      <c r="V908" s="731"/>
      <c r="W908" s="731"/>
      <c r="X908" s="734"/>
      <c r="Y908" s="731"/>
      <c r="Z908" s="731"/>
    </row>
    <row r="909">
      <c r="C909" s="734"/>
      <c r="D909" s="731"/>
      <c r="E909" s="731"/>
      <c r="F909" s="734"/>
      <c r="G909" s="731"/>
      <c r="H909" s="731"/>
      <c r="I909" s="734"/>
      <c r="J909" s="731"/>
      <c r="K909" s="731"/>
      <c r="L909" s="734"/>
      <c r="M909" s="731"/>
      <c r="N909" s="731"/>
      <c r="O909" s="730"/>
      <c r="P909" s="731"/>
      <c r="Q909" s="731"/>
      <c r="R909" s="734"/>
      <c r="S909" s="731"/>
      <c r="T909" s="731"/>
      <c r="U909" s="734"/>
      <c r="V909" s="731"/>
      <c r="W909" s="731"/>
      <c r="X909" s="734"/>
      <c r="Y909" s="731"/>
      <c r="Z909" s="731"/>
    </row>
    <row r="910">
      <c r="C910" s="734"/>
      <c r="D910" s="731"/>
      <c r="E910" s="731"/>
      <c r="F910" s="734"/>
      <c r="G910" s="731"/>
      <c r="H910" s="731"/>
      <c r="I910" s="734"/>
      <c r="J910" s="731"/>
      <c r="K910" s="731"/>
      <c r="L910" s="734"/>
      <c r="M910" s="731"/>
      <c r="N910" s="731"/>
      <c r="O910" s="730"/>
      <c r="P910" s="731"/>
      <c r="Q910" s="731"/>
      <c r="R910" s="734"/>
      <c r="S910" s="731"/>
      <c r="T910" s="731"/>
      <c r="U910" s="734"/>
      <c r="V910" s="731"/>
      <c r="W910" s="731"/>
      <c r="X910" s="734"/>
      <c r="Y910" s="731"/>
      <c r="Z910" s="731"/>
    </row>
    <row r="911">
      <c r="C911" s="734"/>
      <c r="D911" s="731"/>
      <c r="E911" s="731"/>
      <c r="F911" s="734"/>
      <c r="G911" s="731"/>
      <c r="H911" s="731"/>
      <c r="I911" s="734"/>
      <c r="J911" s="731"/>
      <c r="K911" s="731"/>
      <c r="L911" s="734"/>
      <c r="M911" s="731"/>
      <c r="N911" s="731"/>
      <c r="O911" s="730"/>
      <c r="P911" s="731"/>
      <c r="Q911" s="731"/>
      <c r="R911" s="734"/>
      <c r="S911" s="731"/>
      <c r="T911" s="731"/>
      <c r="U911" s="734"/>
      <c r="V911" s="731"/>
      <c r="W911" s="731"/>
      <c r="X911" s="734"/>
      <c r="Y911" s="731"/>
      <c r="Z911" s="731"/>
    </row>
    <row r="912">
      <c r="C912" s="734"/>
      <c r="D912" s="731"/>
      <c r="E912" s="731"/>
      <c r="F912" s="734"/>
      <c r="G912" s="731"/>
      <c r="H912" s="731"/>
      <c r="I912" s="734"/>
      <c r="J912" s="731"/>
      <c r="K912" s="731"/>
      <c r="L912" s="734"/>
      <c r="M912" s="731"/>
      <c r="N912" s="731"/>
      <c r="O912" s="730"/>
      <c r="P912" s="731"/>
      <c r="Q912" s="731"/>
      <c r="R912" s="734"/>
      <c r="S912" s="731"/>
      <c r="T912" s="731"/>
      <c r="U912" s="734"/>
      <c r="V912" s="731"/>
      <c r="W912" s="731"/>
      <c r="X912" s="734"/>
      <c r="Y912" s="731"/>
      <c r="Z912" s="731"/>
    </row>
    <row r="913">
      <c r="C913" s="734"/>
      <c r="D913" s="731"/>
      <c r="E913" s="731"/>
      <c r="F913" s="734"/>
      <c r="G913" s="731"/>
      <c r="H913" s="731"/>
      <c r="I913" s="734"/>
      <c r="J913" s="731"/>
      <c r="K913" s="731"/>
      <c r="L913" s="734"/>
      <c r="M913" s="731"/>
      <c r="N913" s="731"/>
      <c r="O913" s="730"/>
      <c r="P913" s="731"/>
      <c r="Q913" s="731"/>
      <c r="R913" s="734"/>
      <c r="S913" s="731"/>
      <c r="T913" s="731"/>
      <c r="U913" s="734"/>
      <c r="V913" s="731"/>
      <c r="W913" s="731"/>
      <c r="X913" s="734"/>
      <c r="Y913" s="731"/>
      <c r="Z913" s="731"/>
    </row>
    <row r="914">
      <c r="C914" s="734"/>
      <c r="D914" s="731"/>
      <c r="E914" s="731"/>
      <c r="F914" s="734"/>
      <c r="G914" s="731"/>
      <c r="H914" s="731"/>
      <c r="I914" s="734"/>
      <c r="J914" s="731"/>
      <c r="K914" s="731"/>
      <c r="L914" s="734"/>
      <c r="M914" s="731"/>
      <c r="N914" s="731"/>
      <c r="O914" s="730"/>
      <c r="P914" s="731"/>
      <c r="Q914" s="731"/>
      <c r="R914" s="734"/>
      <c r="S914" s="731"/>
      <c r="T914" s="731"/>
      <c r="U914" s="734"/>
      <c r="V914" s="731"/>
      <c r="W914" s="731"/>
      <c r="X914" s="734"/>
      <c r="Y914" s="731"/>
      <c r="Z914" s="731"/>
    </row>
    <row r="915">
      <c r="C915" s="734"/>
      <c r="D915" s="731"/>
      <c r="E915" s="731"/>
      <c r="F915" s="734"/>
      <c r="G915" s="731"/>
      <c r="H915" s="731"/>
      <c r="I915" s="734"/>
      <c r="J915" s="731"/>
      <c r="K915" s="731"/>
      <c r="L915" s="734"/>
      <c r="M915" s="731"/>
      <c r="N915" s="731"/>
      <c r="O915" s="730"/>
      <c r="P915" s="731"/>
      <c r="Q915" s="731"/>
      <c r="R915" s="734"/>
      <c r="S915" s="731"/>
      <c r="T915" s="731"/>
      <c r="U915" s="734"/>
      <c r="V915" s="731"/>
      <c r="W915" s="731"/>
      <c r="X915" s="734"/>
      <c r="Y915" s="731"/>
      <c r="Z915" s="731"/>
    </row>
    <row r="916">
      <c r="C916" s="734"/>
      <c r="D916" s="731"/>
      <c r="E916" s="731"/>
      <c r="F916" s="734"/>
      <c r="G916" s="731"/>
      <c r="H916" s="731"/>
      <c r="I916" s="734"/>
      <c r="J916" s="731"/>
      <c r="K916" s="731"/>
      <c r="L916" s="734"/>
      <c r="M916" s="731"/>
      <c r="N916" s="731"/>
      <c r="O916" s="730"/>
      <c r="P916" s="731"/>
      <c r="Q916" s="731"/>
      <c r="R916" s="734"/>
      <c r="S916" s="731"/>
      <c r="T916" s="731"/>
      <c r="U916" s="734"/>
      <c r="V916" s="731"/>
      <c r="W916" s="731"/>
      <c r="X916" s="734"/>
      <c r="Y916" s="731"/>
      <c r="Z916" s="731"/>
    </row>
    <row r="917">
      <c r="C917" s="734"/>
      <c r="D917" s="731"/>
      <c r="E917" s="731"/>
      <c r="F917" s="734"/>
      <c r="G917" s="731"/>
      <c r="H917" s="731"/>
      <c r="I917" s="734"/>
      <c r="J917" s="731"/>
      <c r="K917" s="731"/>
      <c r="L917" s="734"/>
      <c r="M917" s="731"/>
      <c r="N917" s="731"/>
      <c r="O917" s="730"/>
      <c r="P917" s="731"/>
      <c r="Q917" s="731"/>
      <c r="R917" s="734"/>
      <c r="S917" s="731"/>
      <c r="T917" s="731"/>
      <c r="U917" s="734"/>
      <c r="V917" s="731"/>
      <c r="W917" s="731"/>
      <c r="X917" s="734"/>
      <c r="Y917" s="731"/>
      <c r="Z917" s="731"/>
    </row>
    <row r="918">
      <c r="C918" s="734"/>
      <c r="D918" s="731"/>
      <c r="E918" s="731"/>
      <c r="F918" s="734"/>
      <c r="G918" s="731"/>
      <c r="H918" s="731"/>
      <c r="I918" s="734"/>
      <c r="J918" s="731"/>
      <c r="K918" s="731"/>
      <c r="L918" s="734"/>
      <c r="M918" s="731"/>
      <c r="N918" s="731"/>
      <c r="O918" s="730"/>
      <c r="P918" s="731"/>
      <c r="Q918" s="731"/>
      <c r="R918" s="734"/>
      <c r="S918" s="731"/>
      <c r="T918" s="731"/>
      <c r="U918" s="734"/>
      <c r="V918" s="731"/>
      <c r="W918" s="731"/>
      <c r="X918" s="734"/>
      <c r="Y918" s="731"/>
      <c r="Z918" s="731"/>
    </row>
    <row r="919">
      <c r="C919" s="734"/>
      <c r="D919" s="731"/>
      <c r="E919" s="731"/>
      <c r="F919" s="734"/>
      <c r="G919" s="731"/>
      <c r="H919" s="731"/>
      <c r="I919" s="734"/>
      <c r="J919" s="731"/>
      <c r="K919" s="731"/>
      <c r="L919" s="734"/>
      <c r="M919" s="731"/>
      <c r="N919" s="731"/>
      <c r="O919" s="730"/>
      <c r="P919" s="731"/>
      <c r="Q919" s="731"/>
      <c r="R919" s="734"/>
      <c r="S919" s="731"/>
      <c r="T919" s="731"/>
      <c r="U919" s="734"/>
      <c r="V919" s="731"/>
      <c r="W919" s="731"/>
      <c r="X919" s="734"/>
      <c r="Y919" s="731"/>
      <c r="Z919" s="731"/>
    </row>
    <row r="920">
      <c r="C920" s="734"/>
      <c r="D920" s="731"/>
      <c r="E920" s="731"/>
      <c r="F920" s="734"/>
      <c r="G920" s="731"/>
      <c r="H920" s="731"/>
      <c r="I920" s="734"/>
      <c r="J920" s="731"/>
      <c r="K920" s="731"/>
      <c r="L920" s="734"/>
      <c r="M920" s="731"/>
      <c r="N920" s="731"/>
      <c r="O920" s="730"/>
      <c r="P920" s="731"/>
      <c r="Q920" s="731"/>
      <c r="R920" s="734"/>
      <c r="S920" s="731"/>
      <c r="T920" s="731"/>
      <c r="U920" s="734"/>
      <c r="V920" s="731"/>
      <c r="W920" s="731"/>
      <c r="X920" s="734"/>
      <c r="Y920" s="731"/>
      <c r="Z920" s="731"/>
    </row>
    <row r="921">
      <c r="C921" s="734"/>
      <c r="D921" s="731"/>
      <c r="E921" s="731"/>
      <c r="F921" s="734"/>
      <c r="G921" s="731"/>
      <c r="H921" s="731"/>
      <c r="I921" s="734"/>
      <c r="J921" s="731"/>
      <c r="K921" s="731"/>
      <c r="L921" s="734"/>
      <c r="M921" s="731"/>
      <c r="N921" s="731"/>
      <c r="O921" s="730"/>
      <c r="P921" s="731"/>
      <c r="Q921" s="731"/>
      <c r="R921" s="734"/>
      <c r="S921" s="731"/>
      <c r="T921" s="731"/>
      <c r="U921" s="734"/>
      <c r="V921" s="731"/>
      <c r="W921" s="731"/>
      <c r="X921" s="734"/>
      <c r="Y921" s="731"/>
      <c r="Z921" s="731"/>
    </row>
    <row r="922">
      <c r="C922" s="734"/>
      <c r="D922" s="731"/>
      <c r="E922" s="731"/>
      <c r="F922" s="734"/>
      <c r="G922" s="731"/>
      <c r="H922" s="731"/>
      <c r="I922" s="734"/>
      <c r="J922" s="731"/>
      <c r="K922" s="731"/>
      <c r="L922" s="734"/>
      <c r="M922" s="731"/>
      <c r="N922" s="731"/>
      <c r="O922" s="730"/>
      <c r="P922" s="731"/>
      <c r="Q922" s="731"/>
      <c r="R922" s="734"/>
      <c r="S922" s="731"/>
      <c r="T922" s="731"/>
      <c r="U922" s="734"/>
      <c r="V922" s="731"/>
      <c r="W922" s="731"/>
      <c r="X922" s="734"/>
      <c r="Y922" s="731"/>
      <c r="Z922" s="731"/>
    </row>
    <row r="923">
      <c r="C923" s="734"/>
      <c r="D923" s="731"/>
      <c r="E923" s="731"/>
      <c r="F923" s="734"/>
      <c r="G923" s="731"/>
      <c r="H923" s="731"/>
      <c r="I923" s="734"/>
      <c r="J923" s="731"/>
      <c r="K923" s="731"/>
      <c r="L923" s="734"/>
      <c r="M923" s="731"/>
      <c r="N923" s="731"/>
      <c r="O923" s="730"/>
      <c r="P923" s="731"/>
      <c r="Q923" s="731"/>
      <c r="R923" s="734"/>
      <c r="S923" s="731"/>
      <c r="T923" s="731"/>
      <c r="U923" s="734"/>
      <c r="V923" s="731"/>
      <c r="W923" s="731"/>
      <c r="X923" s="734"/>
      <c r="Y923" s="731"/>
      <c r="Z923" s="731"/>
    </row>
    <row r="924">
      <c r="C924" s="734"/>
      <c r="D924" s="731"/>
      <c r="E924" s="731"/>
      <c r="F924" s="734"/>
      <c r="G924" s="731"/>
      <c r="H924" s="731"/>
      <c r="I924" s="734"/>
      <c r="J924" s="731"/>
      <c r="K924" s="731"/>
      <c r="L924" s="734"/>
      <c r="M924" s="731"/>
      <c r="N924" s="731"/>
      <c r="O924" s="730"/>
      <c r="P924" s="731"/>
      <c r="Q924" s="731"/>
      <c r="R924" s="734"/>
      <c r="S924" s="731"/>
      <c r="T924" s="731"/>
      <c r="U924" s="734"/>
      <c r="V924" s="731"/>
      <c r="W924" s="731"/>
      <c r="X924" s="734"/>
      <c r="Y924" s="731"/>
      <c r="Z924" s="731"/>
    </row>
    <row r="925">
      <c r="C925" s="734"/>
      <c r="D925" s="731"/>
      <c r="E925" s="731"/>
      <c r="F925" s="734"/>
      <c r="G925" s="731"/>
      <c r="H925" s="731"/>
      <c r="I925" s="734"/>
      <c r="J925" s="731"/>
      <c r="K925" s="731"/>
      <c r="L925" s="734"/>
      <c r="M925" s="731"/>
      <c r="N925" s="731"/>
      <c r="O925" s="730"/>
      <c r="P925" s="731"/>
      <c r="Q925" s="731"/>
      <c r="R925" s="734"/>
      <c r="S925" s="731"/>
      <c r="T925" s="731"/>
      <c r="U925" s="734"/>
      <c r="V925" s="731"/>
      <c r="W925" s="731"/>
      <c r="X925" s="734"/>
      <c r="Y925" s="731"/>
      <c r="Z925" s="731"/>
    </row>
    <row r="926">
      <c r="C926" s="734"/>
      <c r="D926" s="731"/>
      <c r="E926" s="731"/>
      <c r="F926" s="734"/>
      <c r="G926" s="731"/>
      <c r="H926" s="731"/>
      <c r="I926" s="734"/>
      <c r="J926" s="731"/>
      <c r="K926" s="731"/>
      <c r="L926" s="734"/>
      <c r="M926" s="731"/>
      <c r="N926" s="731"/>
      <c r="O926" s="730"/>
      <c r="P926" s="731"/>
      <c r="Q926" s="731"/>
      <c r="R926" s="734"/>
      <c r="S926" s="731"/>
      <c r="T926" s="731"/>
      <c r="U926" s="734"/>
      <c r="V926" s="731"/>
      <c r="W926" s="731"/>
      <c r="X926" s="734"/>
      <c r="Y926" s="731"/>
      <c r="Z926" s="731"/>
    </row>
    <row r="927">
      <c r="C927" s="734"/>
      <c r="D927" s="731"/>
      <c r="E927" s="731"/>
      <c r="F927" s="734"/>
      <c r="G927" s="731"/>
      <c r="H927" s="731"/>
      <c r="I927" s="734"/>
      <c r="J927" s="731"/>
      <c r="K927" s="731"/>
      <c r="L927" s="734"/>
      <c r="M927" s="731"/>
      <c r="N927" s="731"/>
      <c r="O927" s="730"/>
      <c r="P927" s="731"/>
      <c r="Q927" s="731"/>
      <c r="R927" s="734"/>
      <c r="S927" s="731"/>
      <c r="T927" s="731"/>
      <c r="U927" s="734"/>
      <c r="V927" s="731"/>
      <c r="W927" s="731"/>
      <c r="X927" s="734"/>
      <c r="Y927" s="731"/>
      <c r="Z927" s="731"/>
    </row>
    <row r="928">
      <c r="C928" s="734"/>
      <c r="D928" s="731"/>
      <c r="E928" s="731"/>
      <c r="F928" s="734"/>
      <c r="G928" s="731"/>
      <c r="H928" s="731"/>
      <c r="I928" s="734"/>
      <c r="J928" s="731"/>
      <c r="K928" s="731"/>
      <c r="L928" s="734"/>
      <c r="M928" s="731"/>
      <c r="N928" s="731"/>
      <c r="O928" s="730"/>
      <c r="P928" s="731"/>
      <c r="Q928" s="731"/>
      <c r="R928" s="734"/>
      <c r="S928" s="731"/>
      <c r="T928" s="731"/>
      <c r="U928" s="734"/>
      <c r="V928" s="731"/>
      <c r="W928" s="731"/>
      <c r="X928" s="734"/>
      <c r="Y928" s="731"/>
      <c r="Z928" s="731"/>
    </row>
    <row r="929">
      <c r="C929" s="734"/>
      <c r="D929" s="731"/>
      <c r="E929" s="731"/>
      <c r="F929" s="734"/>
      <c r="G929" s="731"/>
      <c r="H929" s="731"/>
      <c r="I929" s="734"/>
      <c r="J929" s="731"/>
      <c r="K929" s="731"/>
      <c r="L929" s="734"/>
      <c r="M929" s="731"/>
      <c r="N929" s="731"/>
      <c r="O929" s="730"/>
      <c r="P929" s="731"/>
      <c r="Q929" s="731"/>
      <c r="R929" s="734"/>
      <c r="S929" s="731"/>
      <c r="T929" s="731"/>
      <c r="U929" s="734"/>
      <c r="V929" s="731"/>
      <c r="W929" s="731"/>
      <c r="X929" s="734"/>
      <c r="Y929" s="731"/>
      <c r="Z929" s="731"/>
    </row>
    <row r="930">
      <c r="C930" s="734"/>
      <c r="D930" s="731"/>
      <c r="E930" s="731"/>
      <c r="F930" s="734"/>
      <c r="G930" s="731"/>
      <c r="H930" s="731"/>
      <c r="I930" s="734"/>
      <c r="J930" s="731"/>
      <c r="K930" s="731"/>
      <c r="L930" s="734"/>
      <c r="M930" s="731"/>
      <c r="N930" s="731"/>
      <c r="O930" s="730"/>
      <c r="P930" s="731"/>
      <c r="Q930" s="731"/>
      <c r="R930" s="734"/>
      <c r="S930" s="731"/>
      <c r="T930" s="731"/>
      <c r="U930" s="734"/>
      <c r="V930" s="731"/>
      <c r="W930" s="731"/>
      <c r="X930" s="734"/>
      <c r="Y930" s="731"/>
      <c r="Z930" s="731"/>
    </row>
    <row r="931">
      <c r="C931" s="734"/>
      <c r="D931" s="731"/>
      <c r="E931" s="731"/>
      <c r="F931" s="734"/>
      <c r="G931" s="731"/>
      <c r="H931" s="731"/>
      <c r="I931" s="734"/>
      <c r="J931" s="731"/>
      <c r="K931" s="731"/>
      <c r="L931" s="734"/>
      <c r="M931" s="731"/>
      <c r="N931" s="731"/>
      <c r="O931" s="730"/>
      <c r="P931" s="731"/>
      <c r="Q931" s="731"/>
      <c r="R931" s="734"/>
      <c r="S931" s="731"/>
      <c r="T931" s="731"/>
      <c r="U931" s="734"/>
      <c r="V931" s="731"/>
      <c r="W931" s="731"/>
      <c r="X931" s="734"/>
      <c r="Y931" s="731"/>
      <c r="Z931" s="731"/>
    </row>
    <row r="932">
      <c r="C932" s="734"/>
      <c r="D932" s="731"/>
      <c r="E932" s="731"/>
      <c r="F932" s="734"/>
      <c r="G932" s="731"/>
      <c r="H932" s="731"/>
      <c r="I932" s="734"/>
      <c r="J932" s="731"/>
      <c r="K932" s="731"/>
      <c r="L932" s="734"/>
      <c r="M932" s="731"/>
      <c r="N932" s="731"/>
      <c r="O932" s="730"/>
      <c r="P932" s="731"/>
      <c r="Q932" s="731"/>
      <c r="R932" s="734"/>
      <c r="S932" s="731"/>
      <c r="T932" s="731"/>
      <c r="U932" s="734"/>
      <c r="V932" s="731"/>
      <c r="W932" s="731"/>
      <c r="X932" s="734"/>
      <c r="Y932" s="731"/>
      <c r="Z932" s="731"/>
    </row>
    <row r="933">
      <c r="C933" s="734"/>
      <c r="D933" s="731"/>
      <c r="E933" s="731"/>
      <c r="F933" s="734"/>
      <c r="G933" s="731"/>
      <c r="H933" s="731"/>
      <c r="I933" s="734"/>
      <c r="J933" s="731"/>
      <c r="K933" s="731"/>
      <c r="L933" s="734"/>
      <c r="M933" s="731"/>
      <c r="N933" s="731"/>
      <c r="O933" s="730"/>
      <c r="P933" s="731"/>
      <c r="Q933" s="731"/>
      <c r="R933" s="734"/>
      <c r="S933" s="731"/>
      <c r="T933" s="731"/>
      <c r="U933" s="734"/>
      <c r="V933" s="731"/>
      <c r="W933" s="731"/>
      <c r="X933" s="734"/>
      <c r="Y933" s="731"/>
      <c r="Z933" s="731"/>
    </row>
    <row r="934">
      <c r="C934" s="734"/>
      <c r="D934" s="731"/>
      <c r="E934" s="731"/>
      <c r="F934" s="734"/>
      <c r="G934" s="731"/>
      <c r="H934" s="731"/>
      <c r="I934" s="734"/>
      <c r="J934" s="731"/>
      <c r="K934" s="731"/>
      <c r="L934" s="734"/>
      <c r="M934" s="731"/>
      <c r="N934" s="731"/>
      <c r="O934" s="730"/>
      <c r="P934" s="731"/>
      <c r="Q934" s="731"/>
      <c r="R934" s="734"/>
      <c r="S934" s="731"/>
      <c r="T934" s="731"/>
      <c r="U934" s="734"/>
      <c r="V934" s="731"/>
      <c r="W934" s="731"/>
      <c r="X934" s="734"/>
      <c r="Y934" s="731"/>
      <c r="Z934" s="731"/>
    </row>
    <row r="935">
      <c r="C935" s="734"/>
      <c r="D935" s="731"/>
      <c r="E935" s="731"/>
      <c r="F935" s="734"/>
      <c r="G935" s="731"/>
      <c r="H935" s="731"/>
      <c r="I935" s="734"/>
      <c r="J935" s="731"/>
      <c r="K935" s="731"/>
      <c r="L935" s="734"/>
      <c r="M935" s="731"/>
      <c r="N935" s="731"/>
      <c r="O935" s="730"/>
      <c r="P935" s="731"/>
      <c r="Q935" s="731"/>
      <c r="R935" s="734"/>
      <c r="S935" s="731"/>
      <c r="T935" s="731"/>
      <c r="U935" s="734"/>
      <c r="V935" s="731"/>
      <c r="W935" s="731"/>
      <c r="X935" s="734"/>
      <c r="Y935" s="731"/>
      <c r="Z935" s="731"/>
    </row>
    <row r="936">
      <c r="C936" s="734"/>
      <c r="D936" s="731"/>
      <c r="E936" s="731"/>
      <c r="F936" s="734"/>
      <c r="G936" s="731"/>
      <c r="H936" s="731"/>
      <c r="I936" s="734"/>
      <c r="J936" s="731"/>
      <c r="K936" s="731"/>
      <c r="L936" s="734"/>
      <c r="M936" s="731"/>
      <c r="N936" s="731"/>
      <c r="O936" s="730"/>
      <c r="P936" s="731"/>
      <c r="Q936" s="731"/>
      <c r="R936" s="734"/>
      <c r="S936" s="731"/>
      <c r="T936" s="731"/>
      <c r="U936" s="734"/>
      <c r="V936" s="731"/>
      <c r="W936" s="731"/>
      <c r="X936" s="734"/>
      <c r="Y936" s="731"/>
      <c r="Z936" s="731"/>
    </row>
    <row r="937">
      <c r="C937" s="734"/>
      <c r="D937" s="731"/>
      <c r="E937" s="731"/>
      <c r="F937" s="734"/>
      <c r="G937" s="731"/>
      <c r="H937" s="731"/>
      <c r="I937" s="734"/>
      <c r="J937" s="731"/>
      <c r="K937" s="731"/>
      <c r="L937" s="734"/>
      <c r="M937" s="731"/>
      <c r="N937" s="731"/>
      <c r="O937" s="730"/>
      <c r="P937" s="731"/>
      <c r="Q937" s="731"/>
      <c r="R937" s="734"/>
      <c r="S937" s="731"/>
      <c r="T937" s="731"/>
      <c r="U937" s="734"/>
      <c r="V937" s="731"/>
      <c r="W937" s="731"/>
      <c r="X937" s="734"/>
      <c r="Y937" s="731"/>
      <c r="Z937" s="731"/>
    </row>
    <row r="938">
      <c r="C938" s="734"/>
      <c r="D938" s="731"/>
      <c r="E938" s="731"/>
      <c r="F938" s="734"/>
      <c r="G938" s="731"/>
      <c r="H938" s="731"/>
      <c r="I938" s="734"/>
      <c r="J938" s="731"/>
      <c r="K938" s="731"/>
      <c r="L938" s="734"/>
      <c r="M938" s="731"/>
      <c r="N938" s="731"/>
      <c r="O938" s="730"/>
      <c r="P938" s="731"/>
      <c r="Q938" s="731"/>
      <c r="R938" s="734"/>
      <c r="S938" s="731"/>
      <c r="T938" s="731"/>
      <c r="U938" s="734"/>
      <c r="V938" s="731"/>
      <c r="W938" s="731"/>
      <c r="X938" s="734"/>
      <c r="Y938" s="731"/>
      <c r="Z938" s="731"/>
    </row>
    <row r="939">
      <c r="C939" s="734"/>
      <c r="D939" s="731"/>
      <c r="E939" s="731"/>
      <c r="F939" s="734"/>
      <c r="G939" s="731"/>
      <c r="H939" s="731"/>
      <c r="I939" s="734"/>
      <c r="J939" s="731"/>
      <c r="K939" s="731"/>
      <c r="L939" s="734"/>
      <c r="M939" s="731"/>
      <c r="N939" s="731"/>
      <c r="O939" s="730"/>
      <c r="P939" s="731"/>
      <c r="Q939" s="731"/>
      <c r="R939" s="734"/>
      <c r="S939" s="731"/>
      <c r="T939" s="731"/>
      <c r="U939" s="734"/>
      <c r="V939" s="731"/>
      <c r="W939" s="731"/>
      <c r="X939" s="734"/>
      <c r="Y939" s="731"/>
      <c r="Z939" s="731"/>
    </row>
    <row r="940">
      <c r="C940" s="734"/>
      <c r="D940" s="731"/>
      <c r="E940" s="731"/>
      <c r="F940" s="734"/>
      <c r="G940" s="731"/>
      <c r="H940" s="731"/>
      <c r="I940" s="734"/>
      <c r="J940" s="731"/>
      <c r="K940" s="731"/>
      <c r="L940" s="734"/>
      <c r="M940" s="731"/>
      <c r="N940" s="731"/>
      <c r="O940" s="730"/>
      <c r="P940" s="731"/>
      <c r="Q940" s="731"/>
      <c r="R940" s="734"/>
      <c r="S940" s="731"/>
      <c r="T940" s="731"/>
      <c r="U940" s="734"/>
      <c r="V940" s="731"/>
      <c r="W940" s="731"/>
      <c r="X940" s="734"/>
      <c r="Y940" s="731"/>
      <c r="Z940" s="731"/>
    </row>
    <row r="941">
      <c r="C941" s="734"/>
      <c r="D941" s="731"/>
      <c r="E941" s="731"/>
      <c r="F941" s="734"/>
      <c r="G941" s="731"/>
      <c r="H941" s="731"/>
      <c r="I941" s="734"/>
      <c r="J941" s="731"/>
      <c r="K941" s="731"/>
      <c r="L941" s="734"/>
      <c r="M941" s="731"/>
      <c r="N941" s="731"/>
      <c r="O941" s="730"/>
      <c r="P941" s="731"/>
      <c r="Q941" s="731"/>
      <c r="R941" s="734"/>
      <c r="S941" s="731"/>
      <c r="T941" s="731"/>
      <c r="U941" s="734"/>
      <c r="V941" s="731"/>
      <c r="W941" s="731"/>
      <c r="X941" s="734"/>
      <c r="Y941" s="731"/>
      <c r="Z941" s="731"/>
    </row>
    <row r="942">
      <c r="C942" s="734"/>
      <c r="D942" s="731"/>
      <c r="E942" s="731"/>
      <c r="F942" s="734"/>
      <c r="G942" s="731"/>
      <c r="H942" s="731"/>
      <c r="I942" s="734"/>
      <c r="J942" s="731"/>
      <c r="K942" s="731"/>
      <c r="L942" s="734"/>
      <c r="M942" s="731"/>
      <c r="N942" s="731"/>
      <c r="O942" s="730"/>
      <c r="P942" s="731"/>
      <c r="Q942" s="731"/>
      <c r="R942" s="734"/>
      <c r="S942" s="731"/>
      <c r="T942" s="731"/>
      <c r="U942" s="734"/>
      <c r="V942" s="731"/>
      <c r="W942" s="731"/>
      <c r="X942" s="734"/>
      <c r="Y942" s="731"/>
      <c r="Z942" s="731"/>
    </row>
    <row r="943">
      <c r="C943" s="734"/>
      <c r="D943" s="731"/>
      <c r="E943" s="731"/>
      <c r="F943" s="734"/>
      <c r="G943" s="731"/>
      <c r="H943" s="731"/>
      <c r="I943" s="734"/>
      <c r="J943" s="731"/>
      <c r="K943" s="731"/>
      <c r="L943" s="734"/>
      <c r="M943" s="731"/>
      <c r="N943" s="731"/>
      <c r="O943" s="730"/>
      <c r="P943" s="731"/>
      <c r="Q943" s="731"/>
      <c r="R943" s="734"/>
      <c r="S943" s="731"/>
      <c r="T943" s="731"/>
      <c r="U943" s="734"/>
      <c r="V943" s="731"/>
      <c r="W943" s="731"/>
      <c r="X943" s="734"/>
      <c r="Y943" s="731"/>
      <c r="Z943" s="731"/>
    </row>
    <row r="944">
      <c r="C944" s="734"/>
      <c r="D944" s="731"/>
      <c r="E944" s="731"/>
      <c r="F944" s="734"/>
      <c r="G944" s="731"/>
      <c r="H944" s="731"/>
      <c r="I944" s="734"/>
      <c r="J944" s="731"/>
      <c r="K944" s="731"/>
      <c r="L944" s="734"/>
      <c r="M944" s="731"/>
      <c r="N944" s="731"/>
      <c r="O944" s="730"/>
      <c r="P944" s="731"/>
      <c r="Q944" s="731"/>
      <c r="R944" s="734"/>
      <c r="S944" s="731"/>
      <c r="T944" s="731"/>
      <c r="U944" s="734"/>
      <c r="V944" s="731"/>
      <c r="W944" s="731"/>
      <c r="X944" s="734"/>
      <c r="Y944" s="731"/>
      <c r="Z944" s="731"/>
    </row>
    <row r="945">
      <c r="C945" s="734"/>
      <c r="D945" s="731"/>
      <c r="E945" s="731"/>
      <c r="F945" s="734"/>
      <c r="G945" s="731"/>
      <c r="H945" s="731"/>
      <c r="I945" s="734"/>
      <c r="J945" s="731"/>
      <c r="K945" s="731"/>
      <c r="L945" s="734"/>
      <c r="M945" s="731"/>
      <c r="N945" s="731"/>
      <c r="O945" s="730"/>
      <c r="P945" s="731"/>
      <c r="Q945" s="731"/>
      <c r="R945" s="734"/>
      <c r="S945" s="731"/>
      <c r="T945" s="731"/>
      <c r="U945" s="734"/>
      <c r="V945" s="731"/>
      <c r="W945" s="731"/>
      <c r="X945" s="734"/>
      <c r="Y945" s="731"/>
      <c r="Z945" s="731"/>
    </row>
    <row r="946">
      <c r="C946" s="734"/>
      <c r="D946" s="731"/>
      <c r="E946" s="731"/>
      <c r="F946" s="734"/>
      <c r="G946" s="731"/>
      <c r="H946" s="731"/>
      <c r="I946" s="734"/>
      <c r="J946" s="731"/>
      <c r="K946" s="731"/>
      <c r="L946" s="734"/>
      <c r="M946" s="731"/>
      <c r="N946" s="731"/>
      <c r="O946" s="730"/>
      <c r="P946" s="731"/>
      <c r="Q946" s="731"/>
      <c r="R946" s="734"/>
      <c r="S946" s="731"/>
      <c r="T946" s="731"/>
      <c r="U946" s="734"/>
      <c r="V946" s="731"/>
      <c r="W946" s="731"/>
      <c r="X946" s="734"/>
      <c r="Y946" s="731"/>
      <c r="Z946" s="731"/>
    </row>
    <row r="947">
      <c r="C947" s="734"/>
      <c r="D947" s="731"/>
      <c r="E947" s="731"/>
      <c r="F947" s="734"/>
      <c r="G947" s="731"/>
      <c r="H947" s="731"/>
      <c r="I947" s="734"/>
      <c r="J947" s="731"/>
      <c r="K947" s="731"/>
      <c r="L947" s="734"/>
      <c r="M947" s="731"/>
      <c r="N947" s="731"/>
      <c r="O947" s="730"/>
      <c r="P947" s="731"/>
      <c r="Q947" s="731"/>
      <c r="R947" s="734"/>
      <c r="S947" s="731"/>
      <c r="T947" s="731"/>
      <c r="U947" s="734"/>
      <c r="V947" s="731"/>
      <c r="W947" s="731"/>
      <c r="X947" s="734"/>
      <c r="Y947" s="731"/>
      <c r="Z947" s="731"/>
    </row>
    <row r="948">
      <c r="C948" s="734"/>
      <c r="D948" s="731"/>
      <c r="E948" s="731"/>
      <c r="F948" s="734"/>
      <c r="G948" s="731"/>
      <c r="H948" s="731"/>
      <c r="I948" s="734"/>
      <c r="J948" s="731"/>
      <c r="K948" s="731"/>
      <c r="L948" s="734"/>
      <c r="M948" s="731"/>
      <c r="N948" s="731"/>
      <c r="O948" s="730"/>
      <c r="P948" s="731"/>
      <c r="Q948" s="731"/>
      <c r="R948" s="734"/>
      <c r="S948" s="731"/>
      <c r="T948" s="731"/>
      <c r="U948" s="734"/>
      <c r="V948" s="731"/>
      <c r="W948" s="731"/>
      <c r="X948" s="734"/>
      <c r="Y948" s="731"/>
      <c r="Z948" s="731"/>
    </row>
    <row r="949">
      <c r="C949" s="734"/>
      <c r="D949" s="731"/>
      <c r="E949" s="731"/>
      <c r="F949" s="734"/>
      <c r="G949" s="731"/>
      <c r="H949" s="731"/>
      <c r="I949" s="734"/>
      <c r="J949" s="731"/>
      <c r="K949" s="731"/>
      <c r="L949" s="734"/>
      <c r="M949" s="731"/>
      <c r="N949" s="731"/>
      <c r="O949" s="730"/>
      <c r="P949" s="731"/>
      <c r="Q949" s="731"/>
      <c r="R949" s="734"/>
      <c r="S949" s="731"/>
      <c r="T949" s="731"/>
      <c r="U949" s="734"/>
      <c r="V949" s="731"/>
      <c r="W949" s="731"/>
      <c r="X949" s="734"/>
      <c r="Y949" s="731"/>
      <c r="Z949" s="731"/>
    </row>
    <row r="950">
      <c r="C950" s="734"/>
      <c r="D950" s="731"/>
      <c r="E950" s="731"/>
      <c r="F950" s="734"/>
      <c r="G950" s="731"/>
      <c r="H950" s="731"/>
      <c r="I950" s="734"/>
      <c r="J950" s="731"/>
      <c r="K950" s="731"/>
      <c r="L950" s="734"/>
      <c r="M950" s="731"/>
      <c r="N950" s="731"/>
      <c r="O950" s="730"/>
      <c r="P950" s="731"/>
      <c r="Q950" s="731"/>
      <c r="R950" s="734"/>
      <c r="S950" s="731"/>
      <c r="T950" s="731"/>
      <c r="U950" s="734"/>
      <c r="V950" s="731"/>
      <c r="W950" s="731"/>
      <c r="X950" s="734"/>
      <c r="Y950" s="731"/>
      <c r="Z950" s="731"/>
    </row>
    <row r="951">
      <c r="C951" s="734"/>
      <c r="D951" s="731"/>
      <c r="E951" s="731"/>
      <c r="F951" s="734"/>
      <c r="G951" s="731"/>
      <c r="H951" s="731"/>
      <c r="I951" s="734"/>
      <c r="J951" s="731"/>
      <c r="K951" s="731"/>
      <c r="L951" s="734"/>
      <c r="M951" s="731"/>
      <c r="N951" s="731"/>
      <c r="O951" s="730"/>
      <c r="P951" s="731"/>
      <c r="Q951" s="731"/>
      <c r="R951" s="734"/>
      <c r="S951" s="731"/>
      <c r="T951" s="731"/>
      <c r="U951" s="734"/>
      <c r="V951" s="731"/>
      <c r="W951" s="731"/>
      <c r="X951" s="734"/>
      <c r="Y951" s="731"/>
      <c r="Z951" s="731"/>
    </row>
    <row r="952">
      <c r="C952" s="734"/>
      <c r="D952" s="731"/>
      <c r="E952" s="731"/>
      <c r="F952" s="734"/>
      <c r="G952" s="731"/>
      <c r="H952" s="731"/>
      <c r="I952" s="734"/>
      <c r="J952" s="731"/>
      <c r="K952" s="731"/>
      <c r="L952" s="734"/>
      <c r="M952" s="731"/>
      <c r="N952" s="731"/>
      <c r="O952" s="730"/>
      <c r="P952" s="731"/>
      <c r="Q952" s="731"/>
      <c r="R952" s="734"/>
      <c r="S952" s="731"/>
      <c r="T952" s="731"/>
      <c r="U952" s="734"/>
      <c r="V952" s="731"/>
      <c r="W952" s="731"/>
      <c r="X952" s="734"/>
      <c r="Y952" s="731"/>
      <c r="Z952" s="731"/>
    </row>
    <row r="953">
      <c r="C953" s="734"/>
      <c r="D953" s="731"/>
      <c r="E953" s="731"/>
      <c r="F953" s="734"/>
      <c r="G953" s="731"/>
      <c r="H953" s="731"/>
      <c r="I953" s="734"/>
      <c r="J953" s="731"/>
      <c r="K953" s="731"/>
      <c r="L953" s="734"/>
      <c r="M953" s="731"/>
      <c r="N953" s="731"/>
      <c r="O953" s="730"/>
      <c r="P953" s="731"/>
      <c r="Q953" s="731"/>
      <c r="R953" s="734"/>
      <c r="S953" s="731"/>
      <c r="T953" s="731"/>
      <c r="U953" s="734"/>
      <c r="V953" s="731"/>
      <c r="W953" s="731"/>
      <c r="X953" s="734"/>
      <c r="Y953" s="731"/>
      <c r="Z953" s="731"/>
    </row>
    <row r="954">
      <c r="C954" s="734"/>
      <c r="D954" s="731"/>
      <c r="E954" s="731"/>
      <c r="F954" s="734"/>
      <c r="G954" s="731"/>
      <c r="H954" s="731"/>
      <c r="I954" s="734"/>
      <c r="J954" s="731"/>
      <c r="K954" s="731"/>
      <c r="L954" s="734"/>
      <c r="M954" s="731"/>
      <c r="N954" s="731"/>
      <c r="O954" s="730"/>
      <c r="P954" s="731"/>
      <c r="Q954" s="731"/>
      <c r="R954" s="734"/>
      <c r="S954" s="731"/>
      <c r="T954" s="731"/>
      <c r="U954" s="734"/>
      <c r="V954" s="731"/>
      <c r="W954" s="731"/>
      <c r="X954" s="734"/>
      <c r="Y954" s="731"/>
      <c r="Z954" s="731"/>
    </row>
    <row r="955">
      <c r="C955" s="734"/>
      <c r="D955" s="731"/>
      <c r="E955" s="731"/>
      <c r="F955" s="734"/>
      <c r="G955" s="731"/>
      <c r="H955" s="731"/>
      <c r="I955" s="734"/>
      <c r="J955" s="731"/>
      <c r="K955" s="731"/>
      <c r="L955" s="734"/>
      <c r="M955" s="731"/>
      <c r="N955" s="731"/>
      <c r="O955" s="730"/>
      <c r="P955" s="731"/>
      <c r="Q955" s="731"/>
      <c r="R955" s="734"/>
      <c r="S955" s="731"/>
      <c r="T955" s="731"/>
      <c r="U955" s="734"/>
      <c r="V955" s="731"/>
      <c r="W955" s="731"/>
      <c r="X955" s="734"/>
      <c r="Y955" s="731"/>
      <c r="Z955" s="731"/>
    </row>
    <row r="956">
      <c r="C956" s="734"/>
      <c r="D956" s="731"/>
      <c r="E956" s="731"/>
      <c r="F956" s="734"/>
      <c r="G956" s="731"/>
      <c r="H956" s="731"/>
      <c r="I956" s="734"/>
      <c r="J956" s="731"/>
      <c r="K956" s="731"/>
      <c r="L956" s="734"/>
      <c r="M956" s="731"/>
      <c r="N956" s="731"/>
      <c r="O956" s="730"/>
      <c r="P956" s="731"/>
      <c r="Q956" s="731"/>
      <c r="R956" s="734"/>
      <c r="S956" s="731"/>
      <c r="T956" s="731"/>
      <c r="U956" s="734"/>
      <c r="V956" s="731"/>
      <c r="W956" s="731"/>
      <c r="X956" s="734"/>
      <c r="Y956" s="731"/>
      <c r="Z956" s="731"/>
    </row>
    <row r="957">
      <c r="C957" s="734"/>
      <c r="D957" s="731"/>
      <c r="E957" s="731"/>
      <c r="F957" s="734"/>
      <c r="G957" s="731"/>
      <c r="H957" s="731"/>
      <c r="I957" s="734"/>
      <c r="J957" s="731"/>
      <c r="K957" s="731"/>
      <c r="L957" s="734"/>
      <c r="M957" s="731"/>
      <c r="N957" s="731"/>
      <c r="O957" s="730"/>
      <c r="P957" s="731"/>
      <c r="Q957" s="731"/>
      <c r="R957" s="734"/>
      <c r="S957" s="731"/>
      <c r="T957" s="731"/>
      <c r="U957" s="734"/>
      <c r="V957" s="731"/>
      <c r="W957" s="731"/>
      <c r="X957" s="734"/>
      <c r="Y957" s="731"/>
      <c r="Z957" s="731"/>
    </row>
    <row r="958">
      <c r="C958" s="734"/>
      <c r="D958" s="731"/>
      <c r="E958" s="731"/>
      <c r="F958" s="734"/>
      <c r="G958" s="731"/>
      <c r="H958" s="731"/>
      <c r="I958" s="734"/>
      <c r="J958" s="731"/>
      <c r="K958" s="731"/>
      <c r="L958" s="734"/>
      <c r="M958" s="731"/>
      <c r="N958" s="731"/>
      <c r="O958" s="730"/>
      <c r="P958" s="731"/>
      <c r="Q958" s="731"/>
      <c r="R958" s="734"/>
      <c r="S958" s="731"/>
      <c r="T958" s="731"/>
      <c r="U958" s="734"/>
      <c r="V958" s="731"/>
      <c r="W958" s="731"/>
      <c r="X958" s="734"/>
      <c r="Y958" s="731"/>
      <c r="Z958" s="731"/>
    </row>
    <row r="959">
      <c r="C959" s="734"/>
      <c r="D959" s="731"/>
      <c r="E959" s="731"/>
      <c r="F959" s="734"/>
      <c r="G959" s="731"/>
      <c r="H959" s="731"/>
      <c r="I959" s="734"/>
      <c r="J959" s="731"/>
      <c r="K959" s="731"/>
      <c r="L959" s="734"/>
      <c r="M959" s="731"/>
      <c r="N959" s="731"/>
      <c r="O959" s="730"/>
      <c r="P959" s="731"/>
      <c r="Q959" s="731"/>
      <c r="R959" s="734"/>
      <c r="S959" s="731"/>
      <c r="T959" s="731"/>
      <c r="U959" s="734"/>
      <c r="V959" s="731"/>
      <c r="W959" s="731"/>
      <c r="X959" s="734"/>
      <c r="Y959" s="731"/>
      <c r="Z959" s="731"/>
    </row>
    <row r="960">
      <c r="C960" s="734"/>
      <c r="D960" s="731"/>
      <c r="E960" s="731"/>
      <c r="F960" s="734"/>
      <c r="G960" s="731"/>
      <c r="H960" s="731"/>
      <c r="I960" s="734"/>
      <c r="J960" s="731"/>
      <c r="K960" s="731"/>
      <c r="L960" s="734"/>
      <c r="M960" s="731"/>
      <c r="N960" s="731"/>
      <c r="O960" s="730"/>
      <c r="P960" s="731"/>
      <c r="Q960" s="731"/>
      <c r="R960" s="734"/>
      <c r="S960" s="731"/>
      <c r="T960" s="731"/>
      <c r="U960" s="734"/>
      <c r="V960" s="731"/>
      <c r="W960" s="731"/>
      <c r="X960" s="734"/>
      <c r="Y960" s="731"/>
      <c r="Z960" s="731"/>
    </row>
    <row r="961">
      <c r="C961" s="734"/>
      <c r="D961" s="731"/>
      <c r="E961" s="731"/>
      <c r="F961" s="734"/>
      <c r="G961" s="731"/>
      <c r="H961" s="731"/>
      <c r="I961" s="734"/>
      <c r="J961" s="731"/>
      <c r="K961" s="731"/>
      <c r="L961" s="734"/>
      <c r="M961" s="731"/>
      <c r="N961" s="731"/>
      <c r="O961" s="730"/>
      <c r="P961" s="731"/>
      <c r="Q961" s="731"/>
      <c r="R961" s="734"/>
      <c r="S961" s="731"/>
      <c r="T961" s="731"/>
      <c r="U961" s="734"/>
      <c r="V961" s="731"/>
      <c r="W961" s="731"/>
      <c r="X961" s="734"/>
      <c r="Y961" s="731"/>
      <c r="Z961" s="731"/>
    </row>
    <row r="962">
      <c r="C962" s="734"/>
      <c r="D962" s="731"/>
      <c r="E962" s="731"/>
      <c r="F962" s="734"/>
      <c r="G962" s="731"/>
      <c r="H962" s="731"/>
      <c r="I962" s="734"/>
      <c r="J962" s="731"/>
      <c r="K962" s="731"/>
      <c r="L962" s="734"/>
      <c r="M962" s="731"/>
      <c r="N962" s="731"/>
      <c r="O962" s="730"/>
      <c r="P962" s="731"/>
      <c r="Q962" s="731"/>
      <c r="R962" s="734"/>
      <c r="S962" s="731"/>
      <c r="T962" s="731"/>
      <c r="U962" s="734"/>
      <c r="V962" s="731"/>
      <c r="W962" s="731"/>
      <c r="X962" s="734"/>
      <c r="Y962" s="731"/>
      <c r="Z962" s="731"/>
    </row>
    <row r="963">
      <c r="C963" s="734"/>
      <c r="D963" s="731"/>
      <c r="E963" s="731"/>
      <c r="F963" s="734"/>
      <c r="G963" s="731"/>
      <c r="H963" s="731"/>
      <c r="I963" s="734"/>
      <c r="J963" s="731"/>
      <c r="K963" s="731"/>
      <c r="L963" s="734"/>
      <c r="M963" s="731"/>
      <c r="N963" s="731"/>
      <c r="O963" s="730"/>
      <c r="P963" s="731"/>
      <c r="Q963" s="731"/>
      <c r="R963" s="734"/>
      <c r="S963" s="731"/>
      <c r="T963" s="731"/>
      <c r="U963" s="734"/>
      <c r="V963" s="731"/>
      <c r="W963" s="731"/>
      <c r="X963" s="734"/>
      <c r="Y963" s="731"/>
      <c r="Z963" s="731"/>
    </row>
    <row r="964">
      <c r="C964" s="734"/>
      <c r="D964" s="731"/>
      <c r="E964" s="731"/>
      <c r="F964" s="734"/>
      <c r="G964" s="731"/>
      <c r="H964" s="731"/>
      <c r="I964" s="734"/>
      <c r="J964" s="731"/>
      <c r="K964" s="731"/>
      <c r="L964" s="734"/>
      <c r="M964" s="731"/>
      <c r="N964" s="731"/>
      <c r="O964" s="730"/>
      <c r="P964" s="731"/>
      <c r="Q964" s="731"/>
      <c r="R964" s="734"/>
      <c r="S964" s="731"/>
      <c r="T964" s="731"/>
      <c r="U964" s="734"/>
      <c r="V964" s="731"/>
      <c r="W964" s="731"/>
      <c r="X964" s="734"/>
      <c r="Y964" s="731"/>
      <c r="Z964" s="731"/>
    </row>
    <row r="965">
      <c r="C965" s="734"/>
      <c r="D965" s="731"/>
      <c r="E965" s="731"/>
      <c r="F965" s="734"/>
      <c r="G965" s="731"/>
      <c r="H965" s="731"/>
      <c r="I965" s="734"/>
      <c r="J965" s="731"/>
      <c r="K965" s="731"/>
      <c r="L965" s="734"/>
      <c r="M965" s="731"/>
      <c r="N965" s="731"/>
      <c r="O965" s="730"/>
      <c r="P965" s="731"/>
      <c r="Q965" s="731"/>
      <c r="R965" s="734"/>
      <c r="S965" s="731"/>
      <c r="T965" s="731"/>
      <c r="U965" s="734"/>
      <c r="V965" s="731"/>
      <c r="W965" s="731"/>
      <c r="X965" s="734"/>
      <c r="Y965" s="731"/>
      <c r="Z965" s="731"/>
    </row>
    <row r="966">
      <c r="C966" s="734"/>
      <c r="D966" s="731"/>
      <c r="E966" s="731"/>
      <c r="F966" s="734"/>
      <c r="G966" s="731"/>
      <c r="H966" s="731"/>
      <c r="I966" s="734"/>
      <c r="J966" s="731"/>
      <c r="K966" s="731"/>
      <c r="L966" s="734"/>
      <c r="M966" s="731"/>
      <c r="N966" s="731"/>
      <c r="O966" s="730"/>
      <c r="P966" s="731"/>
      <c r="Q966" s="731"/>
      <c r="R966" s="734"/>
      <c r="S966" s="731"/>
      <c r="T966" s="731"/>
      <c r="U966" s="734"/>
      <c r="V966" s="731"/>
      <c r="W966" s="731"/>
      <c r="X966" s="734"/>
      <c r="Y966" s="731"/>
      <c r="Z966" s="731"/>
    </row>
    <row r="967">
      <c r="C967" s="734"/>
      <c r="D967" s="731"/>
      <c r="E967" s="731"/>
      <c r="F967" s="734"/>
      <c r="G967" s="731"/>
      <c r="H967" s="731"/>
      <c r="I967" s="734"/>
      <c r="J967" s="731"/>
      <c r="K967" s="731"/>
      <c r="L967" s="734"/>
      <c r="M967" s="731"/>
      <c r="N967" s="731"/>
      <c r="O967" s="730"/>
      <c r="P967" s="731"/>
      <c r="Q967" s="731"/>
      <c r="R967" s="734"/>
      <c r="S967" s="731"/>
      <c r="T967" s="731"/>
      <c r="U967" s="734"/>
      <c r="V967" s="731"/>
      <c r="W967" s="731"/>
      <c r="X967" s="734"/>
      <c r="Y967" s="731"/>
      <c r="Z967" s="731"/>
    </row>
    <row r="968">
      <c r="C968" s="734"/>
      <c r="D968" s="731"/>
      <c r="E968" s="731"/>
      <c r="F968" s="734"/>
      <c r="G968" s="731"/>
      <c r="H968" s="731"/>
      <c r="I968" s="734"/>
      <c r="J968" s="731"/>
      <c r="K968" s="731"/>
      <c r="L968" s="734"/>
      <c r="M968" s="731"/>
      <c r="N968" s="731"/>
      <c r="O968" s="730"/>
      <c r="P968" s="731"/>
      <c r="Q968" s="731"/>
      <c r="R968" s="734"/>
      <c r="S968" s="731"/>
      <c r="T968" s="731"/>
      <c r="U968" s="734"/>
      <c r="V968" s="731"/>
      <c r="W968" s="731"/>
      <c r="X968" s="734"/>
      <c r="Y968" s="731"/>
      <c r="Z968" s="731"/>
    </row>
    <row r="969">
      <c r="C969" s="734"/>
      <c r="D969" s="731"/>
      <c r="E969" s="731"/>
      <c r="F969" s="734"/>
      <c r="G969" s="731"/>
      <c r="H969" s="731"/>
      <c r="I969" s="734"/>
      <c r="J969" s="731"/>
      <c r="K969" s="731"/>
      <c r="L969" s="734"/>
      <c r="M969" s="731"/>
      <c r="N969" s="731"/>
      <c r="O969" s="730"/>
      <c r="P969" s="731"/>
      <c r="Q969" s="731"/>
      <c r="R969" s="734"/>
      <c r="S969" s="731"/>
      <c r="T969" s="731"/>
      <c r="U969" s="734"/>
      <c r="V969" s="731"/>
      <c r="W969" s="731"/>
      <c r="X969" s="734"/>
      <c r="Y969" s="731"/>
      <c r="Z969" s="731"/>
    </row>
    <row r="970">
      <c r="C970" s="734"/>
      <c r="D970" s="731"/>
      <c r="E970" s="731"/>
      <c r="F970" s="734"/>
      <c r="G970" s="731"/>
      <c r="H970" s="731"/>
      <c r="I970" s="734"/>
      <c r="J970" s="731"/>
      <c r="K970" s="731"/>
      <c r="L970" s="734"/>
      <c r="M970" s="731"/>
      <c r="N970" s="731"/>
      <c r="O970" s="730"/>
      <c r="P970" s="731"/>
      <c r="Q970" s="731"/>
      <c r="R970" s="734"/>
      <c r="S970" s="731"/>
      <c r="T970" s="731"/>
      <c r="U970" s="734"/>
      <c r="V970" s="731"/>
      <c r="W970" s="731"/>
      <c r="X970" s="734"/>
      <c r="Y970" s="731"/>
      <c r="Z970" s="731"/>
    </row>
    <row r="971">
      <c r="C971" s="734"/>
      <c r="D971" s="731"/>
      <c r="E971" s="731"/>
      <c r="F971" s="734"/>
      <c r="G971" s="731"/>
      <c r="H971" s="731"/>
      <c r="I971" s="734"/>
      <c r="J971" s="731"/>
      <c r="K971" s="731"/>
      <c r="L971" s="734"/>
      <c r="M971" s="731"/>
      <c r="N971" s="731"/>
      <c r="O971" s="730"/>
      <c r="P971" s="731"/>
      <c r="Q971" s="731"/>
      <c r="R971" s="734"/>
      <c r="S971" s="731"/>
      <c r="T971" s="731"/>
      <c r="U971" s="734"/>
      <c r="V971" s="731"/>
      <c r="W971" s="731"/>
      <c r="X971" s="734"/>
      <c r="Y971" s="731"/>
      <c r="Z971" s="731"/>
    </row>
    <row r="972">
      <c r="C972" s="734"/>
      <c r="D972" s="731"/>
      <c r="E972" s="731"/>
      <c r="F972" s="734"/>
      <c r="G972" s="731"/>
      <c r="H972" s="731"/>
      <c r="I972" s="734"/>
      <c r="J972" s="731"/>
      <c r="K972" s="731"/>
      <c r="L972" s="734"/>
      <c r="M972" s="731"/>
      <c r="N972" s="731"/>
      <c r="O972" s="730"/>
      <c r="P972" s="731"/>
      <c r="Q972" s="731"/>
      <c r="R972" s="734"/>
      <c r="S972" s="731"/>
      <c r="T972" s="731"/>
      <c r="U972" s="734"/>
      <c r="V972" s="731"/>
      <c r="W972" s="731"/>
      <c r="X972" s="734"/>
      <c r="Y972" s="731"/>
      <c r="Z972" s="731"/>
    </row>
    <row r="973">
      <c r="C973" s="734"/>
      <c r="D973" s="731"/>
      <c r="E973" s="731"/>
      <c r="F973" s="734"/>
      <c r="G973" s="731"/>
      <c r="H973" s="731"/>
      <c r="I973" s="734"/>
      <c r="J973" s="731"/>
      <c r="K973" s="731"/>
      <c r="L973" s="734"/>
      <c r="M973" s="731"/>
      <c r="N973" s="731"/>
      <c r="O973" s="730"/>
      <c r="P973" s="731"/>
      <c r="Q973" s="731"/>
      <c r="R973" s="734"/>
      <c r="S973" s="731"/>
      <c r="T973" s="731"/>
      <c r="U973" s="734"/>
      <c r="V973" s="731"/>
      <c r="W973" s="731"/>
      <c r="X973" s="734"/>
      <c r="Y973" s="731"/>
      <c r="Z973" s="731"/>
    </row>
    <row r="974">
      <c r="C974" s="734"/>
      <c r="D974" s="731"/>
      <c r="E974" s="731"/>
      <c r="F974" s="734"/>
      <c r="G974" s="731"/>
      <c r="H974" s="731"/>
      <c r="I974" s="734"/>
      <c r="J974" s="731"/>
      <c r="K974" s="731"/>
      <c r="L974" s="734"/>
      <c r="M974" s="731"/>
      <c r="N974" s="731"/>
      <c r="O974" s="730"/>
      <c r="P974" s="731"/>
      <c r="Q974" s="731"/>
      <c r="R974" s="734"/>
      <c r="S974" s="731"/>
      <c r="T974" s="731"/>
      <c r="U974" s="734"/>
      <c r="V974" s="731"/>
      <c r="W974" s="731"/>
      <c r="X974" s="734"/>
      <c r="Y974" s="731"/>
      <c r="Z974" s="731"/>
    </row>
    <row r="975">
      <c r="C975" s="734"/>
      <c r="D975" s="731"/>
      <c r="E975" s="731"/>
      <c r="F975" s="734"/>
      <c r="G975" s="731"/>
      <c r="H975" s="731"/>
      <c r="I975" s="734"/>
      <c r="J975" s="731"/>
      <c r="K975" s="731"/>
      <c r="L975" s="734"/>
      <c r="M975" s="731"/>
      <c r="N975" s="731"/>
      <c r="O975" s="730"/>
      <c r="P975" s="731"/>
      <c r="Q975" s="731"/>
      <c r="R975" s="734"/>
      <c r="S975" s="731"/>
      <c r="T975" s="731"/>
      <c r="U975" s="734"/>
      <c r="V975" s="731"/>
      <c r="W975" s="731"/>
      <c r="X975" s="734"/>
      <c r="Y975" s="731"/>
      <c r="Z975" s="731"/>
    </row>
    <row r="976">
      <c r="C976" s="734"/>
      <c r="D976" s="731"/>
      <c r="E976" s="731"/>
      <c r="F976" s="734"/>
      <c r="G976" s="731"/>
      <c r="H976" s="731"/>
      <c r="I976" s="734"/>
      <c r="J976" s="731"/>
      <c r="K976" s="731"/>
      <c r="L976" s="734"/>
      <c r="M976" s="731"/>
      <c r="N976" s="731"/>
      <c r="O976" s="730"/>
      <c r="P976" s="731"/>
      <c r="Q976" s="731"/>
      <c r="R976" s="734"/>
      <c r="S976" s="731"/>
      <c r="T976" s="731"/>
      <c r="U976" s="734"/>
      <c r="V976" s="731"/>
      <c r="W976" s="731"/>
      <c r="X976" s="734"/>
      <c r="Y976" s="731"/>
      <c r="Z976" s="731"/>
    </row>
    <row r="977">
      <c r="C977" s="734"/>
      <c r="D977" s="731"/>
      <c r="E977" s="731"/>
      <c r="F977" s="734"/>
      <c r="G977" s="731"/>
      <c r="H977" s="731"/>
      <c r="I977" s="734"/>
      <c r="J977" s="731"/>
      <c r="K977" s="731"/>
      <c r="L977" s="734"/>
      <c r="M977" s="731"/>
      <c r="N977" s="731"/>
      <c r="O977" s="730"/>
      <c r="P977" s="731"/>
      <c r="Q977" s="731"/>
      <c r="R977" s="734"/>
      <c r="S977" s="731"/>
      <c r="T977" s="731"/>
      <c r="U977" s="734"/>
      <c r="V977" s="731"/>
      <c r="W977" s="731"/>
      <c r="X977" s="734"/>
      <c r="Y977" s="731"/>
      <c r="Z977" s="731"/>
    </row>
    <row r="978">
      <c r="C978" s="734"/>
      <c r="D978" s="731"/>
      <c r="E978" s="731"/>
      <c r="F978" s="734"/>
      <c r="G978" s="731"/>
      <c r="H978" s="731"/>
      <c r="I978" s="734"/>
      <c r="J978" s="731"/>
      <c r="K978" s="731"/>
      <c r="L978" s="734"/>
      <c r="M978" s="731"/>
      <c r="N978" s="731"/>
      <c r="O978" s="730"/>
      <c r="P978" s="731"/>
      <c r="Q978" s="731"/>
      <c r="R978" s="734"/>
      <c r="S978" s="731"/>
      <c r="T978" s="731"/>
      <c r="U978" s="734"/>
      <c r="V978" s="731"/>
      <c r="W978" s="731"/>
      <c r="X978" s="734"/>
      <c r="Y978" s="731"/>
      <c r="Z978" s="731"/>
    </row>
    <row r="979">
      <c r="C979" s="734"/>
      <c r="D979" s="731"/>
      <c r="E979" s="731"/>
      <c r="F979" s="734"/>
      <c r="G979" s="731"/>
      <c r="H979" s="731"/>
      <c r="I979" s="734"/>
      <c r="J979" s="731"/>
      <c r="K979" s="731"/>
      <c r="L979" s="734"/>
      <c r="M979" s="731"/>
      <c r="N979" s="731"/>
      <c r="O979" s="730"/>
      <c r="P979" s="731"/>
      <c r="Q979" s="731"/>
      <c r="R979" s="734"/>
      <c r="S979" s="731"/>
      <c r="T979" s="731"/>
      <c r="U979" s="734"/>
      <c r="V979" s="731"/>
      <c r="W979" s="731"/>
      <c r="X979" s="734"/>
      <c r="Y979" s="731"/>
      <c r="Z979" s="731"/>
    </row>
    <row r="980">
      <c r="C980" s="734"/>
      <c r="D980" s="731"/>
      <c r="E980" s="731"/>
      <c r="F980" s="734"/>
      <c r="G980" s="731"/>
      <c r="H980" s="731"/>
      <c r="I980" s="734"/>
      <c r="J980" s="731"/>
      <c r="K980" s="731"/>
      <c r="L980" s="734"/>
      <c r="M980" s="731"/>
      <c r="N980" s="731"/>
      <c r="O980" s="730"/>
      <c r="P980" s="731"/>
      <c r="Q980" s="731"/>
      <c r="R980" s="734"/>
      <c r="S980" s="731"/>
      <c r="T980" s="731"/>
      <c r="U980" s="734"/>
      <c r="V980" s="731"/>
      <c r="W980" s="731"/>
      <c r="X980" s="734"/>
      <c r="Y980" s="731"/>
      <c r="Z980" s="731"/>
    </row>
    <row r="981">
      <c r="C981" s="734"/>
      <c r="D981" s="731"/>
      <c r="E981" s="731"/>
      <c r="F981" s="734"/>
      <c r="G981" s="731"/>
      <c r="H981" s="731"/>
      <c r="I981" s="734"/>
      <c r="J981" s="731"/>
      <c r="K981" s="731"/>
      <c r="L981" s="734"/>
      <c r="M981" s="731"/>
      <c r="N981" s="731"/>
      <c r="O981" s="730"/>
      <c r="P981" s="731"/>
      <c r="Q981" s="731"/>
      <c r="R981" s="734"/>
      <c r="S981" s="731"/>
      <c r="T981" s="731"/>
      <c r="U981" s="734"/>
      <c r="V981" s="731"/>
      <c r="W981" s="731"/>
      <c r="X981" s="734"/>
      <c r="Y981" s="731"/>
      <c r="Z981" s="731"/>
    </row>
    <row r="982">
      <c r="C982" s="734"/>
      <c r="D982" s="731"/>
      <c r="E982" s="731"/>
      <c r="F982" s="734"/>
      <c r="G982" s="731"/>
      <c r="H982" s="731"/>
      <c r="I982" s="734"/>
      <c r="J982" s="731"/>
      <c r="K982" s="731"/>
      <c r="L982" s="734"/>
      <c r="M982" s="731"/>
      <c r="N982" s="731"/>
      <c r="O982" s="730"/>
      <c r="P982" s="731"/>
      <c r="Q982" s="731"/>
      <c r="R982" s="734"/>
      <c r="S982" s="731"/>
      <c r="T982" s="731"/>
      <c r="U982" s="734"/>
      <c r="V982" s="731"/>
      <c r="W982" s="731"/>
      <c r="X982" s="734"/>
      <c r="Y982" s="731"/>
      <c r="Z982" s="731"/>
    </row>
    <row r="983">
      <c r="C983" s="734"/>
      <c r="D983" s="731"/>
      <c r="E983" s="731"/>
      <c r="F983" s="734"/>
      <c r="G983" s="731"/>
      <c r="H983" s="731"/>
      <c r="I983" s="734"/>
      <c r="J983" s="731"/>
      <c r="K983" s="731"/>
      <c r="L983" s="734"/>
      <c r="M983" s="731"/>
      <c r="N983" s="731"/>
      <c r="O983" s="730"/>
      <c r="P983" s="731"/>
      <c r="Q983" s="731"/>
      <c r="R983" s="734"/>
      <c r="S983" s="731"/>
      <c r="T983" s="731"/>
      <c r="U983" s="734"/>
      <c r="V983" s="731"/>
      <c r="W983" s="731"/>
      <c r="X983" s="734"/>
      <c r="Y983" s="731"/>
      <c r="Z983" s="731"/>
    </row>
    <row r="984">
      <c r="C984" s="734"/>
      <c r="D984" s="731"/>
      <c r="E984" s="731"/>
      <c r="F984" s="734"/>
      <c r="G984" s="731"/>
      <c r="H984" s="731"/>
      <c r="I984" s="734"/>
      <c r="J984" s="731"/>
      <c r="K984" s="731"/>
      <c r="L984" s="734"/>
      <c r="M984" s="731"/>
      <c r="N984" s="731"/>
      <c r="O984" s="730"/>
      <c r="P984" s="731"/>
      <c r="Q984" s="731"/>
      <c r="R984" s="734"/>
      <c r="S984" s="731"/>
      <c r="T984" s="731"/>
      <c r="U984" s="734"/>
      <c r="V984" s="731"/>
      <c r="W984" s="731"/>
      <c r="X984" s="734"/>
      <c r="Y984" s="731"/>
      <c r="Z984" s="731"/>
    </row>
    <row r="985">
      <c r="C985" s="734"/>
      <c r="D985" s="731"/>
      <c r="E985" s="731"/>
      <c r="F985" s="734"/>
      <c r="G985" s="731"/>
      <c r="H985" s="731"/>
      <c r="I985" s="734"/>
      <c r="J985" s="731"/>
      <c r="K985" s="731"/>
      <c r="L985" s="734"/>
      <c r="M985" s="731"/>
      <c r="N985" s="731"/>
      <c r="O985" s="730"/>
      <c r="P985" s="731"/>
      <c r="Q985" s="731"/>
      <c r="R985" s="734"/>
      <c r="S985" s="731"/>
      <c r="T985" s="731"/>
      <c r="U985" s="734"/>
      <c r="V985" s="731"/>
      <c r="W985" s="731"/>
      <c r="X985" s="734"/>
      <c r="Y985" s="731"/>
      <c r="Z985" s="731"/>
    </row>
    <row r="986">
      <c r="C986" s="734"/>
      <c r="D986" s="731"/>
      <c r="E986" s="731"/>
      <c r="F986" s="734"/>
      <c r="G986" s="731"/>
      <c r="H986" s="731"/>
      <c r="I986" s="734"/>
      <c r="J986" s="731"/>
      <c r="K986" s="731"/>
      <c r="L986" s="734"/>
      <c r="M986" s="731"/>
      <c r="N986" s="731"/>
      <c r="O986" s="730"/>
      <c r="P986" s="731"/>
      <c r="Q986" s="731"/>
      <c r="R986" s="734"/>
      <c r="S986" s="731"/>
      <c r="T986" s="731"/>
      <c r="U986" s="734"/>
      <c r="V986" s="731"/>
      <c r="W986" s="731"/>
      <c r="X986" s="734"/>
      <c r="Y986" s="731"/>
      <c r="Z986" s="731"/>
    </row>
    <row r="987">
      <c r="C987" s="734"/>
      <c r="D987" s="731"/>
      <c r="E987" s="731"/>
      <c r="F987" s="734"/>
      <c r="G987" s="731"/>
      <c r="H987" s="731"/>
      <c r="I987" s="734"/>
      <c r="J987" s="731"/>
      <c r="K987" s="731"/>
      <c r="L987" s="734"/>
      <c r="M987" s="731"/>
      <c r="N987" s="731"/>
      <c r="O987" s="730"/>
      <c r="P987" s="731"/>
      <c r="Q987" s="731"/>
      <c r="R987" s="734"/>
      <c r="S987" s="731"/>
      <c r="T987" s="731"/>
      <c r="U987" s="734"/>
      <c r="V987" s="731"/>
      <c r="W987" s="731"/>
      <c r="X987" s="734"/>
      <c r="Y987" s="731"/>
      <c r="Z987" s="731"/>
    </row>
    <row r="988">
      <c r="C988" s="734"/>
      <c r="D988" s="731"/>
      <c r="E988" s="731"/>
      <c r="F988" s="734"/>
      <c r="G988" s="731"/>
      <c r="H988" s="731"/>
      <c r="I988" s="734"/>
      <c r="J988" s="731"/>
      <c r="K988" s="731"/>
      <c r="L988" s="734"/>
      <c r="M988" s="731"/>
      <c r="N988" s="731"/>
      <c r="O988" s="730"/>
      <c r="P988" s="731"/>
      <c r="Q988" s="731"/>
      <c r="R988" s="734"/>
      <c r="S988" s="731"/>
      <c r="T988" s="731"/>
      <c r="U988" s="734"/>
      <c r="V988" s="731"/>
      <c r="W988" s="731"/>
      <c r="X988" s="734"/>
      <c r="Y988" s="731"/>
      <c r="Z988" s="731"/>
    </row>
    <row r="989">
      <c r="C989" s="734"/>
      <c r="D989" s="731"/>
      <c r="E989" s="731"/>
      <c r="F989" s="734"/>
      <c r="G989" s="731"/>
      <c r="H989" s="731"/>
      <c r="I989" s="734"/>
      <c r="J989" s="731"/>
      <c r="K989" s="731"/>
      <c r="L989" s="734"/>
      <c r="M989" s="731"/>
      <c r="N989" s="731"/>
      <c r="O989" s="730"/>
      <c r="P989" s="731"/>
      <c r="Q989" s="731"/>
      <c r="R989" s="734"/>
      <c r="S989" s="731"/>
      <c r="T989" s="731"/>
      <c r="U989" s="734"/>
      <c r="V989" s="731"/>
      <c r="W989" s="731"/>
      <c r="X989" s="734"/>
      <c r="Y989" s="731"/>
      <c r="Z989" s="731"/>
    </row>
    <row r="990">
      <c r="C990" s="734"/>
      <c r="D990" s="731"/>
      <c r="E990" s="731"/>
      <c r="F990" s="734"/>
      <c r="G990" s="731"/>
      <c r="H990" s="731"/>
      <c r="I990" s="734"/>
      <c r="J990" s="731"/>
      <c r="K990" s="731"/>
      <c r="L990" s="734"/>
      <c r="M990" s="731"/>
      <c r="N990" s="731"/>
      <c r="O990" s="730"/>
      <c r="P990" s="731"/>
      <c r="Q990" s="731"/>
      <c r="R990" s="734"/>
      <c r="S990" s="731"/>
      <c r="T990" s="731"/>
      <c r="U990" s="734"/>
      <c r="V990" s="731"/>
      <c r="W990" s="731"/>
      <c r="X990" s="734"/>
      <c r="Y990" s="731"/>
      <c r="Z990" s="731"/>
    </row>
    <row r="991">
      <c r="C991" s="734"/>
      <c r="D991" s="731"/>
      <c r="E991" s="731"/>
      <c r="F991" s="734"/>
      <c r="G991" s="731"/>
      <c r="H991" s="731"/>
      <c r="I991" s="734"/>
      <c r="J991" s="731"/>
      <c r="K991" s="731"/>
      <c r="L991" s="734"/>
      <c r="M991" s="731"/>
      <c r="N991" s="731"/>
      <c r="O991" s="730"/>
      <c r="P991" s="731"/>
      <c r="Q991" s="731"/>
      <c r="R991" s="734"/>
      <c r="S991" s="731"/>
      <c r="T991" s="731"/>
      <c r="U991" s="734"/>
      <c r="V991" s="731"/>
      <c r="W991" s="731"/>
      <c r="X991" s="734"/>
      <c r="Y991" s="731"/>
      <c r="Z991" s="731"/>
    </row>
    <row r="992">
      <c r="C992" s="734"/>
      <c r="D992" s="731"/>
      <c r="E992" s="731"/>
      <c r="F992" s="734"/>
      <c r="G992" s="731"/>
      <c r="H992" s="731"/>
      <c r="I992" s="734"/>
      <c r="J992" s="731"/>
      <c r="K992" s="731"/>
      <c r="L992" s="734"/>
      <c r="M992" s="731"/>
      <c r="N992" s="731"/>
      <c r="O992" s="730"/>
      <c r="P992" s="731"/>
      <c r="Q992" s="731"/>
      <c r="R992" s="734"/>
      <c r="S992" s="731"/>
      <c r="T992" s="731"/>
      <c r="U992" s="734"/>
      <c r="V992" s="731"/>
      <c r="W992" s="731"/>
      <c r="X992" s="734"/>
      <c r="Y992" s="731"/>
      <c r="Z992" s="731"/>
    </row>
    <row r="993">
      <c r="C993" s="734"/>
      <c r="D993" s="731"/>
      <c r="E993" s="731"/>
      <c r="F993" s="734"/>
      <c r="G993" s="731"/>
      <c r="H993" s="731"/>
      <c r="I993" s="734"/>
      <c r="J993" s="731"/>
      <c r="K993" s="731"/>
      <c r="L993" s="734"/>
      <c r="M993" s="731"/>
      <c r="N993" s="731"/>
      <c r="O993" s="730"/>
      <c r="P993" s="731"/>
      <c r="Q993" s="731"/>
      <c r="R993" s="734"/>
      <c r="S993" s="731"/>
      <c r="T993" s="731"/>
      <c r="U993" s="734"/>
      <c r="V993" s="731"/>
      <c r="W993" s="731"/>
      <c r="X993" s="734"/>
      <c r="Y993" s="731"/>
      <c r="Z993" s="731"/>
    </row>
    <row r="994">
      <c r="C994" s="734"/>
      <c r="D994" s="731"/>
      <c r="E994" s="731"/>
      <c r="F994" s="734"/>
      <c r="G994" s="731"/>
      <c r="H994" s="731"/>
      <c r="I994" s="734"/>
      <c r="J994" s="731"/>
      <c r="K994" s="731"/>
      <c r="L994" s="734"/>
      <c r="M994" s="731"/>
      <c r="N994" s="731"/>
      <c r="O994" s="730"/>
      <c r="P994" s="731"/>
      <c r="Q994" s="731"/>
      <c r="R994" s="734"/>
      <c r="S994" s="731"/>
      <c r="T994" s="731"/>
      <c r="U994" s="734"/>
      <c r="V994" s="731"/>
      <c r="W994" s="731"/>
      <c r="X994" s="734"/>
      <c r="Y994" s="731"/>
      <c r="Z994" s="731"/>
    </row>
    <row r="995">
      <c r="C995" s="734"/>
      <c r="D995" s="731"/>
      <c r="E995" s="731"/>
      <c r="F995" s="734"/>
      <c r="G995" s="731"/>
      <c r="H995" s="731"/>
      <c r="I995" s="734"/>
      <c r="J995" s="731"/>
      <c r="K995" s="731"/>
      <c r="L995" s="734"/>
      <c r="M995" s="731"/>
      <c r="N995" s="731"/>
      <c r="O995" s="730"/>
      <c r="P995" s="731"/>
      <c r="Q995" s="731"/>
      <c r="R995" s="734"/>
      <c r="S995" s="731"/>
      <c r="T995" s="731"/>
      <c r="U995" s="734"/>
      <c r="V995" s="731"/>
      <c r="W995" s="731"/>
      <c r="X995" s="734"/>
      <c r="Y995" s="731"/>
      <c r="Z995" s="731"/>
    </row>
    <row r="996">
      <c r="C996" s="734"/>
      <c r="D996" s="731"/>
      <c r="E996" s="731"/>
      <c r="F996" s="734"/>
      <c r="G996" s="731"/>
      <c r="H996" s="731"/>
      <c r="I996" s="734"/>
      <c r="J996" s="731"/>
      <c r="K996" s="731"/>
      <c r="L996" s="734"/>
      <c r="M996" s="731"/>
      <c r="N996" s="731"/>
      <c r="O996" s="730"/>
      <c r="P996" s="731"/>
      <c r="Q996" s="731"/>
      <c r="R996" s="734"/>
      <c r="S996" s="731"/>
      <c r="T996" s="731"/>
      <c r="U996" s="734"/>
      <c r="V996" s="731"/>
      <c r="W996" s="731"/>
      <c r="X996" s="734"/>
      <c r="Y996" s="731"/>
      <c r="Z996" s="731"/>
    </row>
    <row r="997">
      <c r="C997" s="734"/>
      <c r="D997" s="731"/>
      <c r="E997" s="731"/>
      <c r="F997" s="734"/>
      <c r="G997" s="731"/>
      <c r="H997" s="731"/>
      <c r="I997" s="734"/>
      <c r="J997" s="731"/>
      <c r="K997" s="731"/>
      <c r="L997" s="734"/>
      <c r="M997" s="731"/>
      <c r="N997" s="731"/>
      <c r="O997" s="730"/>
      <c r="P997" s="731"/>
      <c r="Q997" s="731"/>
      <c r="R997" s="734"/>
      <c r="S997" s="731"/>
      <c r="T997" s="731"/>
      <c r="U997" s="734"/>
      <c r="V997" s="731"/>
      <c r="W997" s="731"/>
      <c r="X997" s="734"/>
      <c r="Y997" s="731"/>
      <c r="Z997" s="731"/>
    </row>
    <row r="998">
      <c r="C998" s="734"/>
      <c r="D998" s="731"/>
      <c r="E998" s="731"/>
      <c r="F998" s="734"/>
      <c r="G998" s="731"/>
      <c r="H998" s="731"/>
      <c r="I998" s="734"/>
      <c r="J998" s="731"/>
      <c r="K998" s="731"/>
      <c r="L998" s="734"/>
      <c r="M998" s="731"/>
      <c r="N998" s="731"/>
      <c r="O998" s="730"/>
      <c r="P998" s="731"/>
      <c r="Q998" s="731"/>
      <c r="R998" s="734"/>
      <c r="S998" s="731"/>
      <c r="T998" s="731"/>
      <c r="U998" s="734"/>
      <c r="V998" s="731"/>
      <c r="W998" s="731"/>
      <c r="X998" s="734"/>
      <c r="Y998" s="731"/>
      <c r="Z998" s="731"/>
    </row>
    <row r="999">
      <c r="C999" s="734"/>
      <c r="D999" s="731"/>
      <c r="E999" s="731"/>
      <c r="F999" s="734"/>
      <c r="G999" s="731"/>
      <c r="H999" s="731"/>
      <c r="I999" s="734"/>
      <c r="J999" s="731"/>
      <c r="K999" s="731"/>
      <c r="L999" s="734"/>
      <c r="M999" s="731"/>
      <c r="N999" s="731"/>
      <c r="O999" s="730"/>
      <c r="P999" s="731"/>
      <c r="Q999" s="731"/>
      <c r="R999" s="734"/>
      <c r="S999" s="731"/>
      <c r="T999" s="731"/>
      <c r="U999" s="734"/>
      <c r="V999" s="731"/>
      <c r="W999" s="731"/>
      <c r="X999" s="734"/>
      <c r="Y999" s="731"/>
      <c r="Z999" s="731"/>
    </row>
    <row r="1000">
      <c r="C1000" s="734"/>
      <c r="D1000" s="731"/>
      <c r="E1000" s="731"/>
      <c r="F1000" s="734"/>
      <c r="G1000" s="731"/>
      <c r="H1000" s="731"/>
      <c r="I1000" s="734"/>
      <c r="J1000" s="731"/>
      <c r="K1000" s="731"/>
      <c r="L1000" s="734"/>
      <c r="M1000" s="731"/>
      <c r="N1000" s="731"/>
      <c r="O1000" s="730"/>
      <c r="P1000" s="731"/>
      <c r="Q1000" s="731"/>
      <c r="R1000" s="734"/>
      <c r="S1000" s="731"/>
      <c r="T1000" s="731"/>
      <c r="U1000" s="734"/>
      <c r="V1000" s="731"/>
      <c r="W1000" s="731"/>
      <c r="X1000" s="734"/>
      <c r="Y1000" s="731"/>
      <c r="Z1000" s="731"/>
    </row>
    <row r="1001">
      <c r="C1001" s="734"/>
      <c r="D1001" s="731"/>
      <c r="E1001" s="731"/>
      <c r="F1001" s="734"/>
      <c r="G1001" s="731"/>
      <c r="H1001" s="731"/>
      <c r="I1001" s="734"/>
      <c r="J1001" s="731"/>
      <c r="K1001" s="731"/>
      <c r="L1001" s="734"/>
      <c r="M1001" s="731"/>
      <c r="N1001" s="731"/>
      <c r="O1001" s="730"/>
      <c r="P1001" s="731"/>
      <c r="Q1001" s="731"/>
      <c r="R1001" s="734"/>
      <c r="S1001" s="731"/>
      <c r="T1001" s="731"/>
      <c r="U1001" s="734"/>
      <c r="V1001" s="731"/>
      <c r="W1001" s="731"/>
      <c r="X1001" s="734"/>
      <c r="Y1001" s="731"/>
      <c r="Z1001" s="731"/>
    </row>
    <row r="1002">
      <c r="C1002" s="734"/>
      <c r="D1002" s="731"/>
      <c r="E1002" s="731"/>
      <c r="F1002" s="734"/>
      <c r="G1002" s="731"/>
      <c r="H1002" s="731"/>
      <c r="I1002" s="734"/>
      <c r="J1002" s="731"/>
      <c r="K1002" s="731"/>
      <c r="L1002" s="734"/>
      <c r="M1002" s="731"/>
      <c r="N1002" s="731"/>
      <c r="O1002" s="730"/>
      <c r="P1002" s="731"/>
      <c r="Q1002" s="731"/>
      <c r="R1002" s="734"/>
      <c r="S1002" s="731"/>
      <c r="T1002" s="731"/>
      <c r="U1002" s="734"/>
      <c r="V1002" s="731"/>
      <c r="W1002" s="731"/>
      <c r="X1002" s="734"/>
      <c r="Y1002" s="731"/>
      <c r="Z1002" s="731"/>
    </row>
    <row r="1003">
      <c r="C1003" s="734"/>
      <c r="D1003" s="731"/>
      <c r="E1003" s="731"/>
      <c r="F1003" s="734"/>
      <c r="G1003" s="731"/>
      <c r="H1003" s="731"/>
      <c r="I1003" s="734"/>
      <c r="J1003" s="731"/>
      <c r="K1003" s="731"/>
      <c r="L1003" s="734"/>
      <c r="M1003" s="731"/>
      <c r="N1003" s="731"/>
      <c r="O1003" s="730"/>
      <c r="P1003" s="731"/>
      <c r="Q1003" s="731"/>
      <c r="R1003" s="734"/>
      <c r="S1003" s="731"/>
      <c r="T1003" s="731"/>
      <c r="U1003" s="734"/>
      <c r="V1003" s="731"/>
      <c r="W1003" s="731"/>
      <c r="X1003" s="734"/>
      <c r="Y1003" s="731"/>
      <c r="Z1003" s="731"/>
    </row>
    <row r="1004">
      <c r="C1004" s="734"/>
      <c r="D1004" s="731"/>
      <c r="E1004" s="731"/>
      <c r="F1004" s="734"/>
      <c r="G1004" s="731"/>
      <c r="H1004" s="731"/>
      <c r="I1004" s="734"/>
      <c r="J1004" s="731"/>
      <c r="K1004" s="731"/>
      <c r="L1004" s="734"/>
      <c r="M1004" s="731"/>
      <c r="N1004" s="731"/>
      <c r="O1004" s="730"/>
      <c r="P1004" s="731"/>
      <c r="Q1004" s="731"/>
      <c r="R1004" s="734"/>
      <c r="S1004" s="731"/>
      <c r="T1004" s="731"/>
      <c r="U1004" s="734"/>
      <c r="V1004" s="731"/>
      <c r="W1004" s="731"/>
      <c r="X1004" s="734"/>
      <c r="Y1004" s="731"/>
      <c r="Z1004" s="731"/>
    </row>
    <row r="1005">
      <c r="C1005" s="734"/>
      <c r="D1005" s="731"/>
      <c r="E1005" s="731"/>
      <c r="F1005" s="734"/>
      <c r="G1005" s="731"/>
      <c r="H1005" s="731"/>
      <c r="I1005" s="734"/>
      <c r="J1005" s="731"/>
      <c r="K1005" s="731"/>
      <c r="L1005" s="734"/>
      <c r="M1005" s="731"/>
      <c r="N1005" s="731"/>
      <c r="O1005" s="730"/>
      <c r="P1005" s="731"/>
      <c r="Q1005" s="731"/>
      <c r="R1005" s="734"/>
      <c r="S1005" s="731"/>
      <c r="T1005" s="731"/>
      <c r="U1005" s="734"/>
      <c r="V1005" s="731"/>
      <c r="W1005" s="731"/>
      <c r="X1005" s="734"/>
      <c r="Y1005" s="731"/>
      <c r="Z1005" s="731"/>
    </row>
    <row r="1006">
      <c r="C1006" s="734"/>
      <c r="D1006" s="731"/>
      <c r="E1006" s="731"/>
      <c r="F1006" s="734"/>
      <c r="G1006" s="731"/>
      <c r="H1006" s="731"/>
      <c r="I1006" s="734"/>
      <c r="J1006" s="731"/>
      <c r="K1006" s="731"/>
      <c r="L1006" s="734"/>
      <c r="M1006" s="731"/>
      <c r="N1006" s="731"/>
      <c r="O1006" s="730"/>
      <c r="P1006" s="731"/>
      <c r="Q1006" s="731"/>
      <c r="R1006" s="734"/>
      <c r="S1006" s="731"/>
      <c r="T1006" s="731"/>
      <c r="U1006" s="734"/>
      <c r="V1006" s="731"/>
      <c r="W1006" s="731"/>
      <c r="X1006" s="734"/>
      <c r="Y1006" s="731"/>
      <c r="Z1006" s="731"/>
    </row>
    <row r="1007">
      <c r="C1007" s="734"/>
      <c r="D1007" s="731"/>
      <c r="E1007" s="731"/>
      <c r="F1007" s="734"/>
      <c r="G1007" s="731"/>
      <c r="H1007" s="731"/>
      <c r="I1007" s="734"/>
      <c r="J1007" s="731"/>
      <c r="K1007" s="731"/>
      <c r="L1007" s="734"/>
      <c r="M1007" s="731"/>
      <c r="N1007" s="731"/>
      <c r="O1007" s="730"/>
      <c r="P1007" s="731"/>
      <c r="Q1007" s="731"/>
      <c r="R1007" s="734"/>
      <c r="S1007" s="731"/>
      <c r="T1007" s="731"/>
      <c r="U1007" s="734"/>
      <c r="V1007" s="731"/>
      <c r="W1007" s="731"/>
      <c r="X1007" s="734"/>
      <c r="Y1007" s="731"/>
      <c r="Z1007" s="731"/>
    </row>
    <row r="1008">
      <c r="C1008" s="734"/>
      <c r="D1008" s="731"/>
      <c r="E1008" s="731"/>
      <c r="F1008" s="734"/>
      <c r="G1008" s="731"/>
      <c r="H1008" s="731"/>
      <c r="I1008" s="734"/>
      <c r="J1008" s="731"/>
      <c r="K1008" s="731"/>
      <c r="L1008" s="734"/>
      <c r="M1008" s="731"/>
      <c r="N1008" s="731"/>
      <c r="O1008" s="730"/>
      <c r="P1008" s="731"/>
      <c r="Q1008" s="731"/>
      <c r="R1008" s="734"/>
      <c r="S1008" s="731"/>
      <c r="T1008" s="731"/>
      <c r="U1008" s="734"/>
      <c r="V1008" s="731"/>
      <c r="W1008" s="731"/>
      <c r="X1008" s="734"/>
      <c r="Y1008" s="731"/>
      <c r="Z1008" s="731"/>
    </row>
    <row r="1009">
      <c r="C1009" s="734"/>
      <c r="D1009" s="731"/>
      <c r="E1009" s="731"/>
      <c r="F1009" s="734"/>
      <c r="G1009" s="731"/>
      <c r="H1009" s="731"/>
      <c r="I1009" s="734"/>
      <c r="J1009" s="731"/>
      <c r="K1009" s="731"/>
      <c r="L1009" s="734"/>
      <c r="M1009" s="731"/>
      <c r="N1009" s="731"/>
      <c r="O1009" s="730"/>
      <c r="P1009" s="731"/>
      <c r="Q1009" s="731"/>
      <c r="R1009" s="734"/>
      <c r="S1009" s="731"/>
      <c r="T1009" s="731"/>
      <c r="U1009" s="734"/>
      <c r="V1009" s="731"/>
      <c r="W1009" s="731"/>
      <c r="X1009" s="734"/>
      <c r="Y1009" s="731"/>
      <c r="Z1009" s="731"/>
    </row>
    <row r="1010">
      <c r="C1010" s="734"/>
      <c r="D1010" s="731"/>
      <c r="E1010" s="731"/>
      <c r="F1010" s="734"/>
      <c r="G1010" s="731"/>
      <c r="H1010" s="731"/>
      <c r="I1010" s="734"/>
      <c r="J1010" s="731"/>
      <c r="K1010" s="731"/>
      <c r="L1010" s="734"/>
      <c r="M1010" s="731"/>
      <c r="N1010" s="731"/>
      <c r="O1010" s="730"/>
      <c r="P1010" s="731"/>
      <c r="Q1010" s="731"/>
      <c r="R1010" s="734"/>
      <c r="S1010" s="731"/>
      <c r="T1010" s="731"/>
      <c r="U1010" s="734"/>
      <c r="V1010" s="731"/>
      <c r="W1010" s="731"/>
      <c r="X1010" s="734"/>
      <c r="Y1010" s="731"/>
      <c r="Z1010" s="731"/>
    </row>
    <row r="1011">
      <c r="C1011" s="734"/>
      <c r="D1011" s="731"/>
      <c r="E1011" s="731"/>
      <c r="F1011" s="734"/>
      <c r="G1011" s="731"/>
      <c r="H1011" s="731"/>
      <c r="I1011" s="734"/>
      <c r="J1011" s="731"/>
      <c r="K1011" s="731"/>
      <c r="L1011" s="734"/>
      <c r="M1011" s="731"/>
      <c r="N1011" s="731"/>
      <c r="O1011" s="730"/>
      <c r="P1011" s="731"/>
      <c r="Q1011" s="731"/>
      <c r="R1011" s="734"/>
      <c r="S1011" s="731"/>
      <c r="T1011" s="731"/>
      <c r="U1011" s="734"/>
      <c r="V1011" s="731"/>
      <c r="W1011" s="731"/>
      <c r="X1011" s="734"/>
      <c r="Y1011" s="731"/>
      <c r="Z1011" s="731"/>
    </row>
    <row r="1012">
      <c r="C1012" s="734"/>
      <c r="D1012" s="731"/>
      <c r="E1012" s="731"/>
      <c r="F1012" s="734"/>
      <c r="G1012" s="731"/>
      <c r="H1012" s="731"/>
      <c r="I1012" s="734"/>
      <c r="J1012" s="731"/>
      <c r="K1012" s="731"/>
      <c r="L1012" s="734"/>
      <c r="M1012" s="731"/>
      <c r="N1012" s="731"/>
      <c r="O1012" s="730"/>
      <c r="P1012" s="731"/>
      <c r="Q1012" s="731"/>
      <c r="R1012" s="734"/>
      <c r="S1012" s="731"/>
      <c r="T1012" s="731"/>
      <c r="U1012" s="734"/>
      <c r="V1012" s="731"/>
      <c r="W1012" s="731"/>
      <c r="X1012" s="734"/>
      <c r="Y1012" s="731"/>
      <c r="Z1012" s="731"/>
    </row>
    <row r="1013">
      <c r="C1013" s="734"/>
      <c r="D1013" s="731"/>
      <c r="E1013" s="731"/>
      <c r="F1013" s="734"/>
      <c r="G1013" s="731"/>
      <c r="H1013" s="731"/>
      <c r="I1013" s="734"/>
      <c r="J1013" s="731"/>
      <c r="K1013" s="731"/>
      <c r="L1013" s="734"/>
      <c r="M1013" s="731"/>
      <c r="N1013" s="731"/>
      <c r="O1013" s="730"/>
      <c r="P1013" s="731"/>
      <c r="Q1013" s="731"/>
      <c r="R1013" s="734"/>
      <c r="S1013" s="731"/>
      <c r="T1013" s="731"/>
      <c r="U1013" s="734"/>
      <c r="V1013" s="731"/>
      <c r="W1013" s="731"/>
      <c r="X1013" s="734"/>
      <c r="Y1013" s="731"/>
      <c r="Z1013" s="731"/>
    </row>
    <row r="1014">
      <c r="C1014" s="734"/>
      <c r="D1014" s="731"/>
      <c r="E1014" s="731"/>
      <c r="F1014" s="734"/>
      <c r="G1014" s="731"/>
      <c r="H1014" s="731"/>
      <c r="I1014" s="734"/>
      <c r="J1014" s="731"/>
      <c r="K1014" s="731"/>
      <c r="L1014" s="734"/>
      <c r="M1014" s="731"/>
      <c r="N1014" s="731"/>
      <c r="O1014" s="730"/>
      <c r="P1014" s="731"/>
      <c r="Q1014" s="731"/>
      <c r="R1014" s="734"/>
      <c r="S1014" s="731"/>
      <c r="T1014" s="731"/>
      <c r="U1014" s="734"/>
      <c r="V1014" s="731"/>
      <c r="W1014" s="731"/>
      <c r="X1014" s="734"/>
      <c r="Y1014" s="731"/>
      <c r="Z1014" s="731"/>
    </row>
    <row r="1015">
      <c r="C1015" s="734"/>
      <c r="D1015" s="731"/>
      <c r="E1015" s="731"/>
      <c r="F1015" s="734"/>
      <c r="G1015" s="731"/>
      <c r="H1015" s="731"/>
      <c r="I1015" s="734"/>
      <c r="J1015" s="731"/>
      <c r="K1015" s="731"/>
      <c r="L1015" s="734"/>
      <c r="M1015" s="731"/>
      <c r="N1015" s="731"/>
      <c r="O1015" s="730"/>
      <c r="P1015" s="731"/>
      <c r="Q1015" s="731"/>
      <c r="R1015" s="734"/>
      <c r="S1015" s="731"/>
      <c r="T1015" s="731"/>
      <c r="U1015" s="734"/>
      <c r="V1015" s="731"/>
      <c r="W1015" s="731"/>
      <c r="X1015" s="734"/>
      <c r="Y1015" s="731"/>
      <c r="Z1015" s="731"/>
    </row>
    <row r="1016">
      <c r="C1016" s="734"/>
      <c r="D1016" s="731"/>
      <c r="E1016" s="731"/>
      <c r="F1016" s="734"/>
      <c r="G1016" s="731"/>
      <c r="H1016" s="731"/>
      <c r="I1016" s="734"/>
      <c r="J1016" s="731"/>
      <c r="K1016" s="731"/>
      <c r="L1016" s="734"/>
      <c r="M1016" s="731"/>
      <c r="N1016" s="731"/>
      <c r="O1016" s="730"/>
      <c r="P1016" s="731"/>
      <c r="Q1016" s="731"/>
      <c r="R1016" s="734"/>
      <c r="S1016" s="731"/>
      <c r="T1016" s="731"/>
      <c r="U1016" s="734"/>
      <c r="V1016" s="731"/>
      <c r="W1016" s="731"/>
      <c r="X1016" s="734"/>
      <c r="Y1016" s="731"/>
      <c r="Z1016" s="731"/>
    </row>
    <row r="1017">
      <c r="C1017" s="734"/>
      <c r="D1017" s="731"/>
      <c r="E1017" s="731"/>
      <c r="F1017" s="734"/>
      <c r="G1017" s="731"/>
      <c r="H1017" s="731"/>
      <c r="I1017" s="734"/>
      <c r="J1017" s="731"/>
      <c r="K1017" s="731"/>
      <c r="L1017" s="734"/>
      <c r="M1017" s="731"/>
      <c r="N1017" s="731"/>
      <c r="O1017" s="730"/>
      <c r="P1017" s="731"/>
      <c r="Q1017" s="731"/>
      <c r="R1017" s="734"/>
      <c r="S1017" s="731"/>
      <c r="T1017" s="731"/>
      <c r="U1017" s="734"/>
      <c r="V1017" s="731"/>
      <c r="W1017" s="731"/>
      <c r="X1017" s="734"/>
      <c r="Y1017" s="731"/>
      <c r="Z1017" s="731"/>
    </row>
    <row r="1018">
      <c r="C1018" s="734"/>
      <c r="D1018" s="731"/>
      <c r="E1018" s="731"/>
      <c r="F1018" s="734"/>
      <c r="G1018" s="731"/>
      <c r="H1018" s="731"/>
      <c r="I1018" s="734"/>
      <c r="J1018" s="731"/>
      <c r="K1018" s="731"/>
      <c r="L1018" s="734"/>
      <c r="M1018" s="731"/>
      <c r="N1018" s="731"/>
      <c r="O1018" s="730"/>
      <c r="P1018" s="731"/>
      <c r="Q1018" s="731"/>
      <c r="R1018" s="734"/>
      <c r="S1018" s="731"/>
      <c r="T1018" s="731"/>
      <c r="U1018" s="734"/>
      <c r="V1018" s="731"/>
      <c r="W1018" s="731"/>
      <c r="X1018" s="734"/>
      <c r="Y1018" s="731"/>
      <c r="Z1018" s="731"/>
    </row>
    <row r="1019">
      <c r="C1019" s="734"/>
      <c r="D1019" s="731"/>
      <c r="E1019" s="731"/>
      <c r="F1019" s="734"/>
      <c r="G1019" s="731"/>
      <c r="H1019" s="731"/>
      <c r="I1019" s="734"/>
      <c r="J1019" s="731"/>
      <c r="K1019" s="731"/>
      <c r="L1019" s="734"/>
      <c r="M1019" s="731"/>
      <c r="N1019" s="731"/>
      <c r="O1019" s="730"/>
      <c r="P1019" s="731"/>
      <c r="Q1019" s="731"/>
      <c r="R1019" s="734"/>
      <c r="S1019" s="731"/>
      <c r="T1019" s="731"/>
      <c r="U1019" s="734"/>
      <c r="V1019" s="731"/>
      <c r="W1019" s="731"/>
      <c r="X1019" s="734"/>
      <c r="Y1019" s="731"/>
      <c r="Z1019" s="731"/>
    </row>
    <row r="1020">
      <c r="C1020" s="734"/>
      <c r="D1020" s="731"/>
      <c r="E1020" s="731"/>
      <c r="F1020" s="734"/>
      <c r="G1020" s="731"/>
      <c r="H1020" s="731"/>
      <c r="I1020" s="734"/>
      <c r="J1020" s="731"/>
      <c r="K1020" s="731"/>
      <c r="L1020" s="734"/>
      <c r="M1020" s="731"/>
      <c r="N1020" s="731"/>
      <c r="O1020" s="730"/>
      <c r="P1020" s="731"/>
      <c r="Q1020" s="731"/>
      <c r="R1020" s="734"/>
      <c r="S1020" s="731"/>
      <c r="T1020" s="731"/>
      <c r="U1020" s="734"/>
      <c r="V1020" s="731"/>
      <c r="W1020" s="731"/>
      <c r="X1020" s="734"/>
      <c r="Y1020" s="731"/>
      <c r="Z1020" s="731"/>
    </row>
    <row r="1021">
      <c r="C1021" s="734"/>
      <c r="D1021" s="731"/>
      <c r="E1021" s="731"/>
      <c r="F1021" s="734"/>
      <c r="G1021" s="731"/>
      <c r="H1021" s="731"/>
      <c r="I1021" s="734"/>
      <c r="J1021" s="731"/>
      <c r="K1021" s="731"/>
      <c r="L1021" s="734"/>
      <c r="M1021" s="731"/>
      <c r="N1021" s="731"/>
      <c r="O1021" s="730"/>
      <c r="P1021" s="731"/>
      <c r="Q1021" s="731"/>
      <c r="R1021" s="734"/>
      <c r="S1021" s="731"/>
      <c r="T1021" s="731"/>
      <c r="U1021" s="734"/>
      <c r="V1021" s="731"/>
      <c r="W1021" s="731"/>
      <c r="X1021" s="734"/>
      <c r="Y1021" s="731"/>
      <c r="Z1021" s="731"/>
    </row>
    <row r="1022">
      <c r="C1022" s="734"/>
      <c r="D1022" s="731"/>
      <c r="E1022" s="731"/>
      <c r="F1022" s="734"/>
      <c r="G1022" s="731"/>
      <c r="H1022" s="731"/>
      <c r="I1022" s="734"/>
      <c r="J1022" s="731"/>
      <c r="K1022" s="731"/>
      <c r="L1022" s="734"/>
      <c r="M1022" s="731"/>
      <c r="N1022" s="731"/>
      <c r="O1022" s="730"/>
      <c r="P1022" s="731"/>
      <c r="Q1022" s="731"/>
      <c r="R1022" s="734"/>
      <c r="S1022" s="731"/>
      <c r="T1022" s="731"/>
      <c r="U1022" s="734"/>
      <c r="V1022" s="731"/>
      <c r="W1022" s="731"/>
      <c r="X1022" s="734"/>
      <c r="Y1022" s="731"/>
      <c r="Z1022" s="731"/>
    </row>
    <row r="1023">
      <c r="C1023" s="734"/>
      <c r="D1023" s="731"/>
      <c r="E1023" s="731"/>
      <c r="F1023" s="734"/>
      <c r="G1023" s="731"/>
      <c r="H1023" s="731"/>
      <c r="I1023" s="734"/>
      <c r="J1023" s="731"/>
      <c r="K1023" s="731"/>
      <c r="L1023" s="734"/>
      <c r="M1023" s="731"/>
      <c r="N1023" s="731"/>
      <c r="O1023" s="730"/>
      <c r="P1023" s="731"/>
      <c r="Q1023" s="731"/>
      <c r="R1023" s="734"/>
      <c r="S1023" s="731"/>
      <c r="T1023" s="731"/>
      <c r="U1023" s="734"/>
      <c r="V1023" s="731"/>
      <c r="W1023" s="731"/>
      <c r="X1023" s="734"/>
      <c r="Y1023" s="731"/>
      <c r="Z1023" s="731"/>
    </row>
    <row r="1024">
      <c r="C1024" s="734"/>
      <c r="D1024" s="731"/>
      <c r="E1024" s="731"/>
      <c r="F1024" s="734"/>
      <c r="G1024" s="731"/>
      <c r="H1024" s="731"/>
      <c r="I1024" s="734"/>
      <c r="J1024" s="731"/>
      <c r="K1024" s="731"/>
      <c r="L1024" s="734"/>
      <c r="M1024" s="731"/>
      <c r="N1024" s="731"/>
      <c r="O1024" s="730"/>
      <c r="P1024" s="731"/>
      <c r="Q1024" s="731"/>
      <c r="R1024" s="734"/>
      <c r="S1024" s="731"/>
      <c r="T1024" s="731"/>
      <c r="U1024" s="734"/>
      <c r="V1024" s="731"/>
      <c r="W1024" s="731"/>
      <c r="X1024" s="734"/>
      <c r="Y1024" s="731"/>
      <c r="Z1024" s="731"/>
    </row>
    <row r="1025">
      <c r="C1025" s="734"/>
      <c r="D1025" s="731"/>
      <c r="E1025" s="731"/>
      <c r="F1025" s="734"/>
      <c r="G1025" s="731"/>
      <c r="H1025" s="731"/>
      <c r="I1025" s="734"/>
      <c r="J1025" s="731"/>
      <c r="K1025" s="731"/>
      <c r="L1025" s="734"/>
      <c r="M1025" s="731"/>
      <c r="N1025" s="731"/>
      <c r="O1025" s="730"/>
      <c r="P1025" s="731"/>
      <c r="Q1025" s="731"/>
      <c r="R1025" s="734"/>
      <c r="S1025" s="731"/>
      <c r="T1025" s="731"/>
      <c r="U1025" s="734"/>
      <c r="V1025" s="731"/>
      <c r="W1025" s="731"/>
      <c r="X1025" s="734"/>
      <c r="Y1025" s="731"/>
      <c r="Z1025" s="731"/>
    </row>
    <row r="1026">
      <c r="C1026" s="734"/>
      <c r="D1026" s="731"/>
      <c r="E1026" s="731"/>
      <c r="F1026" s="734"/>
      <c r="G1026" s="731"/>
      <c r="H1026" s="731"/>
      <c r="I1026" s="734"/>
      <c r="J1026" s="731"/>
      <c r="K1026" s="731"/>
      <c r="L1026" s="734"/>
      <c r="M1026" s="731"/>
      <c r="N1026" s="731"/>
      <c r="O1026" s="730"/>
      <c r="P1026" s="731"/>
      <c r="Q1026" s="731"/>
      <c r="R1026" s="734"/>
      <c r="S1026" s="731"/>
      <c r="T1026" s="731"/>
      <c r="U1026" s="734"/>
      <c r="V1026" s="731"/>
      <c r="W1026" s="731"/>
      <c r="X1026" s="734"/>
      <c r="Y1026" s="731"/>
      <c r="Z1026" s="731"/>
    </row>
    <row r="1027">
      <c r="C1027" s="734"/>
      <c r="D1027" s="731"/>
      <c r="E1027" s="731"/>
      <c r="F1027" s="734"/>
      <c r="G1027" s="731"/>
      <c r="H1027" s="731"/>
      <c r="I1027" s="734"/>
      <c r="J1027" s="731"/>
      <c r="K1027" s="731"/>
      <c r="L1027" s="734"/>
      <c r="M1027" s="731"/>
      <c r="N1027" s="731"/>
      <c r="O1027" s="730"/>
      <c r="P1027" s="731"/>
      <c r="Q1027" s="731"/>
      <c r="R1027" s="734"/>
      <c r="S1027" s="731"/>
      <c r="T1027" s="731"/>
      <c r="U1027" s="734"/>
      <c r="V1027" s="731"/>
      <c r="W1027" s="731"/>
      <c r="X1027" s="734"/>
      <c r="Y1027" s="731"/>
      <c r="Z1027" s="731"/>
    </row>
    <row r="1028">
      <c r="C1028" s="734"/>
      <c r="D1028" s="731"/>
      <c r="E1028" s="731"/>
      <c r="F1028" s="734"/>
      <c r="G1028" s="731"/>
      <c r="H1028" s="731"/>
      <c r="I1028" s="734"/>
      <c r="J1028" s="731"/>
      <c r="K1028" s="731"/>
      <c r="L1028" s="734"/>
      <c r="M1028" s="731"/>
      <c r="N1028" s="731"/>
      <c r="O1028" s="730"/>
      <c r="P1028" s="731"/>
      <c r="Q1028" s="731"/>
      <c r="R1028" s="734"/>
      <c r="S1028" s="731"/>
      <c r="T1028" s="731"/>
      <c r="U1028" s="734"/>
      <c r="V1028" s="731"/>
      <c r="W1028" s="731"/>
      <c r="X1028" s="734"/>
      <c r="Y1028" s="731"/>
      <c r="Z1028" s="731"/>
    </row>
    <row r="1029">
      <c r="C1029" s="734"/>
      <c r="D1029" s="731"/>
      <c r="E1029" s="731"/>
      <c r="F1029" s="734"/>
      <c r="G1029" s="731"/>
      <c r="H1029" s="731"/>
      <c r="I1029" s="734"/>
      <c r="J1029" s="731"/>
      <c r="K1029" s="731"/>
      <c r="L1029" s="734"/>
      <c r="M1029" s="731"/>
      <c r="N1029" s="731"/>
      <c r="O1029" s="730"/>
      <c r="P1029" s="731"/>
      <c r="Q1029" s="731"/>
      <c r="R1029" s="734"/>
      <c r="S1029" s="731"/>
      <c r="T1029" s="731"/>
      <c r="U1029" s="734"/>
      <c r="V1029" s="731"/>
      <c r="W1029" s="731"/>
      <c r="X1029" s="734"/>
      <c r="Y1029" s="731"/>
      <c r="Z1029" s="731"/>
    </row>
    <row r="1030">
      <c r="C1030" s="734"/>
      <c r="D1030" s="731"/>
      <c r="E1030" s="731"/>
      <c r="F1030" s="734"/>
      <c r="G1030" s="731"/>
      <c r="H1030" s="731"/>
      <c r="I1030" s="734"/>
      <c r="J1030" s="731"/>
      <c r="K1030" s="731"/>
      <c r="L1030" s="734"/>
      <c r="M1030" s="731"/>
      <c r="N1030" s="731"/>
      <c r="O1030" s="730"/>
      <c r="P1030" s="731"/>
      <c r="Q1030" s="731"/>
      <c r="R1030" s="734"/>
      <c r="S1030" s="731"/>
      <c r="T1030" s="731"/>
      <c r="U1030" s="734"/>
      <c r="V1030" s="731"/>
      <c r="W1030" s="731"/>
      <c r="X1030" s="734"/>
      <c r="Y1030" s="731"/>
      <c r="Z1030" s="731"/>
    </row>
    <row r="1031">
      <c r="C1031" s="734"/>
      <c r="D1031" s="731"/>
      <c r="E1031" s="731"/>
      <c r="F1031" s="734"/>
      <c r="G1031" s="731"/>
      <c r="H1031" s="731"/>
      <c r="I1031" s="734"/>
      <c r="J1031" s="731"/>
      <c r="K1031" s="731"/>
      <c r="L1031" s="734"/>
      <c r="M1031" s="731"/>
      <c r="N1031" s="731"/>
      <c r="O1031" s="730"/>
      <c r="P1031" s="731"/>
      <c r="Q1031" s="731"/>
      <c r="R1031" s="734"/>
      <c r="S1031" s="731"/>
      <c r="T1031" s="731"/>
      <c r="U1031" s="734"/>
      <c r="V1031" s="731"/>
      <c r="W1031" s="731"/>
      <c r="X1031" s="734"/>
      <c r="Y1031" s="731"/>
      <c r="Z1031" s="731"/>
    </row>
    <row r="1032">
      <c r="C1032" s="734"/>
      <c r="D1032" s="731"/>
      <c r="E1032" s="731"/>
      <c r="F1032" s="734"/>
      <c r="G1032" s="731"/>
      <c r="H1032" s="731"/>
      <c r="I1032" s="734"/>
      <c r="J1032" s="731"/>
      <c r="K1032" s="731"/>
      <c r="L1032" s="734"/>
      <c r="M1032" s="731"/>
      <c r="N1032" s="731"/>
      <c r="O1032" s="730"/>
      <c r="P1032" s="731"/>
      <c r="Q1032" s="731"/>
      <c r="R1032" s="734"/>
      <c r="S1032" s="731"/>
      <c r="T1032" s="731"/>
      <c r="U1032" s="734"/>
      <c r="V1032" s="731"/>
      <c r="W1032" s="731"/>
      <c r="X1032" s="734"/>
      <c r="Y1032" s="731"/>
      <c r="Z1032" s="731"/>
    </row>
    <row r="1033">
      <c r="C1033" s="734"/>
      <c r="D1033" s="731"/>
      <c r="E1033" s="731"/>
      <c r="F1033" s="734"/>
      <c r="G1033" s="731"/>
      <c r="H1033" s="731"/>
      <c r="I1033" s="734"/>
      <c r="J1033" s="731"/>
      <c r="K1033" s="731"/>
      <c r="L1033" s="734"/>
      <c r="M1033" s="731"/>
      <c r="N1033" s="731"/>
      <c r="O1033" s="730"/>
      <c r="P1033" s="731"/>
      <c r="Q1033" s="731"/>
      <c r="R1033" s="734"/>
      <c r="S1033" s="731"/>
      <c r="T1033" s="731"/>
      <c r="U1033" s="734"/>
      <c r="V1033" s="731"/>
      <c r="W1033" s="731"/>
      <c r="X1033" s="734"/>
      <c r="Y1033" s="731"/>
      <c r="Z1033" s="731"/>
    </row>
    <row r="1034">
      <c r="C1034" s="734"/>
      <c r="D1034" s="731"/>
      <c r="E1034" s="731"/>
      <c r="F1034" s="734"/>
      <c r="G1034" s="731"/>
      <c r="H1034" s="731"/>
      <c r="I1034" s="734"/>
      <c r="J1034" s="731"/>
      <c r="K1034" s="731"/>
      <c r="L1034" s="734"/>
      <c r="M1034" s="731"/>
      <c r="N1034" s="731"/>
      <c r="O1034" s="730"/>
      <c r="P1034" s="731"/>
      <c r="Q1034" s="731"/>
      <c r="R1034" s="734"/>
      <c r="S1034" s="731"/>
      <c r="T1034" s="731"/>
      <c r="U1034" s="734"/>
      <c r="V1034" s="731"/>
      <c r="W1034" s="731"/>
      <c r="X1034" s="734"/>
      <c r="Y1034" s="731"/>
      <c r="Z1034" s="731"/>
    </row>
    <row r="1035">
      <c r="C1035" s="734"/>
      <c r="D1035" s="731"/>
      <c r="E1035" s="731"/>
      <c r="F1035" s="734"/>
      <c r="G1035" s="731"/>
      <c r="H1035" s="731"/>
      <c r="I1035" s="734"/>
      <c r="J1035" s="731"/>
      <c r="K1035" s="731"/>
      <c r="L1035" s="734"/>
      <c r="M1035" s="731"/>
      <c r="N1035" s="731"/>
      <c r="O1035" s="730"/>
      <c r="P1035" s="731"/>
      <c r="Q1035" s="731"/>
      <c r="R1035" s="734"/>
      <c r="S1035" s="731"/>
      <c r="T1035" s="731"/>
      <c r="U1035" s="734"/>
      <c r="V1035" s="731"/>
      <c r="W1035" s="731"/>
      <c r="X1035" s="734"/>
      <c r="Y1035" s="731"/>
      <c r="Z1035" s="731"/>
    </row>
    <row r="1036">
      <c r="C1036" s="734"/>
      <c r="D1036" s="731"/>
      <c r="E1036" s="731"/>
      <c r="F1036" s="734"/>
      <c r="G1036" s="731"/>
      <c r="H1036" s="731"/>
      <c r="I1036" s="734"/>
      <c r="J1036" s="731"/>
      <c r="K1036" s="731"/>
      <c r="L1036" s="734"/>
      <c r="M1036" s="731"/>
      <c r="N1036" s="731"/>
      <c r="O1036" s="730"/>
      <c r="P1036" s="731"/>
      <c r="Q1036" s="731"/>
      <c r="R1036" s="734"/>
      <c r="S1036" s="731"/>
      <c r="T1036" s="731"/>
      <c r="U1036" s="734"/>
      <c r="V1036" s="731"/>
      <c r="W1036" s="731"/>
      <c r="X1036" s="734"/>
      <c r="Y1036" s="731"/>
      <c r="Z1036" s="731"/>
    </row>
    <row r="1037">
      <c r="C1037" s="734"/>
      <c r="D1037" s="731"/>
      <c r="E1037" s="731"/>
      <c r="F1037" s="734"/>
      <c r="G1037" s="731"/>
      <c r="H1037" s="731"/>
      <c r="I1037" s="734"/>
      <c r="J1037" s="731"/>
      <c r="K1037" s="731"/>
      <c r="L1037" s="734"/>
      <c r="M1037" s="731"/>
      <c r="N1037" s="731"/>
      <c r="O1037" s="730"/>
      <c r="P1037" s="731"/>
      <c r="Q1037" s="731"/>
      <c r="R1037" s="734"/>
      <c r="S1037" s="731"/>
      <c r="T1037" s="731"/>
      <c r="U1037" s="734"/>
      <c r="V1037" s="731"/>
      <c r="W1037" s="731"/>
      <c r="X1037" s="734"/>
      <c r="Y1037" s="731"/>
      <c r="Z1037" s="731"/>
    </row>
    <row r="1038">
      <c r="C1038" s="734"/>
      <c r="D1038" s="731"/>
      <c r="E1038" s="731"/>
      <c r="F1038" s="734"/>
      <c r="G1038" s="731"/>
      <c r="H1038" s="731"/>
      <c r="I1038" s="734"/>
      <c r="J1038" s="731"/>
      <c r="K1038" s="731"/>
      <c r="L1038" s="734"/>
      <c r="M1038" s="731"/>
      <c r="N1038" s="731"/>
      <c r="O1038" s="730"/>
      <c r="P1038" s="731"/>
      <c r="Q1038" s="731"/>
      <c r="R1038" s="734"/>
      <c r="S1038" s="731"/>
      <c r="T1038" s="731"/>
      <c r="U1038" s="734"/>
      <c r="V1038" s="731"/>
      <c r="W1038" s="731"/>
      <c r="X1038" s="734"/>
      <c r="Y1038" s="731"/>
      <c r="Z1038" s="731"/>
    </row>
    <row r="1039">
      <c r="C1039" s="734"/>
      <c r="D1039" s="731"/>
      <c r="E1039" s="731"/>
      <c r="F1039" s="734"/>
      <c r="G1039" s="731"/>
      <c r="H1039" s="731"/>
      <c r="I1039" s="734"/>
      <c r="J1039" s="731"/>
      <c r="K1039" s="731"/>
      <c r="L1039" s="734"/>
      <c r="M1039" s="731"/>
      <c r="N1039" s="731"/>
      <c r="O1039" s="730"/>
      <c r="P1039" s="731"/>
      <c r="Q1039" s="731"/>
      <c r="R1039" s="734"/>
      <c r="S1039" s="731"/>
      <c r="T1039" s="731"/>
      <c r="U1039" s="734"/>
      <c r="V1039" s="731"/>
      <c r="W1039" s="731"/>
      <c r="X1039" s="734"/>
      <c r="Y1039" s="731"/>
      <c r="Z1039" s="731"/>
    </row>
    <row r="1040">
      <c r="C1040" s="734"/>
      <c r="D1040" s="731"/>
      <c r="E1040" s="731"/>
      <c r="F1040" s="734"/>
      <c r="G1040" s="731"/>
      <c r="H1040" s="731"/>
      <c r="I1040" s="734"/>
      <c r="J1040" s="731"/>
      <c r="K1040" s="731"/>
      <c r="L1040" s="734"/>
      <c r="M1040" s="731"/>
      <c r="N1040" s="731"/>
      <c r="O1040" s="730"/>
      <c r="P1040" s="731"/>
      <c r="Q1040" s="731"/>
      <c r="R1040" s="734"/>
      <c r="S1040" s="731"/>
      <c r="T1040" s="731"/>
      <c r="U1040" s="734"/>
      <c r="V1040" s="731"/>
      <c r="W1040" s="731"/>
      <c r="X1040" s="734"/>
      <c r="Y1040" s="731"/>
      <c r="Z1040" s="731"/>
    </row>
    <row r="1041">
      <c r="C1041" s="734"/>
      <c r="D1041" s="731"/>
      <c r="E1041" s="731"/>
      <c r="F1041" s="734"/>
      <c r="G1041" s="731"/>
      <c r="H1041" s="731"/>
      <c r="I1041" s="734"/>
      <c r="J1041" s="731"/>
      <c r="K1041" s="731"/>
      <c r="L1041" s="734"/>
      <c r="M1041" s="731"/>
      <c r="N1041" s="731"/>
      <c r="O1041" s="730"/>
      <c r="P1041" s="731"/>
      <c r="Q1041" s="731"/>
      <c r="R1041" s="734"/>
      <c r="S1041" s="731"/>
      <c r="T1041" s="731"/>
      <c r="U1041" s="734"/>
      <c r="V1041" s="731"/>
      <c r="W1041" s="731"/>
      <c r="X1041" s="734"/>
      <c r="Y1041" s="731"/>
      <c r="Z1041" s="731"/>
    </row>
    <row r="1042">
      <c r="C1042" s="734"/>
      <c r="D1042" s="731"/>
      <c r="E1042" s="731"/>
      <c r="F1042" s="734"/>
      <c r="G1042" s="731"/>
      <c r="H1042" s="731"/>
      <c r="I1042" s="734"/>
      <c r="J1042" s="731"/>
      <c r="K1042" s="731"/>
      <c r="L1042" s="734"/>
      <c r="M1042" s="731"/>
      <c r="N1042" s="731"/>
      <c r="O1042" s="730"/>
      <c r="P1042" s="731"/>
      <c r="Q1042" s="731"/>
      <c r="R1042" s="734"/>
      <c r="S1042" s="731"/>
      <c r="T1042" s="731"/>
      <c r="U1042" s="734"/>
      <c r="V1042" s="731"/>
      <c r="W1042" s="731"/>
      <c r="X1042" s="734"/>
      <c r="Y1042" s="731"/>
      <c r="Z1042" s="731"/>
    </row>
    <row r="1043">
      <c r="C1043" s="734"/>
      <c r="D1043" s="731"/>
      <c r="E1043" s="731"/>
      <c r="F1043" s="734"/>
      <c r="G1043" s="731"/>
      <c r="H1043" s="731"/>
      <c r="I1043" s="734"/>
      <c r="J1043" s="731"/>
      <c r="K1043" s="731"/>
      <c r="L1043" s="734"/>
      <c r="M1043" s="731"/>
      <c r="N1043" s="731"/>
      <c r="O1043" s="730"/>
      <c r="P1043" s="731"/>
      <c r="Q1043" s="731"/>
      <c r="R1043" s="734"/>
      <c r="S1043" s="731"/>
      <c r="T1043" s="731"/>
      <c r="U1043" s="734"/>
      <c r="V1043" s="731"/>
      <c r="W1043" s="731"/>
      <c r="X1043" s="734"/>
      <c r="Y1043" s="731"/>
      <c r="Z1043" s="731"/>
    </row>
    <row r="1044">
      <c r="C1044" s="734"/>
      <c r="D1044" s="731"/>
      <c r="E1044" s="731"/>
      <c r="F1044" s="734"/>
      <c r="G1044" s="731"/>
      <c r="H1044" s="731"/>
      <c r="I1044" s="734"/>
      <c r="J1044" s="731"/>
      <c r="K1044" s="731"/>
      <c r="L1044" s="734"/>
      <c r="M1044" s="731"/>
      <c r="N1044" s="731"/>
      <c r="O1044" s="730"/>
      <c r="P1044" s="731"/>
      <c r="Q1044" s="731"/>
      <c r="R1044" s="734"/>
      <c r="S1044" s="731"/>
      <c r="T1044" s="731"/>
      <c r="U1044" s="734"/>
      <c r="V1044" s="731"/>
      <c r="W1044" s="731"/>
      <c r="X1044" s="734"/>
      <c r="Y1044" s="731"/>
      <c r="Z1044" s="731"/>
    </row>
    <row r="1045">
      <c r="C1045" s="734"/>
      <c r="D1045" s="731"/>
      <c r="E1045" s="731"/>
      <c r="F1045" s="734"/>
      <c r="G1045" s="731"/>
      <c r="H1045" s="731"/>
      <c r="I1045" s="734"/>
      <c r="J1045" s="731"/>
      <c r="K1045" s="731"/>
      <c r="L1045" s="734"/>
      <c r="M1045" s="731"/>
      <c r="N1045" s="731"/>
      <c r="O1045" s="730"/>
      <c r="P1045" s="731"/>
      <c r="Q1045" s="731"/>
      <c r="R1045" s="734"/>
      <c r="S1045" s="731"/>
      <c r="T1045" s="731"/>
      <c r="U1045" s="734"/>
      <c r="V1045" s="731"/>
      <c r="W1045" s="731"/>
      <c r="X1045" s="734"/>
      <c r="Y1045" s="731"/>
      <c r="Z1045" s="731"/>
    </row>
    <row r="1046">
      <c r="C1046" s="734"/>
      <c r="D1046" s="731"/>
      <c r="E1046" s="731"/>
      <c r="F1046" s="734"/>
      <c r="G1046" s="731"/>
      <c r="H1046" s="731"/>
      <c r="I1046" s="734"/>
      <c r="J1046" s="731"/>
      <c r="K1046" s="731"/>
      <c r="L1046" s="734"/>
      <c r="M1046" s="731"/>
      <c r="N1046" s="731"/>
      <c r="O1046" s="730"/>
      <c r="P1046" s="731"/>
      <c r="Q1046" s="731"/>
      <c r="R1046" s="734"/>
      <c r="S1046" s="731"/>
      <c r="T1046" s="731"/>
      <c r="U1046" s="734"/>
      <c r="V1046" s="731"/>
      <c r="W1046" s="731"/>
      <c r="X1046" s="734"/>
      <c r="Y1046" s="731"/>
      <c r="Z1046" s="731"/>
    </row>
    <row r="1047">
      <c r="C1047" s="734"/>
      <c r="D1047" s="731"/>
      <c r="E1047" s="731"/>
      <c r="F1047" s="734"/>
      <c r="G1047" s="731"/>
      <c r="H1047" s="731"/>
      <c r="I1047" s="734"/>
      <c r="J1047" s="731"/>
      <c r="K1047" s="731"/>
      <c r="L1047" s="734"/>
      <c r="M1047" s="731"/>
      <c r="N1047" s="731"/>
      <c r="O1047" s="730"/>
      <c r="P1047" s="731"/>
      <c r="Q1047" s="731"/>
      <c r="R1047" s="734"/>
      <c r="S1047" s="731"/>
      <c r="T1047" s="731"/>
      <c r="U1047" s="734"/>
      <c r="V1047" s="731"/>
      <c r="W1047" s="731"/>
      <c r="X1047" s="734"/>
      <c r="Y1047" s="731"/>
      <c r="Z1047" s="731"/>
    </row>
    <row r="1048">
      <c r="C1048" s="734"/>
      <c r="D1048" s="731"/>
      <c r="E1048" s="731"/>
      <c r="F1048" s="734"/>
      <c r="G1048" s="731"/>
      <c r="H1048" s="731"/>
      <c r="I1048" s="734"/>
      <c r="J1048" s="731"/>
      <c r="K1048" s="731"/>
      <c r="L1048" s="734"/>
      <c r="M1048" s="731"/>
      <c r="N1048" s="731"/>
      <c r="O1048" s="730"/>
      <c r="P1048" s="731"/>
      <c r="Q1048" s="731"/>
      <c r="R1048" s="734"/>
      <c r="S1048" s="731"/>
      <c r="T1048" s="731"/>
      <c r="U1048" s="734"/>
      <c r="V1048" s="731"/>
      <c r="W1048" s="731"/>
      <c r="X1048" s="734"/>
      <c r="Y1048" s="731"/>
      <c r="Z1048" s="731"/>
    </row>
    <row r="1049">
      <c r="C1049" s="734"/>
      <c r="D1049" s="731"/>
      <c r="E1049" s="731"/>
      <c r="F1049" s="734"/>
      <c r="G1049" s="731"/>
      <c r="H1049" s="731"/>
      <c r="I1049" s="734"/>
      <c r="J1049" s="731"/>
      <c r="K1049" s="731"/>
      <c r="L1049" s="734"/>
      <c r="M1049" s="731"/>
      <c r="N1049" s="731"/>
      <c r="O1049" s="730"/>
      <c r="P1049" s="731"/>
      <c r="Q1049" s="731"/>
      <c r="R1049" s="734"/>
      <c r="S1049" s="731"/>
      <c r="T1049" s="731"/>
      <c r="U1049" s="734"/>
      <c r="V1049" s="731"/>
      <c r="W1049" s="731"/>
      <c r="X1049" s="734"/>
      <c r="Y1049" s="731"/>
      <c r="Z1049" s="731"/>
    </row>
    <row r="1050">
      <c r="C1050" s="734"/>
      <c r="D1050" s="731"/>
      <c r="E1050" s="731"/>
      <c r="F1050" s="734"/>
      <c r="G1050" s="731"/>
      <c r="H1050" s="731"/>
      <c r="I1050" s="734"/>
      <c r="J1050" s="731"/>
      <c r="K1050" s="731"/>
      <c r="L1050" s="734"/>
      <c r="M1050" s="731"/>
      <c r="N1050" s="731"/>
      <c r="O1050" s="730"/>
      <c r="P1050" s="731"/>
      <c r="Q1050" s="731"/>
      <c r="R1050" s="734"/>
      <c r="S1050" s="731"/>
      <c r="T1050" s="731"/>
      <c r="U1050" s="734"/>
      <c r="V1050" s="731"/>
      <c r="W1050" s="731"/>
      <c r="X1050" s="734"/>
      <c r="Y1050" s="731"/>
      <c r="Z1050" s="731"/>
    </row>
    <row r="1051">
      <c r="C1051" s="734"/>
      <c r="D1051" s="731"/>
      <c r="E1051" s="731"/>
      <c r="F1051" s="734"/>
      <c r="G1051" s="731"/>
      <c r="H1051" s="731"/>
      <c r="I1051" s="734"/>
      <c r="J1051" s="731"/>
      <c r="K1051" s="731"/>
      <c r="L1051" s="734"/>
      <c r="M1051" s="731"/>
      <c r="N1051" s="731"/>
      <c r="O1051" s="730"/>
      <c r="P1051" s="731"/>
      <c r="Q1051" s="731"/>
      <c r="R1051" s="734"/>
      <c r="S1051" s="731"/>
      <c r="T1051" s="731"/>
      <c r="U1051" s="734"/>
      <c r="V1051" s="731"/>
      <c r="W1051" s="731"/>
      <c r="X1051" s="734"/>
      <c r="Y1051" s="731"/>
      <c r="Z1051" s="731"/>
    </row>
    <row r="1052">
      <c r="C1052" s="734"/>
      <c r="D1052" s="731"/>
      <c r="E1052" s="731"/>
      <c r="F1052" s="734"/>
      <c r="G1052" s="731"/>
      <c r="H1052" s="731"/>
      <c r="I1052" s="734"/>
      <c r="J1052" s="731"/>
      <c r="K1052" s="731"/>
      <c r="L1052" s="734"/>
      <c r="M1052" s="731"/>
      <c r="N1052" s="731"/>
      <c r="O1052" s="730"/>
      <c r="P1052" s="731"/>
      <c r="Q1052" s="731"/>
      <c r="R1052" s="734"/>
      <c r="S1052" s="731"/>
      <c r="T1052" s="731"/>
      <c r="U1052" s="734"/>
      <c r="V1052" s="731"/>
      <c r="W1052" s="731"/>
      <c r="X1052" s="734"/>
      <c r="Y1052" s="731"/>
      <c r="Z1052" s="731"/>
    </row>
    <row r="1053">
      <c r="C1053" s="734"/>
      <c r="D1053" s="731"/>
      <c r="E1053" s="731"/>
      <c r="F1053" s="734"/>
      <c r="G1053" s="731"/>
      <c r="H1053" s="731"/>
      <c r="I1053" s="734"/>
      <c r="J1053" s="731"/>
      <c r="K1053" s="731"/>
      <c r="L1053" s="734"/>
      <c r="M1053" s="731"/>
      <c r="N1053" s="731"/>
      <c r="O1053" s="730"/>
      <c r="P1053" s="731"/>
      <c r="Q1053" s="731"/>
      <c r="R1053" s="734"/>
      <c r="S1053" s="731"/>
      <c r="T1053" s="731"/>
      <c r="U1053" s="734"/>
      <c r="V1053" s="731"/>
      <c r="W1053" s="731"/>
      <c r="X1053" s="734"/>
      <c r="Y1053" s="731"/>
      <c r="Z1053" s="731"/>
    </row>
    <row r="1054">
      <c r="C1054" s="734"/>
      <c r="D1054" s="731"/>
      <c r="E1054" s="731"/>
      <c r="F1054" s="734"/>
      <c r="G1054" s="731"/>
      <c r="H1054" s="731"/>
      <c r="I1054" s="734"/>
      <c r="J1054" s="731"/>
      <c r="K1054" s="731"/>
      <c r="L1054" s="734"/>
      <c r="M1054" s="731"/>
      <c r="N1054" s="731"/>
      <c r="O1054" s="730"/>
      <c r="P1054" s="731"/>
      <c r="Q1054" s="731"/>
      <c r="R1054" s="734"/>
      <c r="S1054" s="731"/>
      <c r="T1054" s="731"/>
      <c r="U1054" s="734"/>
      <c r="V1054" s="731"/>
      <c r="W1054" s="731"/>
      <c r="X1054" s="734"/>
      <c r="Y1054" s="731"/>
      <c r="Z1054" s="731"/>
    </row>
    <row r="1055">
      <c r="C1055" s="734"/>
      <c r="D1055" s="731"/>
      <c r="E1055" s="731"/>
      <c r="F1055" s="734"/>
      <c r="G1055" s="731"/>
      <c r="H1055" s="731"/>
      <c r="I1055" s="734"/>
      <c r="J1055" s="731"/>
      <c r="K1055" s="731"/>
      <c r="L1055" s="734"/>
      <c r="M1055" s="731"/>
      <c r="N1055" s="731"/>
      <c r="O1055" s="730"/>
      <c r="P1055" s="731"/>
      <c r="Q1055" s="731"/>
      <c r="R1055" s="734"/>
      <c r="S1055" s="731"/>
      <c r="T1055" s="731"/>
      <c r="U1055" s="734"/>
      <c r="V1055" s="731"/>
      <c r="W1055" s="731"/>
      <c r="X1055" s="734"/>
      <c r="Y1055" s="731"/>
      <c r="Z1055" s="731"/>
    </row>
    <row r="1056">
      <c r="C1056" s="734"/>
      <c r="D1056" s="731"/>
      <c r="E1056" s="731"/>
      <c r="F1056" s="734"/>
      <c r="G1056" s="731"/>
      <c r="H1056" s="731"/>
      <c r="I1056" s="734"/>
      <c r="J1056" s="731"/>
      <c r="K1056" s="731"/>
      <c r="L1056" s="734"/>
      <c r="M1056" s="731"/>
      <c r="N1056" s="731"/>
      <c r="O1056" s="730"/>
      <c r="P1056" s="731"/>
      <c r="Q1056" s="731"/>
      <c r="R1056" s="734"/>
      <c r="S1056" s="731"/>
      <c r="T1056" s="731"/>
      <c r="U1056" s="734"/>
      <c r="V1056" s="731"/>
      <c r="W1056" s="731"/>
      <c r="X1056" s="734"/>
      <c r="Y1056" s="731"/>
      <c r="Z1056" s="731"/>
    </row>
    <row r="1057">
      <c r="C1057" s="734"/>
      <c r="D1057" s="731"/>
      <c r="E1057" s="731"/>
      <c r="F1057" s="734"/>
      <c r="G1057" s="731"/>
      <c r="H1057" s="731"/>
      <c r="I1057" s="734"/>
      <c r="J1057" s="731"/>
      <c r="K1057" s="731"/>
      <c r="L1057" s="734"/>
      <c r="M1057" s="731"/>
      <c r="N1057" s="731"/>
      <c r="O1057" s="730"/>
      <c r="P1057" s="731"/>
      <c r="Q1057" s="731"/>
      <c r="R1057" s="734"/>
      <c r="S1057" s="731"/>
      <c r="T1057" s="731"/>
      <c r="U1057" s="734"/>
      <c r="V1057" s="731"/>
      <c r="W1057" s="731"/>
      <c r="X1057" s="734"/>
      <c r="Y1057" s="731"/>
      <c r="Z1057" s="731"/>
    </row>
    <row r="1058">
      <c r="C1058" s="734"/>
      <c r="D1058" s="731"/>
      <c r="E1058" s="731"/>
      <c r="F1058" s="734"/>
      <c r="G1058" s="731"/>
      <c r="H1058" s="731"/>
      <c r="I1058" s="734"/>
      <c r="J1058" s="731"/>
      <c r="K1058" s="731"/>
      <c r="L1058" s="734"/>
      <c r="M1058" s="731"/>
      <c r="N1058" s="731"/>
      <c r="O1058" s="730"/>
      <c r="P1058" s="731"/>
      <c r="Q1058" s="731"/>
      <c r="R1058" s="734"/>
      <c r="S1058" s="731"/>
      <c r="T1058" s="731"/>
      <c r="U1058" s="734"/>
      <c r="V1058" s="731"/>
      <c r="W1058" s="731"/>
      <c r="X1058" s="734"/>
      <c r="Y1058" s="731"/>
      <c r="Z1058" s="731"/>
    </row>
    <row r="1059">
      <c r="C1059" s="734"/>
      <c r="D1059" s="731"/>
      <c r="E1059" s="731"/>
      <c r="F1059" s="734"/>
      <c r="G1059" s="731"/>
      <c r="H1059" s="731"/>
      <c r="I1059" s="734"/>
      <c r="J1059" s="731"/>
      <c r="K1059" s="731"/>
      <c r="L1059" s="734"/>
      <c r="M1059" s="731"/>
      <c r="N1059" s="731"/>
      <c r="O1059" s="730"/>
      <c r="P1059" s="731"/>
      <c r="Q1059" s="731"/>
      <c r="R1059" s="734"/>
      <c r="S1059" s="731"/>
      <c r="T1059" s="731"/>
      <c r="U1059" s="734"/>
      <c r="V1059" s="731"/>
      <c r="W1059" s="731"/>
      <c r="X1059" s="734"/>
      <c r="Y1059" s="731"/>
      <c r="Z1059" s="731"/>
    </row>
    <row r="1060">
      <c r="C1060" s="734"/>
      <c r="D1060" s="731"/>
      <c r="E1060" s="731"/>
      <c r="F1060" s="734"/>
      <c r="G1060" s="731"/>
      <c r="H1060" s="731"/>
      <c r="I1060" s="734"/>
      <c r="J1060" s="731"/>
      <c r="K1060" s="731"/>
      <c r="L1060" s="734"/>
      <c r="M1060" s="731"/>
      <c r="N1060" s="731"/>
      <c r="O1060" s="730"/>
      <c r="P1060" s="731"/>
      <c r="Q1060" s="731"/>
      <c r="R1060" s="734"/>
      <c r="S1060" s="731"/>
      <c r="T1060" s="731"/>
      <c r="U1060" s="734"/>
      <c r="V1060" s="731"/>
      <c r="W1060" s="731"/>
      <c r="X1060" s="734"/>
      <c r="Y1060" s="731"/>
      <c r="Z1060" s="731"/>
    </row>
    <row r="1061">
      <c r="C1061" s="734"/>
      <c r="D1061" s="731"/>
      <c r="E1061" s="731"/>
      <c r="F1061" s="734"/>
      <c r="G1061" s="731"/>
      <c r="H1061" s="731"/>
      <c r="I1061" s="734"/>
      <c r="J1061" s="731"/>
      <c r="K1061" s="731"/>
      <c r="L1061" s="734"/>
      <c r="M1061" s="731"/>
      <c r="N1061" s="731"/>
      <c r="O1061" s="730"/>
      <c r="P1061" s="731"/>
      <c r="Q1061" s="731"/>
      <c r="R1061" s="734"/>
      <c r="S1061" s="731"/>
      <c r="T1061" s="731"/>
      <c r="U1061" s="734"/>
      <c r="V1061" s="731"/>
      <c r="W1061" s="731"/>
      <c r="X1061" s="734"/>
      <c r="Y1061" s="731"/>
      <c r="Z1061" s="731"/>
    </row>
    <row r="1062">
      <c r="C1062" s="734"/>
      <c r="D1062" s="731"/>
      <c r="E1062" s="731"/>
      <c r="F1062" s="734"/>
      <c r="G1062" s="731"/>
      <c r="H1062" s="731"/>
      <c r="I1062" s="734"/>
      <c r="J1062" s="731"/>
      <c r="K1062" s="731"/>
      <c r="L1062" s="734"/>
      <c r="M1062" s="731"/>
      <c r="N1062" s="731"/>
      <c r="O1062" s="730"/>
      <c r="P1062" s="731"/>
      <c r="Q1062" s="731"/>
      <c r="R1062" s="734"/>
      <c r="S1062" s="731"/>
      <c r="T1062" s="731"/>
      <c r="U1062" s="734"/>
      <c r="V1062" s="731"/>
      <c r="W1062" s="731"/>
      <c r="X1062" s="734"/>
      <c r="Y1062" s="731"/>
      <c r="Z1062" s="731"/>
    </row>
    <row r="1063">
      <c r="C1063" s="734"/>
      <c r="D1063" s="731"/>
      <c r="E1063" s="731"/>
      <c r="F1063" s="734"/>
      <c r="G1063" s="731"/>
      <c r="H1063" s="731"/>
      <c r="I1063" s="734"/>
      <c r="J1063" s="731"/>
      <c r="K1063" s="731"/>
      <c r="L1063" s="734"/>
      <c r="M1063" s="731"/>
      <c r="N1063" s="731"/>
      <c r="O1063" s="730"/>
      <c r="P1063" s="731"/>
      <c r="Q1063" s="731"/>
      <c r="R1063" s="734"/>
      <c r="S1063" s="731"/>
      <c r="T1063" s="731"/>
      <c r="U1063" s="734"/>
      <c r="V1063" s="731"/>
      <c r="W1063" s="731"/>
      <c r="X1063" s="734"/>
      <c r="Y1063" s="731"/>
      <c r="Z1063" s="731"/>
    </row>
    <row r="1064">
      <c r="C1064" s="734"/>
      <c r="D1064" s="731"/>
      <c r="E1064" s="731"/>
      <c r="F1064" s="734"/>
      <c r="G1064" s="731"/>
      <c r="H1064" s="731"/>
      <c r="I1064" s="734"/>
      <c r="J1064" s="731"/>
      <c r="K1064" s="731"/>
      <c r="L1064" s="734"/>
      <c r="M1064" s="731"/>
      <c r="N1064" s="731"/>
      <c r="O1064" s="730"/>
      <c r="P1064" s="731"/>
      <c r="Q1064" s="731"/>
      <c r="R1064" s="734"/>
      <c r="S1064" s="731"/>
      <c r="T1064" s="731"/>
      <c r="U1064" s="734"/>
      <c r="V1064" s="731"/>
      <c r="W1064" s="731"/>
      <c r="X1064" s="734"/>
      <c r="Y1064" s="731"/>
      <c r="Z1064" s="731"/>
    </row>
    <row r="1065">
      <c r="C1065" s="734"/>
      <c r="D1065" s="731"/>
      <c r="E1065" s="731"/>
      <c r="F1065" s="734"/>
      <c r="G1065" s="731"/>
      <c r="H1065" s="731"/>
      <c r="I1065" s="734"/>
      <c r="J1065" s="731"/>
      <c r="K1065" s="731"/>
      <c r="L1065" s="734"/>
      <c r="M1065" s="731"/>
      <c r="N1065" s="731"/>
      <c r="O1065" s="730"/>
      <c r="P1065" s="731"/>
      <c r="Q1065" s="731"/>
      <c r="R1065" s="734"/>
      <c r="S1065" s="731"/>
      <c r="T1065" s="731"/>
      <c r="U1065" s="734"/>
      <c r="V1065" s="731"/>
      <c r="W1065" s="731"/>
      <c r="X1065" s="734"/>
      <c r="Y1065" s="731"/>
      <c r="Z1065" s="731"/>
    </row>
    <row r="1066">
      <c r="C1066" s="734"/>
      <c r="D1066" s="731"/>
      <c r="E1066" s="731"/>
      <c r="F1066" s="734"/>
      <c r="G1066" s="731"/>
      <c r="H1066" s="731"/>
      <c r="I1066" s="734"/>
      <c r="J1066" s="731"/>
      <c r="K1066" s="731"/>
      <c r="L1066" s="734"/>
      <c r="M1066" s="731"/>
      <c r="N1066" s="731"/>
      <c r="O1066" s="730"/>
      <c r="P1066" s="731"/>
      <c r="Q1066" s="731"/>
      <c r="R1066" s="734"/>
      <c r="S1066" s="731"/>
      <c r="T1066" s="731"/>
      <c r="U1066" s="734"/>
      <c r="V1066" s="731"/>
      <c r="W1066" s="731"/>
      <c r="X1066" s="734"/>
      <c r="Y1066" s="731"/>
      <c r="Z1066" s="731"/>
    </row>
    <row r="1067">
      <c r="C1067" s="734"/>
      <c r="D1067" s="731"/>
      <c r="E1067" s="731"/>
      <c r="F1067" s="734"/>
      <c r="G1067" s="731"/>
      <c r="H1067" s="731"/>
      <c r="I1067" s="734"/>
      <c r="J1067" s="731"/>
      <c r="K1067" s="731"/>
      <c r="L1067" s="734"/>
      <c r="M1067" s="731"/>
      <c r="N1067" s="731"/>
      <c r="O1067" s="730"/>
      <c r="P1067" s="731"/>
      <c r="Q1067" s="731"/>
      <c r="R1067" s="734"/>
      <c r="S1067" s="731"/>
      <c r="T1067" s="731"/>
      <c r="U1067" s="734"/>
      <c r="V1067" s="731"/>
      <c r="W1067" s="731"/>
      <c r="X1067" s="734"/>
      <c r="Y1067" s="731"/>
      <c r="Z1067" s="731"/>
    </row>
    <row r="1068">
      <c r="C1068" s="734"/>
      <c r="D1068" s="731"/>
      <c r="E1068" s="731"/>
      <c r="F1068" s="734"/>
      <c r="G1068" s="731"/>
      <c r="H1068" s="731"/>
      <c r="I1068" s="734"/>
      <c r="J1068" s="731"/>
      <c r="K1068" s="731"/>
      <c r="L1068" s="734"/>
      <c r="M1068" s="731"/>
      <c r="N1068" s="731"/>
      <c r="O1068" s="730"/>
      <c r="P1068" s="731"/>
      <c r="Q1068" s="731"/>
      <c r="R1068" s="734"/>
      <c r="S1068" s="731"/>
      <c r="T1068" s="731"/>
      <c r="U1068" s="734"/>
      <c r="V1068" s="731"/>
      <c r="W1068" s="731"/>
      <c r="X1068" s="734"/>
      <c r="Y1068" s="731"/>
      <c r="Z1068" s="731"/>
    </row>
    <row r="1069">
      <c r="C1069" s="734"/>
      <c r="D1069" s="731"/>
      <c r="E1069" s="731"/>
      <c r="F1069" s="734"/>
      <c r="G1069" s="731"/>
      <c r="H1069" s="731"/>
      <c r="I1069" s="734"/>
      <c r="J1069" s="731"/>
      <c r="K1069" s="731"/>
      <c r="L1069" s="734"/>
      <c r="M1069" s="731"/>
      <c r="N1069" s="731"/>
      <c r="O1069" s="730"/>
      <c r="P1069" s="731"/>
      <c r="Q1069" s="731"/>
      <c r="R1069" s="734"/>
      <c r="S1069" s="731"/>
      <c r="T1069" s="731"/>
      <c r="U1069" s="734"/>
      <c r="V1069" s="731"/>
      <c r="W1069" s="731"/>
      <c r="X1069" s="734"/>
      <c r="Y1069" s="731"/>
      <c r="Z1069" s="731"/>
    </row>
    <row r="1070">
      <c r="C1070" s="734"/>
      <c r="D1070" s="731"/>
      <c r="E1070" s="731"/>
      <c r="F1070" s="734"/>
      <c r="G1070" s="731"/>
      <c r="H1070" s="731"/>
      <c r="I1070" s="734"/>
      <c r="J1070" s="731"/>
      <c r="K1070" s="731"/>
      <c r="L1070" s="734"/>
      <c r="M1070" s="731"/>
      <c r="N1070" s="731"/>
      <c r="O1070" s="730"/>
      <c r="P1070" s="731"/>
      <c r="Q1070" s="731"/>
      <c r="R1070" s="734"/>
      <c r="S1070" s="731"/>
      <c r="T1070" s="731"/>
      <c r="U1070" s="734"/>
      <c r="V1070" s="731"/>
      <c r="W1070" s="731"/>
      <c r="X1070" s="734"/>
      <c r="Y1070" s="731"/>
      <c r="Z1070" s="731"/>
    </row>
    <row r="1071">
      <c r="C1071" s="734"/>
      <c r="D1071" s="731"/>
      <c r="E1071" s="731"/>
      <c r="F1071" s="734"/>
      <c r="G1071" s="731"/>
      <c r="H1071" s="731"/>
      <c r="I1071" s="734"/>
      <c r="J1071" s="731"/>
      <c r="K1071" s="731"/>
      <c r="L1071" s="734"/>
      <c r="M1071" s="731"/>
      <c r="N1071" s="731"/>
      <c r="O1071" s="730"/>
      <c r="P1071" s="731"/>
      <c r="Q1071" s="731"/>
      <c r="R1071" s="734"/>
      <c r="S1071" s="731"/>
      <c r="T1071" s="731"/>
      <c r="U1071" s="734"/>
      <c r="V1071" s="731"/>
      <c r="W1071" s="731"/>
      <c r="X1071" s="734"/>
      <c r="Y1071" s="731"/>
      <c r="Z1071" s="731"/>
    </row>
    <row r="1072">
      <c r="C1072" s="734"/>
      <c r="D1072" s="731"/>
      <c r="E1072" s="731"/>
      <c r="F1072" s="734"/>
      <c r="G1072" s="731"/>
      <c r="H1072" s="731"/>
      <c r="I1072" s="734"/>
      <c r="J1072" s="731"/>
      <c r="K1072" s="731"/>
      <c r="L1072" s="734"/>
      <c r="M1072" s="731"/>
      <c r="N1072" s="731"/>
      <c r="O1072" s="730"/>
      <c r="P1072" s="731"/>
      <c r="Q1072" s="731"/>
      <c r="R1072" s="734"/>
      <c r="S1072" s="731"/>
      <c r="T1072" s="731"/>
      <c r="U1072" s="734"/>
      <c r="V1072" s="731"/>
      <c r="W1072" s="731"/>
      <c r="X1072" s="734"/>
      <c r="Y1072" s="731"/>
      <c r="Z1072" s="731"/>
    </row>
    <row r="1073">
      <c r="C1073" s="734"/>
      <c r="D1073" s="731"/>
      <c r="E1073" s="731"/>
      <c r="F1073" s="734"/>
      <c r="G1073" s="731"/>
      <c r="H1073" s="731"/>
      <c r="I1073" s="734"/>
      <c r="J1073" s="731"/>
      <c r="K1073" s="731"/>
      <c r="L1073" s="734"/>
      <c r="M1073" s="731"/>
      <c r="N1073" s="731"/>
      <c r="O1073" s="730"/>
      <c r="P1073" s="731"/>
      <c r="Q1073" s="731"/>
      <c r="R1073" s="734"/>
      <c r="S1073" s="731"/>
      <c r="T1073" s="731"/>
      <c r="U1073" s="734"/>
      <c r="V1073" s="731"/>
      <c r="W1073" s="731"/>
      <c r="X1073" s="734"/>
      <c r="Y1073" s="731"/>
      <c r="Z1073" s="731"/>
    </row>
    <row r="1074">
      <c r="C1074" s="734"/>
      <c r="D1074" s="731"/>
      <c r="E1074" s="731"/>
      <c r="F1074" s="734"/>
      <c r="G1074" s="731"/>
      <c r="H1074" s="731"/>
      <c r="I1074" s="734"/>
      <c r="J1074" s="731"/>
      <c r="K1074" s="731"/>
      <c r="L1074" s="734"/>
      <c r="M1074" s="731"/>
      <c r="N1074" s="731"/>
      <c r="O1074" s="730"/>
      <c r="P1074" s="731"/>
      <c r="Q1074" s="731"/>
      <c r="R1074" s="734"/>
      <c r="S1074" s="731"/>
      <c r="T1074" s="731"/>
      <c r="U1074" s="734"/>
      <c r="V1074" s="731"/>
      <c r="W1074" s="731"/>
      <c r="X1074" s="734"/>
      <c r="Y1074" s="731"/>
      <c r="Z1074" s="731"/>
    </row>
    <row r="1075">
      <c r="C1075" s="734"/>
      <c r="D1075" s="731"/>
      <c r="E1075" s="731"/>
      <c r="F1075" s="734"/>
      <c r="G1075" s="731"/>
      <c r="H1075" s="731"/>
      <c r="I1075" s="734"/>
      <c r="J1075" s="731"/>
      <c r="K1075" s="731"/>
      <c r="L1075" s="734"/>
      <c r="M1075" s="731"/>
      <c r="N1075" s="731"/>
      <c r="O1075" s="730"/>
      <c r="P1075" s="731"/>
      <c r="Q1075" s="731"/>
      <c r="R1075" s="734"/>
      <c r="S1075" s="731"/>
      <c r="T1075" s="731"/>
      <c r="U1075" s="734"/>
      <c r="V1075" s="731"/>
      <c r="W1075" s="731"/>
      <c r="X1075" s="734"/>
      <c r="Y1075" s="731"/>
      <c r="Z1075" s="731"/>
    </row>
    <row r="1076">
      <c r="C1076" s="734"/>
      <c r="D1076" s="731"/>
      <c r="E1076" s="731"/>
      <c r="F1076" s="734"/>
      <c r="G1076" s="731"/>
      <c r="H1076" s="731"/>
      <c r="I1076" s="734"/>
      <c r="J1076" s="731"/>
      <c r="K1076" s="731"/>
      <c r="L1076" s="734"/>
      <c r="M1076" s="731"/>
      <c r="N1076" s="731"/>
      <c r="O1076" s="730"/>
      <c r="P1076" s="731"/>
      <c r="Q1076" s="731"/>
      <c r="R1076" s="734"/>
      <c r="S1076" s="731"/>
      <c r="T1076" s="731"/>
      <c r="U1076" s="734"/>
      <c r="V1076" s="731"/>
      <c r="W1076" s="731"/>
      <c r="X1076" s="734"/>
      <c r="Y1076" s="731"/>
      <c r="Z1076" s="731"/>
    </row>
    <row r="1077">
      <c r="C1077" s="734"/>
      <c r="D1077" s="731"/>
      <c r="E1077" s="731"/>
      <c r="F1077" s="734"/>
      <c r="G1077" s="731"/>
      <c r="H1077" s="731"/>
      <c r="I1077" s="734"/>
      <c r="J1077" s="731"/>
      <c r="K1077" s="731"/>
      <c r="L1077" s="734"/>
      <c r="M1077" s="731"/>
      <c r="N1077" s="731"/>
      <c r="O1077" s="730"/>
      <c r="P1077" s="731"/>
      <c r="Q1077" s="731"/>
      <c r="R1077" s="734"/>
      <c r="S1077" s="731"/>
      <c r="T1077" s="731"/>
      <c r="U1077" s="734"/>
      <c r="V1077" s="731"/>
      <c r="W1077" s="731"/>
      <c r="X1077" s="734"/>
      <c r="Y1077" s="731"/>
      <c r="Z1077" s="731"/>
    </row>
    <row r="1078">
      <c r="C1078" s="734"/>
      <c r="D1078" s="731"/>
      <c r="E1078" s="731"/>
      <c r="F1078" s="734"/>
      <c r="G1078" s="731"/>
      <c r="H1078" s="731"/>
      <c r="I1078" s="734"/>
      <c r="J1078" s="731"/>
      <c r="K1078" s="731"/>
      <c r="L1078" s="734"/>
      <c r="M1078" s="731"/>
      <c r="N1078" s="731"/>
      <c r="O1078" s="730"/>
      <c r="P1078" s="731"/>
      <c r="Q1078" s="731"/>
      <c r="R1078" s="734"/>
      <c r="S1078" s="731"/>
      <c r="T1078" s="731"/>
      <c r="U1078" s="734"/>
      <c r="V1078" s="731"/>
      <c r="W1078" s="731"/>
      <c r="X1078" s="734"/>
      <c r="Y1078" s="731"/>
      <c r="Z1078" s="731"/>
    </row>
    <row r="1079">
      <c r="C1079" s="734"/>
      <c r="D1079" s="731"/>
      <c r="E1079" s="731"/>
      <c r="F1079" s="734"/>
      <c r="G1079" s="731"/>
      <c r="H1079" s="731"/>
      <c r="I1079" s="734"/>
      <c r="J1079" s="731"/>
      <c r="K1079" s="731"/>
      <c r="L1079" s="734"/>
      <c r="M1079" s="731"/>
      <c r="N1079" s="731"/>
      <c r="O1079" s="730"/>
      <c r="P1079" s="731"/>
      <c r="Q1079" s="731"/>
      <c r="R1079" s="734"/>
      <c r="S1079" s="731"/>
      <c r="T1079" s="731"/>
      <c r="U1079" s="734"/>
      <c r="V1079" s="731"/>
      <c r="W1079" s="731"/>
      <c r="X1079" s="734"/>
      <c r="Y1079" s="731"/>
      <c r="Z1079" s="731"/>
    </row>
    <row r="1080">
      <c r="C1080" s="734"/>
      <c r="D1080" s="731"/>
      <c r="E1080" s="731"/>
      <c r="F1080" s="734"/>
      <c r="G1080" s="731"/>
      <c r="H1080" s="731"/>
      <c r="I1080" s="734"/>
      <c r="J1080" s="731"/>
      <c r="K1080" s="731"/>
      <c r="L1080" s="734"/>
      <c r="M1080" s="731"/>
      <c r="N1080" s="731"/>
      <c r="O1080" s="730"/>
      <c r="P1080" s="731"/>
      <c r="Q1080" s="731"/>
      <c r="R1080" s="734"/>
      <c r="S1080" s="731"/>
      <c r="T1080" s="731"/>
      <c r="U1080" s="734"/>
      <c r="V1080" s="731"/>
      <c r="W1080" s="731"/>
      <c r="X1080" s="734"/>
      <c r="Y1080" s="731"/>
      <c r="Z1080" s="731"/>
    </row>
    <row r="1081">
      <c r="C1081" s="734"/>
      <c r="D1081" s="731"/>
      <c r="E1081" s="731"/>
      <c r="F1081" s="734"/>
      <c r="G1081" s="731"/>
      <c r="H1081" s="731"/>
      <c r="I1081" s="734"/>
      <c r="J1081" s="731"/>
      <c r="K1081" s="731"/>
      <c r="L1081" s="734"/>
      <c r="M1081" s="731"/>
      <c r="N1081" s="731"/>
      <c r="O1081" s="730"/>
      <c r="P1081" s="731"/>
      <c r="Q1081" s="731"/>
      <c r="R1081" s="734"/>
      <c r="S1081" s="731"/>
      <c r="T1081" s="731"/>
      <c r="U1081" s="734"/>
      <c r="V1081" s="731"/>
      <c r="W1081" s="731"/>
      <c r="X1081" s="734"/>
      <c r="Y1081" s="731"/>
      <c r="Z1081" s="731"/>
    </row>
    <row r="1082">
      <c r="C1082" s="734"/>
      <c r="D1082" s="731"/>
      <c r="E1082" s="731"/>
      <c r="F1082" s="734"/>
      <c r="G1082" s="731"/>
      <c r="H1082" s="731"/>
      <c r="I1082" s="734"/>
      <c r="J1082" s="731"/>
      <c r="K1082" s="731"/>
      <c r="L1082" s="734"/>
      <c r="M1082" s="731"/>
      <c r="N1082" s="731"/>
      <c r="O1082" s="730"/>
      <c r="P1082" s="731"/>
      <c r="Q1082" s="731"/>
      <c r="R1082" s="734"/>
      <c r="S1082" s="731"/>
      <c r="T1082" s="731"/>
      <c r="U1082" s="734"/>
      <c r="V1082" s="731"/>
      <c r="W1082" s="731"/>
      <c r="X1082" s="734"/>
      <c r="Y1082" s="731"/>
      <c r="Z1082" s="731"/>
    </row>
    <row r="1083">
      <c r="C1083" s="734"/>
      <c r="D1083" s="731"/>
      <c r="E1083" s="731"/>
      <c r="F1083" s="734"/>
      <c r="G1083" s="731"/>
      <c r="H1083" s="731"/>
      <c r="I1083" s="734"/>
      <c r="J1083" s="731"/>
      <c r="K1083" s="731"/>
      <c r="L1083" s="734"/>
      <c r="M1083" s="731"/>
      <c r="N1083" s="731"/>
      <c r="O1083" s="730"/>
      <c r="P1083" s="731"/>
      <c r="Q1083" s="731"/>
      <c r="R1083" s="734"/>
      <c r="S1083" s="731"/>
      <c r="T1083" s="731"/>
      <c r="U1083" s="734"/>
      <c r="V1083" s="731"/>
      <c r="W1083" s="731"/>
      <c r="X1083" s="734"/>
      <c r="Y1083" s="731"/>
      <c r="Z1083" s="731"/>
    </row>
    <row r="1084">
      <c r="C1084" s="734"/>
      <c r="D1084" s="731"/>
      <c r="E1084" s="731"/>
      <c r="F1084" s="734"/>
      <c r="G1084" s="731"/>
      <c r="H1084" s="731"/>
      <c r="I1084" s="734"/>
      <c r="J1084" s="731"/>
      <c r="K1084" s="731"/>
      <c r="L1084" s="734"/>
      <c r="M1084" s="731"/>
      <c r="N1084" s="731"/>
      <c r="O1084" s="730"/>
      <c r="P1084" s="731"/>
      <c r="Q1084" s="731"/>
      <c r="R1084" s="734"/>
      <c r="S1084" s="731"/>
      <c r="T1084" s="731"/>
      <c r="U1084" s="734"/>
      <c r="V1084" s="731"/>
      <c r="W1084" s="731"/>
      <c r="X1084" s="734"/>
      <c r="Y1084" s="731"/>
      <c r="Z1084" s="731"/>
    </row>
    <row r="1085">
      <c r="C1085" s="734"/>
      <c r="D1085" s="731"/>
      <c r="E1085" s="731"/>
      <c r="F1085" s="734"/>
      <c r="G1085" s="731"/>
      <c r="H1085" s="731"/>
      <c r="I1085" s="734"/>
      <c r="J1085" s="731"/>
      <c r="K1085" s="731"/>
      <c r="L1085" s="734"/>
      <c r="M1085" s="731"/>
      <c r="N1085" s="731"/>
      <c r="O1085" s="730"/>
      <c r="P1085" s="731"/>
      <c r="Q1085" s="731"/>
      <c r="R1085" s="734"/>
      <c r="S1085" s="731"/>
      <c r="T1085" s="731"/>
      <c r="U1085" s="734"/>
      <c r="V1085" s="731"/>
      <c r="W1085" s="731"/>
      <c r="X1085" s="734"/>
      <c r="Y1085" s="731"/>
      <c r="Z1085" s="731"/>
    </row>
    <row r="1086">
      <c r="C1086" s="734"/>
      <c r="D1086" s="731"/>
      <c r="E1086" s="731"/>
      <c r="F1086" s="734"/>
      <c r="G1086" s="731"/>
      <c r="H1086" s="731"/>
      <c r="I1086" s="734"/>
      <c r="J1086" s="731"/>
      <c r="K1086" s="731"/>
      <c r="L1086" s="734"/>
      <c r="M1086" s="731"/>
      <c r="N1086" s="731"/>
      <c r="O1086" s="730"/>
      <c r="P1086" s="731"/>
      <c r="Q1086" s="731"/>
      <c r="R1086" s="734"/>
      <c r="S1086" s="731"/>
      <c r="T1086" s="731"/>
      <c r="U1086" s="734"/>
      <c r="V1086" s="731"/>
      <c r="W1086" s="731"/>
      <c r="X1086" s="734"/>
      <c r="Y1086" s="731"/>
      <c r="Z1086" s="731"/>
    </row>
    <row r="1087">
      <c r="C1087" s="734"/>
      <c r="D1087" s="731"/>
      <c r="E1087" s="731"/>
      <c r="F1087" s="734"/>
      <c r="G1087" s="731"/>
      <c r="H1087" s="731"/>
      <c r="I1087" s="734"/>
      <c r="J1087" s="731"/>
      <c r="K1087" s="731"/>
      <c r="L1087" s="734"/>
      <c r="M1087" s="731"/>
      <c r="N1087" s="731"/>
      <c r="O1087" s="730"/>
      <c r="P1087" s="731"/>
      <c r="Q1087" s="731"/>
      <c r="R1087" s="734"/>
      <c r="S1087" s="731"/>
      <c r="T1087" s="731"/>
      <c r="U1087" s="734"/>
      <c r="V1087" s="731"/>
      <c r="W1087" s="731"/>
      <c r="X1087" s="734"/>
      <c r="Y1087" s="731"/>
      <c r="Z1087" s="731"/>
    </row>
    <row r="1088">
      <c r="C1088" s="734"/>
      <c r="D1088" s="731"/>
      <c r="E1088" s="731"/>
      <c r="F1088" s="734"/>
      <c r="G1088" s="731"/>
      <c r="H1088" s="731"/>
      <c r="I1088" s="734"/>
      <c r="J1088" s="731"/>
      <c r="K1088" s="731"/>
      <c r="L1088" s="734"/>
      <c r="M1088" s="731"/>
      <c r="N1088" s="731"/>
      <c r="O1088" s="730"/>
      <c r="P1088" s="731"/>
      <c r="Q1088" s="731"/>
      <c r="R1088" s="734"/>
      <c r="S1088" s="731"/>
      <c r="T1088" s="731"/>
      <c r="U1088" s="734"/>
      <c r="V1088" s="731"/>
      <c r="W1088" s="731"/>
      <c r="X1088" s="734"/>
      <c r="Y1088" s="731"/>
      <c r="Z1088" s="731"/>
    </row>
    <row r="1089">
      <c r="C1089" s="734"/>
      <c r="D1089" s="731"/>
      <c r="E1089" s="731"/>
      <c r="F1089" s="734"/>
      <c r="G1089" s="731"/>
      <c r="H1089" s="731"/>
      <c r="I1089" s="734"/>
      <c r="J1089" s="731"/>
      <c r="K1089" s="731"/>
      <c r="L1089" s="734"/>
      <c r="M1089" s="731"/>
      <c r="N1089" s="731"/>
      <c r="O1089" s="730"/>
      <c r="P1089" s="731"/>
      <c r="Q1089" s="731"/>
      <c r="R1089" s="734"/>
      <c r="S1089" s="731"/>
      <c r="T1089" s="731"/>
      <c r="U1089" s="734"/>
      <c r="V1089" s="731"/>
      <c r="W1089" s="731"/>
      <c r="X1089" s="734"/>
      <c r="Y1089" s="731"/>
      <c r="Z1089" s="731"/>
    </row>
    <row r="1090">
      <c r="C1090" s="734"/>
      <c r="D1090" s="731"/>
      <c r="E1090" s="731"/>
      <c r="F1090" s="734"/>
      <c r="G1090" s="731"/>
      <c r="H1090" s="731"/>
      <c r="I1090" s="734"/>
      <c r="J1090" s="731"/>
      <c r="K1090" s="731"/>
      <c r="L1090" s="734"/>
      <c r="M1090" s="731"/>
      <c r="N1090" s="731"/>
      <c r="O1090" s="730"/>
      <c r="P1090" s="731"/>
      <c r="Q1090" s="731"/>
      <c r="R1090" s="734"/>
      <c r="S1090" s="731"/>
      <c r="T1090" s="731"/>
      <c r="U1090" s="734"/>
      <c r="V1090" s="731"/>
      <c r="W1090" s="731"/>
      <c r="X1090" s="734"/>
      <c r="Y1090" s="731"/>
      <c r="Z1090" s="731"/>
    </row>
    <row r="1091">
      <c r="C1091" s="734"/>
      <c r="D1091" s="731"/>
      <c r="E1091" s="731"/>
      <c r="F1091" s="734"/>
      <c r="G1091" s="731"/>
      <c r="H1091" s="731"/>
      <c r="I1091" s="734"/>
      <c r="J1091" s="731"/>
      <c r="K1091" s="731"/>
      <c r="L1091" s="734"/>
      <c r="M1091" s="731"/>
      <c r="N1091" s="731"/>
      <c r="O1091" s="730"/>
      <c r="P1091" s="731"/>
      <c r="Q1091" s="731"/>
      <c r="R1091" s="734"/>
      <c r="S1091" s="731"/>
      <c r="T1091" s="731"/>
      <c r="U1091" s="734"/>
      <c r="V1091" s="731"/>
      <c r="W1091" s="731"/>
      <c r="X1091" s="734"/>
      <c r="Y1091" s="731"/>
      <c r="Z1091" s="731"/>
    </row>
    <row r="1092">
      <c r="C1092" s="734"/>
      <c r="D1092" s="731"/>
      <c r="E1092" s="731"/>
      <c r="F1092" s="734"/>
      <c r="G1092" s="731"/>
      <c r="H1092" s="731"/>
      <c r="I1092" s="734"/>
      <c r="J1092" s="731"/>
      <c r="K1092" s="731"/>
      <c r="L1092" s="734"/>
      <c r="M1092" s="731"/>
      <c r="N1092" s="731"/>
      <c r="O1092" s="730"/>
      <c r="P1092" s="731"/>
      <c r="Q1092" s="731"/>
      <c r="R1092" s="734"/>
      <c r="S1092" s="731"/>
      <c r="T1092" s="731"/>
      <c r="U1092" s="734"/>
      <c r="V1092" s="731"/>
      <c r="W1092" s="731"/>
      <c r="X1092" s="734"/>
      <c r="Y1092" s="731"/>
      <c r="Z1092" s="731"/>
    </row>
    <row r="1093">
      <c r="C1093" s="734"/>
      <c r="D1093" s="731"/>
      <c r="E1093" s="731"/>
      <c r="F1093" s="734"/>
      <c r="G1093" s="731"/>
      <c r="H1093" s="731"/>
      <c r="I1093" s="734"/>
      <c r="J1093" s="731"/>
      <c r="K1093" s="731"/>
      <c r="L1093" s="734"/>
      <c r="M1093" s="731"/>
      <c r="N1093" s="731"/>
      <c r="O1093" s="730"/>
      <c r="P1093" s="731"/>
      <c r="Q1093" s="731"/>
      <c r="R1093" s="734"/>
      <c r="S1093" s="731"/>
      <c r="T1093" s="731"/>
      <c r="U1093" s="734"/>
      <c r="V1093" s="731"/>
      <c r="W1093" s="731"/>
      <c r="X1093" s="734"/>
      <c r="Y1093" s="731"/>
      <c r="Z1093" s="731"/>
    </row>
    <row r="1094">
      <c r="C1094" s="734"/>
      <c r="D1094" s="731"/>
      <c r="E1094" s="731"/>
      <c r="F1094" s="734"/>
      <c r="G1094" s="731"/>
      <c r="H1094" s="731"/>
      <c r="I1094" s="734"/>
      <c r="J1094" s="731"/>
      <c r="K1094" s="731"/>
      <c r="L1094" s="734"/>
      <c r="M1094" s="731"/>
      <c r="N1094" s="731"/>
      <c r="O1094" s="730"/>
      <c r="P1094" s="731"/>
      <c r="Q1094" s="731"/>
      <c r="R1094" s="734"/>
      <c r="S1094" s="731"/>
      <c r="T1094" s="731"/>
      <c r="U1094" s="734"/>
      <c r="V1094" s="731"/>
      <c r="W1094" s="731"/>
      <c r="X1094" s="734"/>
      <c r="Y1094" s="731"/>
      <c r="Z1094" s="731"/>
    </row>
    <row r="1095">
      <c r="C1095" s="734"/>
      <c r="D1095" s="731"/>
      <c r="E1095" s="731"/>
      <c r="F1095" s="734"/>
      <c r="G1095" s="731"/>
      <c r="H1095" s="731"/>
      <c r="I1095" s="734"/>
      <c r="J1095" s="731"/>
      <c r="K1095" s="731"/>
      <c r="L1095" s="734"/>
      <c r="M1095" s="731"/>
      <c r="N1095" s="731"/>
      <c r="O1095" s="730"/>
      <c r="P1095" s="731"/>
      <c r="Q1095" s="731"/>
      <c r="R1095" s="734"/>
      <c r="S1095" s="731"/>
      <c r="T1095" s="731"/>
      <c r="U1095" s="734"/>
      <c r="V1095" s="731"/>
      <c r="W1095" s="731"/>
      <c r="X1095" s="734"/>
      <c r="Y1095" s="731"/>
      <c r="Z1095" s="731"/>
    </row>
    <row r="1096">
      <c r="C1096" s="734"/>
      <c r="D1096" s="731"/>
      <c r="E1096" s="731"/>
      <c r="F1096" s="734"/>
      <c r="G1096" s="731"/>
      <c r="H1096" s="731"/>
      <c r="I1096" s="734"/>
      <c r="J1096" s="731"/>
      <c r="K1096" s="731"/>
      <c r="L1096" s="734"/>
      <c r="M1096" s="731"/>
      <c r="N1096" s="731"/>
      <c r="O1096" s="730"/>
      <c r="P1096" s="731"/>
      <c r="Q1096" s="731"/>
      <c r="R1096" s="734"/>
      <c r="S1096" s="731"/>
      <c r="T1096" s="731"/>
      <c r="U1096" s="734"/>
      <c r="V1096" s="731"/>
      <c r="W1096" s="731"/>
      <c r="X1096" s="734"/>
      <c r="Y1096" s="731"/>
      <c r="Z1096" s="731"/>
    </row>
    <row r="1097">
      <c r="C1097" s="734"/>
      <c r="D1097" s="731"/>
      <c r="E1097" s="731"/>
      <c r="F1097" s="734"/>
      <c r="G1097" s="731"/>
      <c r="H1097" s="731"/>
      <c r="I1097" s="734"/>
      <c r="J1097" s="731"/>
      <c r="K1097" s="731"/>
      <c r="L1097" s="734"/>
      <c r="M1097" s="731"/>
      <c r="N1097" s="731"/>
      <c r="O1097" s="730"/>
      <c r="P1097" s="731"/>
      <c r="Q1097" s="731"/>
      <c r="R1097" s="734"/>
      <c r="S1097" s="731"/>
      <c r="T1097" s="731"/>
      <c r="U1097" s="734"/>
      <c r="V1097" s="731"/>
      <c r="W1097" s="731"/>
      <c r="X1097" s="734"/>
      <c r="Y1097" s="731"/>
      <c r="Z1097" s="731"/>
    </row>
    <row r="1098">
      <c r="C1098" s="734"/>
      <c r="D1098" s="731"/>
      <c r="E1098" s="731"/>
      <c r="F1098" s="734"/>
      <c r="G1098" s="731"/>
      <c r="H1098" s="731"/>
      <c r="I1098" s="734"/>
      <c r="J1098" s="731"/>
      <c r="K1098" s="731"/>
      <c r="L1098" s="734"/>
      <c r="M1098" s="731"/>
      <c r="N1098" s="731"/>
      <c r="O1098" s="730"/>
      <c r="P1098" s="731"/>
      <c r="Q1098" s="731"/>
      <c r="R1098" s="734"/>
      <c r="S1098" s="731"/>
      <c r="T1098" s="731"/>
      <c r="U1098" s="734"/>
      <c r="V1098" s="731"/>
      <c r="W1098" s="731"/>
      <c r="X1098" s="734"/>
      <c r="Y1098" s="731"/>
      <c r="Z1098" s="731"/>
    </row>
    <row r="1099">
      <c r="C1099" s="734"/>
      <c r="D1099" s="731"/>
      <c r="E1099" s="731"/>
      <c r="F1099" s="734"/>
      <c r="G1099" s="731"/>
      <c r="H1099" s="731"/>
      <c r="I1099" s="734"/>
      <c r="J1099" s="731"/>
      <c r="K1099" s="731"/>
      <c r="L1099" s="734"/>
      <c r="M1099" s="731"/>
      <c r="N1099" s="731"/>
      <c r="O1099" s="730"/>
      <c r="P1099" s="731"/>
      <c r="Q1099" s="731"/>
      <c r="R1099" s="734"/>
      <c r="S1099" s="731"/>
      <c r="T1099" s="731"/>
      <c r="U1099" s="734"/>
      <c r="V1099" s="731"/>
      <c r="W1099" s="731"/>
      <c r="X1099" s="734"/>
      <c r="Y1099" s="731"/>
      <c r="Z1099" s="731"/>
    </row>
    <row r="1100">
      <c r="C1100" s="734"/>
      <c r="D1100" s="731"/>
      <c r="E1100" s="731"/>
      <c r="F1100" s="734"/>
      <c r="G1100" s="731"/>
      <c r="H1100" s="731"/>
      <c r="I1100" s="734"/>
      <c r="J1100" s="731"/>
      <c r="K1100" s="731"/>
      <c r="L1100" s="734"/>
      <c r="M1100" s="731"/>
      <c r="N1100" s="731"/>
      <c r="O1100" s="730"/>
      <c r="P1100" s="731"/>
      <c r="Q1100" s="731"/>
      <c r="R1100" s="734"/>
      <c r="S1100" s="731"/>
      <c r="T1100" s="731"/>
      <c r="U1100" s="734"/>
      <c r="V1100" s="731"/>
      <c r="W1100" s="731"/>
      <c r="X1100" s="734"/>
      <c r="Y1100" s="731"/>
      <c r="Z1100" s="731"/>
    </row>
    <row r="1101">
      <c r="C1101" s="734"/>
      <c r="D1101" s="731"/>
      <c r="E1101" s="731"/>
      <c r="F1101" s="734"/>
      <c r="G1101" s="731"/>
      <c r="H1101" s="731"/>
      <c r="I1101" s="734"/>
      <c r="J1101" s="731"/>
      <c r="K1101" s="731"/>
      <c r="L1101" s="734"/>
      <c r="M1101" s="731"/>
      <c r="N1101" s="731"/>
      <c r="O1101" s="730"/>
      <c r="P1101" s="731"/>
      <c r="Q1101" s="731"/>
      <c r="R1101" s="734"/>
      <c r="S1101" s="731"/>
      <c r="T1101" s="731"/>
      <c r="U1101" s="734"/>
      <c r="V1101" s="731"/>
      <c r="W1101" s="731"/>
      <c r="X1101" s="734"/>
      <c r="Y1101" s="731"/>
      <c r="Z1101" s="731"/>
    </row>
    <row r="1102">
      <c r="C1102" s="734"/>
      <c r="D1102" s="731"/>
      <c r="E1102" s="731"/>
      <c r="F1102" s="734"/>
      <c r="G1102" s="731"/>
      <c r="H1102" s="731"/>
      <c r="I1102" s="734"/>
      <c r="J1102" s="731"/>
      <c r="K1102" s="731"/>
      <c r="L1102" s="734"/>
      <c r="M1102" s="731"/>
      <c r="N1102" s="731"/>
      <c r="O1102" s="730"/>
      <c r="P1102" s="731"/>
      <c r="Q1102" s="731"/>
      <c r="R1102" s="734"/>
      <c r="S1102" s="731"/>
      <c r="T1102" s="731"/>
      <c r="U1102" s="734"/>
      <c r="V1102" s="731"/>
      <c r="W1102" s="731"/>
      <c r="X1102" s="734"/>
      <c r="Y1102" s="731"/>
      <c r="Z1102" s="731"/>
    </row>
    <row r="1103">
      <c r="C1103" s="734"/>
      <c r="D1103" s="731"/>
      <c r="E1103" s="731"/>
      <c r="F1103" s="734"/>
      <c r="G1103" s="731"/>
      <c r="H1103" s="731"/>
      <c r="I1103" s="734"/>
      <c r="J1103" s="731"/>
      <c r="K1103" s="731"/>
      <c r="L1103" s="734"/>
      <c r="M1103" s="731"/>
      <c r="N1103" s="731"/>
      <c r="O1103" s="730"/>
      <c r="P1103" s="731"/>
      <c r="Q1103" s="731"/>
      <c r="R1103" s="734"/>
      <c r="S1103" s="731"/>
      <c r="T1103" s="731"/>
      <c r="U1103" s="734"/>
      <c r="V1103" s="731"/>
      <c r="W1103" s="731"/>
      <c r="X1103" s="734"/>
      <c r="Y1103" s="731"/>
      <c r="Z1103" s="731"/>
    </row>
    <row r="1104">
      <c r="C1104" s="734"/>
      <c r="D1104" s="731"/>
      <c r="E1104" s="731"/>
      <c r="F1104" s="734"/>
      <c r="G1104" s="731"/>
      <c r="H1104" s="731"/>
      <c r="I1104" s="734"/>
      <c r="J1104" s="731"/>
      <c r="K1104" s="731"/>
      <c r="L1104" s="734"/>
      <c r="M1104" s="731"/>
      <c r="N1104" s="731"/>
      <c r="O1104" s="730"/>
      <c r="P1104" s="731"/>
      <c r="Q1104" s="731"/>
      <c r="R1104" s="734"/>
      <c r="S1104" s="731"/>
      <c r="T1104" s="731"/>
      <c r="U1104" s="734"/>
      <c r="V1104" s="731"/>
      <c r="W1104" s="731"/>
      <c r="X1104" s="734"/>
      <c r="Y1104" s="731"/>
      <c r="Z1104" s="731"/>
    </row>
    <row r="1105">
      <c r="C1105" s="734"/>
      <c r="D1105" s="731"/>
      <c r="E1105" s="731"/>
      <c r="F1105" s="734"/>
      <c r="G1105" s="731"/>
      <c r="H1105" s="731"/>
      <c r="I1105" s="734"/>
      <c r="J1105" s="731"/>
      <c r="K1105" s="731"/>
      <c r="L1105" s="734"/>
      <c r="M1105" s="731"/>
      <c r="N1105" s="731"/>
      <c r="O1105" s="730"/>
      <c r="P1105" s="731"/>
      <c r="Q1105" s="731"/>
      <c r="R1105" s="734"/>
      <c r="S1105" s="731"/>
      <c r="T1105" s="731"/>
      <c r="U1105" s="734"/>
      <c r="V1105" s="731"/>
      <c r="W1105" s="731"/>
      <c r="X1105" s="734"/>
      <c r="Y1105" s="731"/>
      <c r="Z1105" s="731"/>
    </row>
    <row r="1106">
      <c r="C1106" s="734"/>
      <c r="D1106" s="731"/>
      <c r="E1106" s="731"/>
      <c r="F1106" s="734"/>
      <c r="G1106" s="731"/>
      <c r="H1106" s="731"/>
      <c r="I1106" s="734"/>
      <c r="J1106" s="731"/>
      <c r="K1106" s="731"/>
      <c r="L1106" s="734"/>
      <c r="M1106" s="731"/>
      <c r="N1106" s="731"/>
      <c r="O1106" s="730"/>
      <c r="P1106" s="731"/>
      <c r="Q1106" s="731"/>
      <c r="R1106" s="734"/>
      <c r="S1106" s="731"/>
      <c r="T1106" s="731"/>
      <c r="U1106" s="734"/>
      <c r="V1106" s="731"/>
      <c r="W1106" s="731"/>
      <c r="X1106" s="734"/>
      <c r="Y1106" s="731"/>
      <c r="Z1106" s="731"/>
    </row>
    <row r="1107">
      <c r="C1107" s="734"/>
      <c r="D1107" s="731"/>
      <c r="E1107" s="731"/>
      <c r="F1107" s="734"/>
      <c r="G1107" s="731"/>
      <c r="H1107" s="731"/>
      <c r="I1107" s="734"/>
      <c r="J1107" s="731"/>
      <c r="K1107" s="731"/>
      <c r="L1107" s="734"/>
      <c r="M1107" s="731"/>
      <c r="N1107" s="731"/>
      <c r="O1107" s="730"/>
      <c r="P1107" s="731"/>
      <c r="Q1107" s="731"/>
      <c r="R1107" s="734"/>
      <c r="S1107" s="731"/>
      <c r="T1107" s="731"/>
      <c r="U1107" s="734"/>
      <c r="V1107" s="731"/>
      <c r="W1107" s="731"/>
      <c r="X1107" s="734"/>
      <c r="Y1107" s="731"/>
      <c r="Z1107" s="731"/>
    </row>
    <row r="1108">
      <c r="C1108" s="734"/>
      <c r="D1108" s="731"/>
      <c r="E1108" s="731"/>
      <c r="F1108" s="734"/>
      <c r="G1108" s="731"/>
      <c r="H1108" s="731"/>
      <c r="I1108" s="734"/>
      <c r="J1108" s="731"/>
      <c r="K1108" s="731"/>
      <c r="L1108" s="734"/>
      <c r="M1108" s="731"/>
      <c r="N1108" s="731"/>
      <c r="O1108" s="730"/>
      <c r="P1108" s="731"/>
      <c r="Q1108" s="731"/>
      <c r="R1108" s="734"/>
      <c r="S1108" s="731"/>
      <c r="T1108" s="731"/>
      <c r="U1108" s="734"/>
      <c r="V1108" s="731"/>
      <c r="W1108" s="731"/>
      <c r="X1108" s="734"/>
      <c r="Y1108" s="731"/>
      <c r="Z1108" s="731"/>
    </row>
    <row r="1109">
      <c r="C1109" s="734"/>
      <c r="D1109" s="731"/>
      <c r="E1109" s="731"/>
      <c r="F1109" s="734"/>
      <c r="G1109" s="731"/>
      <c r="H1109" s="731"/>
      <c r="I1109" s="734"/>
      <c r="J1109" s="731"/>
      <c r="K1109" s="731"/>
      <c r="L1109" s="734"/>
      <c r="M1109" s="731"/>
      <c r="N1109" s="731"/>
      <c r="O1109" s="730"/>
      <c r="P1109" s="731"/>
      <c r="Q1109" s="731"/>
      <c r="R1109" s="734"/>
      <c r="S1109" s="731"/>
      <c r="T1109" s="731"/>
      <c r="U1109" s="734"/>
      <c r="V1109" s="731"/>
      <c r="W1109" s="731"/>
      <c r="X1109" s="734"/>
      <c r="Y1109" s="731"/>
      <c r="Z1109" s="731"/>
    </row>
    <row r="1110">
      <c r="C1110" s="734"/>
      <c r="D1110" s="731"/>
      <c r="E1110" s="731"/>
      <c r="F1110" s="734"/>
      <c r="G1110" s="731"/>
      <c r="H1110" s="731"/>
      <c r="I1110" s="734"/>
      <c r="J1110" s="731"/>
      <c r="K1110" s="731"/>
      <c r="L1110" s="734"/>
      <c r="M1110" s="731"/>
      <c r="N1110" s="731"/>
      <c r="O1110" s="730"/>
      <c r="P1110" s="731"/>
      <c r="Q1110" s="731"/>
      <c r="R1110" s="734"/>
      <c r="S1110" s="731"/>
      <c r="T1110" s="731"/>
      <c r="U1110" s="734"/>
      <c r="V1110" s="731"/>
      <c r="W1110" s="731"/>
      <c r="X1110" s="734"/>
      <c r="Y1110" s="731"/>
      <c r="Z1110" s="731"/>
    </row>
    <row r="1111">
      <c r="C1111" s="734"/>
      <c r="D1111" s="731"/>
      <c r="E1111" s="731"/>
      <c r="F1111" s="734"/>
      <c r="G1111" s="731"/>
      <c r="H1111" s="731"/>
      <c r="I1111" s="734"/>
      <c r="J1111" s="731"/>
      <c r="K1111" s="731"/>
      <c r="L1111" s="734"/>
      <c r="M1111" s="731"/>
      <c r="N1111" s="731"/>
      <c r="O1111" s="730"/>
      <c r="P1111" s="731"/>
      <c r="Q1111" s="731"/>
      <c r="R1111" s="734"/>
      <c r="S1111" s="731"/>
      <c r="T1111" s="731"/>
      <c r="U1111" s="734"/>
      <c r="V1111" s="731"/>
      <c r="W1111" s="731"/>
      <c r="X1111" s="734"/>
      <c r="Y1111" s="731"/>
      <c r="Z1111" s="731"/>
    </row>
    <row r="1112">
      <c r="C1112" s="734"/>
      <c r="D1112" s="731"/>
      <c r="E1112" s="731"/>
      <c r="F1112" s="734"/>
      <c r="G1112" s="731"/>
      <c r="H1112" s="731"/>
      <c r="I1112" s="734"/>
      <c r="J1112" s="731"/>
      <c r="K1112" s="731"/>
      <c r="L1112" s="734"/>
      <c r="M1112" s="731"/>
      <c r="N1112" s="731"/>
      <c r="O1112" s="730"/>
      <c r="P1112" s="731"/>
      <c r="Q1112" s="731"/>
      <c r="R1112" s="734"/>
      <c r="S1112" s="731"/>
      <c r="T1112" s="731"/>
      <c r="U1112" s="734"/>
      <c r="V1112" s="731"/>
      <c r="W1112" s="731"/>
      <c r="X1112" s="734"/>
      <c r="Y1112" s="731"/>
      <c r="Z1112" s="731"/>
    </row>
    <row r="1113">
      <c r="C1113" s="734"/>
      <c r="D1113" s="731"/>
      <c r="E1113" s="731"/>
      <c r="F1113" s="734"/>
      <c r="G1113" s="731"/>
      <c r="H1113" s="731"/>
      <c r="I1113" s="734"/>
      <c r="J1113" s="731"/>
      <c r="K1113" s="731"/>
      <c r="L1113" s="734"/>
      <c r="M1113" s="731"/>
      <c r="N1113" s="731"/>
      <c r="O1113" s="730"/>
      <c r="P1113" s="731"/>
      <c r="Q1113" s="731"/>
      <c r="R1113" s="734"/>
      <c r="S1113" s="731"/>
      <c r="T1113" s="731"/>
      <c r="U1113" s="734"/>
      <c r="V1113" s="731"/>
      <c r="W1113" s="731"/>
      <c r="X1113" s="734"/>
      <c r="Y1113" s="731"/>
      <c r="Z1113" s="731"/>
    </row>
    <row r="1114">
      <c r="C1114" s="734"/>
      <c r="D1114" s="731"/>
      <c r="E1114" s="731"/>
      <c r="F1114" s="734"/>
      <c r="G1114" s="731"/>
      <c r="H1114" s="731"/>
      <c r="I1114" s="734"/>
      <c r="J1114" s="731"/>
      <c r="K1114" s="731"/>
      <c r="L1114" s="734"/>
      <c r="M1114" s="731"/>
      <c r="N1114" s="731"/>
      <c r="O1114" s="730"/>
      <c r="P1114" s="731"/>
      <c r="Q1114" s="731"/>
      <c r="R1114" s="734"/>
      <c r="S1114" s="731"/>
      <c r="T1114" s="731"/>
      <c r="U1114" s="734"/>
      <c r="V1114" s="731"/>
      <c r="W1114" s="731"/>
      <c r="X1114" s="734"/>
      <c r="Y1114" s="731"/>
      <c r="Z1114" s="731"/>
    </row>
    <row r="1115">
      <c r="C1115" s="734"/>
      <c r="D1115" s="731"/>
      <c r="E1115" s="731"/>
      <c r="F1115" s="734"/>
      <c r="G1115" s="731"/>
      <c r="H1115" s="731"/>
      <c r="I1115" s="734"/>
      <c r="J1115" s="731"/>
      <c r="K1115" s="731"/>
      <c r="L1115" s="734"/>
      <c r="M1115" s="731"/>
      <c r="N1115" s="731"/>
      <c r="O1115" s="730"/>
      <c r="P1115" s="731"/>
      <c r="Q1115" s="731"/>
      <c r="R1115" s="734"/>
      <c r="S1115" s="731"/>
      <c r="T1115" s="731"/>
      <c r="U1115" s="734"/>
      <c r="V1115" s="731"/>
      <c r="W1115" s="731"/>
      <c r="X1115" s="734"/>
      <c r="Y1115" s="731"/>
      <c r="Z1115" s="731"/>
    </row>
    <row r="1116">
      <c r="C1116" s="734"/>
      <c r="D1116" s="731"/>
      <c r="E1116" s="731"/>
      <c r="F1116" s="734"/>
      <c r="G1116" s="731"/>
      <c r="H1116" s="731"/>
      <c r="I1116" s="734"/>
      <c r="J1116" s="731"/>
      <c r="K1116" s="731"/>
      <c r="L1116" s="734"/>
      <c r="M1116" s="731"/>
      <c r="N1116" s="731"/>
      <c r="O1116" s="730"/>
      <c r="P1116" s="731"/>
      <c r="Q1116" s="731"/>
      <c r="R1116" s="734"/>
      <c r="S1116" s="731"/>
      <c r="T1116" s="731"/>
      <c r="U1116" s="734"/>
      <c r="V1116" s="731"/>
      <c r="W1116" s="731"/>
      <c r="X1116" s="734"/>
      <c r="Y1116" s="731"/>
      <c r="Z1116" s="731"/>
    </row>
    <row r="1117">
      <c r="C1117" s="734"/>
      <c r="D1117" s="731"/>
      <c r="E1117" s="731"/>
      <c r="F1117" s="734"/>
      <c r="G1117" s="731"/>
      <c r="H1117" s="731"/>
      <c r="I1117" s="734"/>
      <c r="J1117" s="731"/>
      <c r="K1117" s="731"/>
      <c r="L1117" s="734"/>
      <c r="M1117" s="731"/>
      <c r="N1117" s="731"/>
      <c r="O1117" s="730"/>
      <c r="P1117" s="731"/>
      <c r="Q1117" s="731"/>
      <c r="R1117" s="734"/>
      <c r="S1117" s="731"/>
      <c r="T1117" s="731"/>
      <c r="U1117" s="734"/>
      <c r="V1117" s="731"/>
      <c r="W1117" s="731"/>
      <c r="X1117" s="734"/>
      <c r="Y1117" s="731"/>
      <c r="Z1117" s="731"/>
    </row>
    <row r="1118">
      <c r="C1118" s="734"/>
      <c r="D1118" s="731"/>
      <c r="E1118" s="731"/>
      <c r="F1118" s="734"/>
      <c r="G1118" s="731"/>
      <c r="H1118" s="731"/>
      <c r="I1118" s="734"/>
      <c r="J1118" s="731"/>
      <c r="K1118" s="731"/>
      <c r="L1118" s="734"/>
      <c r="M1118" s="731"/>
      <c r="N1118" s="731"/>
      <c r="O1118" s="730"/>
      <c r="P1118" s="731"/>
      <c r="Q1118" s="731"/>
      <c r="R1118" s="734"/>
      <c r="S1118" s="731"/>
      <c r="T1118" s="731"/>
      <c r="U1118" s="734"/>
      <c r="V1118" s="731"/>
      <c r="W1118" s="731"/>
      <c r="X1118" s="734"/>
      <c r="Y1118" s="731"/>
      <c r="Z1118" s="731"/>
    </row>
    <row r="1119">
      <c r="C1119" s="734"/>
      <c r="D1119" s="731"/>
      <c r="E1119" s="731"/>
      <c r="F1119" s="734"/>
      <c r="G1119" s="731"/>
      <c r="H1119" s="731"/>
      <c r="I1119" s="734"/>
      <c r="J1119" s="731"/>
      <c r="K1119" s="731"/>
      <c r="L1119" s="734"/>
      <c r="M1119" s="731"/>
      <c r="N1119" s="731"/>
      <c r="O1119" s="730"/>
      <c r="P1119" s="731"/>
      <c r="Q1119" s="731"/>
      <c r="R1119" s="734"/>
      <c r="S1119" s="731"/>
      <c r="T1119" s="731"/>
      <c r="U1119" s="734"/>
      <c r="V1119" s="731"/>
      <c r="W1119" s="731"/>
      <c r="X1119" s="734"/>
      <c r="Y1119" s="731"/>
      <c r="Z1119" s="731"/>
    </row>
    <row r="1120">
      <c r="C1120" s="734"/>
      <c r="D1120" s="731"/>
      <c r="E1120" s="731"/>
      <c r="F1120" s="734"/>
      <c r="G1120" s="731"/>
      <c r="H1120" s="731"/>
      <c r="I1120" s="734"/>
      <c r="J1120" s="731"/>
      <c r="K1120" s="731"/>
      <c r="L1120" s="734"/>
      <c r="M1120" s="731"/>
      <c r="N1120" s="731"/>
      <c r="O1120" s="730"/>
      <c r="P1120" s="731"/>
      <c r="Q1120" s="731"/>
      <c r="R1120" s="734"/>
      <c r="S1120" s="731"/>
      <c r="T1120" s="731"/>
      <c r="U1120" s="734"/>
      <c r="V1120" s="731"/>
      <c r="W1120" s="731"/>
      <c r="X1120" s="734"/>
      <c r="Y1120" s="731"/>
      <c r="Z1120" s="731"/>
    </row>
    <row r="1121">
      <c r="C1121" s="734"/>
      <c r="D1121" s="731"/>
      <c r="E1121" s="731"/>
      <c r="F1121" s="734"/>
      <c r="G1121" s="731"/>
      <c r="H1121" s="731"/>
      <c r="I1121" s="734"/>
      <c r="J1121" s="731"/>
      <c r="K1121" s="731"/>
      <c r="L1121" s="734"/>
      <c r="M1121" s="731"/>
      <c r="N1121" s="731"/>
      <c r="O1121" s="730"/>
      <c r="P1121" s="731"/>
      <c r="Q1121" s="731"/>
      <c r="R1121" s="734"/>
      <c r="S1121" s="731"/>
      <c r="T1121" s="731"/>
      <c r="U1121" s="734"/>
      <c r="V1121" s="731"/>
      <c r="W1121" s="731"/>
      <c r="X1121" s="734"/>
      <c r="Y1121" s="731"/>
      <c r="Z1121" s="731"/>
    </row>
    <row r="1122">
      <c r="C1122" s="734"/>
      <c r="D1122" s="731"/>
      <c r="E1122" s="731"/>
      <c r="F1122" s="734"/>
      <c r="G1122" s="731"/>
      <c r="H1122" s="731"/>
      <c r="I1122" s="734"/>
      <c r="J1122" s="731"/>
      <c r="K1122" s="731"/>
      <c r="L1122" s="734"/>
      <c r="M1122" s="731"/>
      <c r="N1122" s="731"/>
      <c r="O1122" s="730"/>
      <c r="P1122" s="731"/>
      <c r="Q1122" s="731"/>
      <c r="R1122" s="734"/>
      <c r="S1122" s="731"/>
      <c r="T1122" s="731"/>
      <c r="U1122" s="734"/>
      <c r="V1122" s="731"/>
      <c r="W1122" s="731"/>
      <c r="X1122" s="734"/>
      <c r="Y1122" s="731"/>
      <c r="Z1122" s="731"/>
    </row>
    <row r="1123">
      <c r="C1123" s="734"/>
      <c r="D1123" s="731"/>
      <c r="E1123" s="731"/>
      <c r="F1123" s="734"/>
      <c r="G1123" s="731"/>
      <c r="H1123" s="731"/>
      <c r="I1123" s="734"/>
      <c r="J1123" s="731"/>
      <c r="K1123" s="731"/>
      <c r="L1123" s="734"/>
      <c r="M1123" s="731"/>
      <c r="N1123" s="731"/>
      <c r="O1123" s="730"/>
      <c r="P1123" s="731"/>
      <c r="Q1123" s="731"/>
      <c r="R1123" s="734"/>
      <c r="S1123" s="731"/>
      <c r="T1123" s="731"/>
      <c r="U1123" s="734"/>
      <c r="V1123" s="731"/>
      <c r="W1123" s="731"/>
      <c r="X1123" s="734"/>
      <c r="Y1123" s="731"/>
      <c r="Z1123" s="731"/>
    </row>
    <row r="1124">
      <c r="C1124" s="734"/>
      <c r="D1124" s="731"/>
      <c r="E1124" s="731"/>
      <c r="F1124" s="734"/>
      <c r="G1124" s="731"/>
      <c r="H1124" s="731"/>
      <c r="I1124" s="734"/>
      <c r="J1124" s="731"/>
      <c r="K1124" s="731"/>
      <c r="L1124" s="734"/>
      <c r="M1124" s="731"/>
      <c r="N1124" s="731"/>
      <c r="O1124" s="730"/>
      <c r="P1124" s="731"/>
      <c r="Q1124" s="731"/>
      <c r="R1124" s="734"/>
      <c r="S1124" s="731"/>
      <c r="T1124" s="731"/>
      <c r="U1124" s="734"/>
      <c r="V1124" s="731"/>
      <c r="W1124" s="731"/>
      <c r="X1124" s="734"/>
      <c r="Y1124" s="731"/>
      <c r="Z1124" s="731"/>
    </row>
    <row r="1125">
      <c r="C1125" s="734"/>
      <c r="D1125" s="731"/>
      <c r="E1125" s="731"/>
      <c r="F1125" s="734"/>
      <c r="G1125" s="731"/>
      <c r="H1125" s="731"/>
      <c r="I1125" s="734"/>
      <c r="J1125" s="731"/>
      <c r="K1125" s="731"/>
      <c r="L1125" s="734"/>
      <c r="M1125" s="731"/>
      <c r="N1125" s="731"/>
      <c r="O1125" s="730"/>
      <c r="P1125" s="731"/>
      <c r="Q1125" s="731"/>
      <c r="R1125" s="734"/>
      <c r="S1125" s="731"/>
      <c r="T1125" s="731"/>
      <c r="U1125" s="734"/>
      <c r="V1125" s="731"/>
      <c r="W1125" s="731"/>
      <c r="X1125" s="734"/>
      <c r="Y1125" s="731"/>
      <c r="Z1125" s="731"/>
    </row>
    <row r="1126">
      <c r="C1126" s="734"/>
      <c r="D1126" s="731"/>
      <c r="E1126" s="731"/>
      <c r="F1126" s="734"/>
      <c r="G1126" s="731"/>
      <c r="H1126" s="731"/>
      <c r="I1126" s="734"/>
      <c r="J1126" s="731"/>
      <c r="K1126" s="731"/>
      <c r="L1126" s="734"/>
      <c r="M1126" s="731"/>
      <c r="N1126" s="731"/>
      <c r="O1126" s="730"/>
      <c r="P1126" s="731"/>
      <c r="Q1126" s="731"/>
      <c r="R1126" s="734"/>
      <c r="S1126" s="731"/>
      <c r="T1126" s="731"/>
      <c r="U1126" s="734"/>
      <c r="V1126" s="731"/>
      <c r="W1126" s="731"/>
      <c r="X1126" s="734"/>
      <c r="Y1126" s="731"/>
      <c r="Z1126" s="731"/>
    </row>
    <row r="1127">
      <c r="C1127" s="734"/>
      <c r="D1127" s="731"/>
      <c r="E1127" s="731"/>
      <c r="F1127" s="734"/>
      <c r="G1127" s="731"/>
      <c r="H1127" s="731"/>
      <c r="I1127" s="734"/>
      <c r="J1127" s="731"/>
      <c r="K1127" s="731"/>
      <c r="L1127" s="734"/>
      <c r="M1127" s="731"/>
      <c r="N1127" s="731"/>
      <c r="O1127" s="730"/>
      <c r="P1127" s="731"/>
      <c r="Q1127" s="731"/>
      <c r="R1127" s="734"/>
      <c r="S1127" s="731"/>
      <c r="T1127" s="731"/>
      <c r="U1127" s="734"/>
      <c r="V1127" s="731"/>
      <c r="W1127" s="731"/>
      <c r="X1127" s="734"/>
      <c r="Y1127" s="731"/>
      <c r="Z1127" s="731"/>
    </row>
    <row r="1128">
      <c r="C1128" s="734"/>
      <c r="D1128" s="731"/>
      <c r="E1128" s="731"/>
      <c r="F1128" s="734"/>
      <c r="G1128" s="731"/>
      <c r="H1128" s="731"/>
      <c r="I1128" s="734"/>
      <c r="J1128" s="731"/>
      <c r="K1128" s="731"/>
      <c r="L1128" s="734"/>
      <c r="M1128" s="731"/>
      <c r="N1128" s="731"/>
      <c r="O1128" s="730"/>
      <c r="P1128" s="731"/>
      <c r="Q1128" s="731"/>
      <c r="R1128" s="734"/>
      <c r="S1128" s="731"/>
      <c r="T1128" s="731"/>
      <c r="U1128" s="734"/>
      <c r="V1128" s="731"/>
      <c r="W1128" s="731"/>
      <c r="X1128" s="734"/>
      <c r="Y1128" s="731"/>
      <c r="Z1128" s="731"/>
    </row>
    <row r="1129">
      <c r="C1129" s="734"/>
      <c r="D1129" s="731"/>
      <c r="E1129" s="731"/>
      <c r="F1129" s="734"/>
      <c r="G1129" s="731"/>
      <c r="H1129" s="731"/>
      <c r="I1129" s="734"/>
      <c r="J1129" s="731"/>
      <c r="K1129" s="731"/>
      <c r="L1129" s="734"/>
      <c r="M1129" s="731"/>
      <c r="N1129" s="731"/>
      <c r="O1129" s="730"/>
      <c r="P1129" s="731"/>
      <c r="Q1129" s="731"/>
      <c r="R1129" s="734"/>
      <c r="S1129" s="731"/>
      <c r="T1129" s="731"/>
      <c r="U1129" s="734"/>
      <c r="V1129" s="731"/>
      <c r="W1129" s="731"/>
      <c r="X1129" s="734"/>
      <c r="Y1129" s="731"/>
      <c r="Z1129" s="731"/>
    </row>
    <row r="1130">
      <c r="C1130" s="734"/>
      <c r="D1130" s="731"/>
      <c r="E1130" s="731"/>
      <c r="F1130" s="734"/>
      <c r="G1130" s="731"/>
      <c r="H1130" s="731"/>
      <c r="I1130" s="734"/>
      <c r="J1130" s="731"/>
      <c r="K1130" s="731"/>
      <c r="L1130" s="734"/>
      <c r="M1130" s="731"/>
      <c r="N1130" s="731"/>
      <c r="O1130" s="730"/>
      <c r="P1130" s="731"/>
      <c r="Q1130" s="731"/>
      <c r="R1130" s="734"/>
      <c r="S1130" s="731"/>
      <c r="T1130" s="731"/>
      <c r="U1130" s="734"/>
      <c r="V1130" s="731"/>
      <c r="W1130" s="731"/>
      <c r="X1130" s="734"/>
      <c r="Y1130" s="731"/>
      <c r="Z1130" s="731"/>
    </row>
    <row r="1131">
      <c r="C1131" s="734"/>
      <c r="D1131" s="731"/>
      <c r="E1131" s="731"/>
      <c r="F1131" s="734"/>
      <c r="G1131" s="731"/>
      <c r="H1131" s="731"/>
      <c r="I1131" s="734"/>
      <c r="J1131" s="731"/>
      <c r="K1131" s="731"/>
      <c r="L1131" s="734"/>
      <c r="M1131" s="731"/>
      <c r="N1131" s="731"/>
      <c r="O1131" s="730"/>
      <c r="P1131" s="731"/>
      <c r="Q1131" s="731"/>
      <c r="R1131" s="734"/>
      <c r="S1131" s="731"/>
      <c r="T1131" s="731"/>
      <c r="U1131" s="734"/>
      <c r="V1131" s="731"/>
      <c r="W1131" s="731"/>
      <c r="X1131" s="734"/>
      <c r="Y1131" s="731"/>
      <c r="Z1131" s="731"/>
    </row>
    <row r="1132">
      <c r="C1132" s="734"/>
      <c r="D1132" s="731"/>
      <c r="E1132" s="731"/>
      <c r="F1132" s="734"/>
      <c r="G1132" s="731"/>
      <c r="H1132" s="731"/>
      <c r="I1132" s="734"/>
      <c r="J1132" s="731"/>
      <c r="K1132" s="731"/>
      <c r="L1132" s="734"/>
      <c r="M1132" s="731"/>
      <c r="N1132" s="731"/>
      <c r="O1132" s="730"/>
      <c r="P1132" s="731"/>
      <c r="Q1132" s="731"/>
      <c r="R1132" s="734"/>
      <c r="S1132" s="731"/>
      <c r="T1132" s="731"/>
      <c r="U1132" s="734"/>
      <c r="V1132" s="731"/>
      <c r="W1132" s="731"/>
      <c r="X1132" s="734"/>
      <c r="Y1132" s="731"/>
      <c r="Z1132" s="731"/>
    </row>
    <row r="1133">
      <c r="C1133" s="734"/>
      <c r="D1133" s="731"/>
      <c r="E1133" s="731"/>
      <c r="F1133" s="734"/>
      <c r="G1133" s="731"/>
      <c r="H1133" s="731"/>
      <c r="I1133" s="734"/>
      <c r="J1133" s="731"/>
      <c r="K1133" s="731"/>
      <c r="L1133" s="734"/>
      <c r="M1133" s="731"/>
      <c r="N1133" s="731"/>
      <c r="O1133" s="730"/>
      <c r="P1133" s="731"/>
      <c r="Q1133" s="731"/>
      <c r="R1133" s="734"/>
      <c r="S1133" s="731"/>
      <c r="T1133" s="731"/>
      <c r="U1133" s="734"/>
      <c r="V1133" s="731"/>
      <c r="W1133" s="731"/>
      <c r="X1133" s="734"/>
      <c r="Y1133" s="731"/>
      <c r="Z1133" s="731"/>
    </row>
    <row r="1134">
      <c r="C1134" s="734"/>
      <c r="D1134" s="731"/>
      <c r="E1134" s="731"/>
      <c r="F1134" s="734"/>
      <c r="G1134" s="731"/>
      <c r="H1134" s="731"/>
      <c r="I1134" s="734"/>
      <c r="J1134" s="731"/>
      <c r="K1134" s="731"/>
      <c r="L1134" s="734"/>
      <c r="M1134" s="731"/>
      <c r="N1134" s="731"/>
      <c r="O1134" s="730"/>
      <c r="P1134" s="731"/>
      <c r="Q1134" s="731"/>
      <c r="R1134" s="734"/>
      <c r="S1134" s="731"/>
      <c r="T1134" s="731"/>
      <c r="U1134" s="734"/>
      <c r="V1134" s="731"/>
      <c r="W1134" s="731"/>
      <c r="X1134" s="734"/>
      <c r="Y1134" s="731"/>
      <c r="Z1134" s="731"/>
    </row>
    <row r="1135">
      <c r="C1135" s="734"/>
      <c r="D1135" s="731"/>
      <c r="E1135" s="731"/>
      <c r="F1135" s="734"/>
      <c r="G1135" s="731"/>
      <c r="H1135" s="731"/>
      <c r="I1135" s="734"/>
      <c r="J1135" s="731"/>
      <c r="K1135" s="731"/>
      <c r="L1135" s="734"/>
      <c r="M1135" s="731"/>
      <c r="N1135" s="731"/>
      <c r="O1135" s="730"/>
      <c r="P1135" s="731"/>
      <c r="Q1135" s="731"/>
      <c r="R1135" s="734"/>
      <c r="S1135" s="731"/>
      <c r="T1135" s="731"/>
      <c r="U1135" s="734"/>
      <c r="V1135" s="731"/>
      <c r="W1135" s="731"/>
      <c r="X1135" s="734"/>
      <c r="Y1135" s="731"/>
      <c r="Z1135" s="731"/>
    </row>
    <row r="1136">
      <c r="C1136" s="734"/>
      <c r="D1136" s="731"/>
      <c r="E1136" s="731"/>
      <c r="F1136" s="734"/>
      <c r="G1136" s="731"/>
      <c r="H1136" s="731"/>
      <c r="I1136" s="734"/>
      <c r="J1136" s="731"/>
      <c r="K1136" s="731"/>
      <c r="L1136" s="734"/>
      <c r="M1136" s="731"/>
      <c r="N1136" s="731"/>
      <c r="O1136" s="730"/>
      <c r="P1136" s="731"/>
      <c r="Q1136" s="731"/>
      <c r="R1136" s="734"/>
      <c r="S1136" s="731"/>
      <c r="T1136" s="731"/>
      <c r="U1136" s="734"/>
      <c r="V1136" s="731"/>
      <c r="W1136" s="731"/>
      <c r="X1136" s="734"/>
      <c r="Y1136" s="731"/>
      <c r="Z1136" s="731"/>
    </row>
    <row r="1137">
      <c r="C1137" s="734"/>
      <c r="D1137" s="731"/>
      <c r="E1137" s="731"/>
      <c r="F1137" s="734"/>
      <c r="G1137" s="731"/>
      <c r="H1137" s="731"/>
      <c r="I1137" s="734"/>
      <c r="J1137" s="731"/>
      <c r="K1137" s="731"/>
      <c r="L1137" s="734"/>
      <c r="M1137" s="731"/>
      <c r="N1137" s="731"/>
      <c r="O1137" s="730"/>
      <c r="P1137" s="731"/>
      <c r="Q1137" s="731"/>
      <c r="R1137" s="734"/>
      <c r="S1137" s="731"/>
      <c r="T1137" s="731"/>
      <c r="U1137" s="734"/>
      <c r="V1137" s="731"/>
      <c r="W1137" s="731"/>
      <c r="X1137" s="734"/>
      <c r="Y1137" s="731"/>
      <c r="Z1137" s="731"/>
    </row>
    <row r="1138">
      <c r="C1138" s="734"/>
      <c r="D1138" s="731"/>
      <c r="E1138" s="731"/>
      <c r="F1138" s="734"/>
      <c r="G1138" s="731"/>
      <c r="H1138" s="731"/>
      <c r="I1138" s="734"/>
      <c r="J1138" s="731"/>
      <c r="K1138" s="731"/>
      <c r="L1138" s="734"/>
      <c r="M1138" s="731"/>
      <c r="N1138" s="731"/>
      <c r="O1138" s="730"/>
      <c r="P1138" s="731"/>
      <c r="Q1138" s="731"/>
      <c r="R1138" s="734"/>
      <c r="S1138" s="731"/>
      <c r="T1138" s="731"/>
      <c r="U1138" s="734"/>
      <c r="V1138" s="731"/>
      <c r="W1138" s="731"/>
      <c r="X1138" s="734"/>
      <c r="Y1138" s="731"/>
      <c r="Z1138" s="731"/>
    </row>
    <row r="1139">
      <c r="C1139" s="734"/>
      <c r="D1139" s="731"/>
      <c r="E1139" s="731"/>
      <c r="F1139" s="734"/>
      <c r="G1139" s="731"/>
      <c r="H1139" s="731"/>
      <c r="I1139" s="734"/>
      <c r="J1139" s="731"/>
      <c r="K1139" s="731"/>
      <c r="L1139" s="734"/>
      <c r="M1139" s="731"/>
      <c r="N1139" s="731"/>
      <c r="O1139" s="730"/>
      <c r="P1139" s="731"/>
      <c r="Q1139" s="731"/>
      <c r="R1139" s="734"/>
      <c r="S1139" s="731"/>
      <c r="T1139" s="731"/>
      <c r="U1139" s="734"/>
      <c r="V1139" s="731"/>
      <c r="W1139" s="731"/>
      <c r="X1139" s="734"/>
      <c r="Y1139" s="731"/>
      <c r="Z1139" s="731"/>
    </row>
    <row r="1140">
      <c r="C1140" s="734"/>
      <c r="D1140" s="731"/>
      <c r="E1140" s="731"/>
      <c r="F1140" s="734"/>
      <c r="G1140" s="731"/>
      <c r="H1140" s="731"/>
      <c r="I1140" s="734"/>
      <c r="J1140" s="731"/>
      <c r="K1140" s="731"/>
      <c r="L1140" s="734"/>
      <c r="M1140" s="731"/>
      <c r="N1140" s="731"/>
      <c r="O1140" s="730"/>
      <c r="P1140" s="731"/>
      <c r="Q1140" s="731"/>
      <c r="R1140" s="734"/>
      <c r="S1140" s="731"/>
      <c r="T1140" s="731"/>
      <c r="U1140" s="734"/>
      <c r="V1140" s="731"/>
      <c r="W1140" s="731"/>
      <c r="X1140" s="734"/>
      <c r="Y1140" s="731"/>
      <c r="Z1140" s="731"/>
    </row>
    <row r="1141">
      <c r="C1141" s="734"/>
      <c r="D1141" s="731"/>
      <c r="E1141" s="731"/>
      <c r="F1141" s="734"/>
      <c r="G1141" s="731"/>
      <c r="H1141" s="731"/>
      <c r="I1141" s="734"/>
      <c r="J1141" s="731"/>
      <c r="K1141" s="731"/>
      <c r="L1141" s="734"/>
      <c r="M1141" s="731"/>
      <c r="N1141" s="731"/>
      <c r="O1141" s="730"/>
      <c r="P1141" s="731"/>
      <c r="Q1141" s="731"/>
      <c r="R1141" s="734"/>
      <c r="S1141" s="731"/>
      <c r="T1141" s="731"/>
      <c r="U1141" s="734"/>
      <c r="V1141" s="731"/>
      <c r="W1141" s="731"/>
      <c r="X1141" s="734"/>
      <c r="Y1141" s="731"/>
      <c r="Z1141" s="731"/>
    </row>
    <row r="1142">
      <c r="C1142" s="734"/>
      <c r="D1142" s="731"/>
      <c r="E1142" s="731"/>
      <c r="F1142" s="734"/>
      <c r="G1142" s="731"/>
      <c r="H1142" s="731"/>
      <c r="I1142" s="734"/>
      <c r="J1142" s="731"/>
      <c r="K1142" s="731"/>
      <c r="L1142" s="734"/>
      <c r="M1142" s="731"/>
      <c r="N1142" s="731"/>
      <c r="O1142" s="730"/>
      <c r="P1142" s="731"/>
      <c r="Q1142" s="731"/>
      <c r="R1142" s="734"/>
      <c r="S1142" s="731"/>
      <c r="T1142" s="731"/>
      <c r="U1142" s="734"/>
      <c r="V1142" s="731"/>
      <c r="W1142" s="731"/>
      <c r="X1142" s="734"/>
      <c r="Y1142" s="731"/>
      <c r="Z1142" s="731"/>
    </row>
    <row r="1143">
      <c r="C1143" s="734"/>
      <c r="D1143" s="731"/>
      <c r="E1143" s="731"/>
      <c r="F1143" s="734"/>
      <c r="G1143" s="731"/>
      <c r="H1143" s="731"/>
      <c r="I1143" s="734"/>
      <c r="J1143" s="731"/>
      <c r="K1143" s="731"/>
      <c r="L1143" s="734"/>
      <c r="M1143" s="731"/>
      <c r="N1143" s="731"/>
      <c r="O1143" s="730"/>
      <c r="P1143" s="731"/>
      <c r="Q1143" s="731"/>
      <c r="R1143" s="734"/>
      <c r="S1143" s="731"/>
      <c r="T1143" s="731"/>
      <c r="U1143" s="734"/>
      <c r="V1143" s="731"/>
      <c r="W1143" s="731"/>
      <c r="X1143" s="734"/>
      <c r="Y1143" s="731"/>
      <c r="Z1143" s="731"/>
    </row>
    <row r="1144">
      <c r="C1144" s="734"/>
      <c r="D1144" s="731"/>
      <c r="E1144" s="731"/>
      <c r="F1144" s="734"/>
      <c r="G1144" s="731"/>
      <c r="H1144" s="731"/>
      <c r="I1144" s="734"/>
      <c r="J1144" s="731"/>
      <c r="K1144" s="731"/>
      <c r="L1144" s="734"/>
      <c r="M1144" s="731"/>
      <c r="N1144" s="731"/>
      <c r="O1144" s="730"/>
      <c r="P1144" s="731"/>
      <c r="Q1144" s="731"/>
      <c r="R1144" s="734"/>
      <c r="S1144" s="731"/>
      <c r="T1144" s="731"/>
      <c r="U1144" s="734"/>
      <c r="V1144" s="731"/>
      <c r="W1144" s="731"/>
      <c r="X1144" s="734"/>
      <c r="Y1144" s="731"/>
      <c r="Z1144" s="731"/>
    </row>
    <row r="1145">
      <c r="C1145" s="734"/>
      <c r="D1145" s="731"/>
      <c r="E1145" s="731"/>
      <c r="F1145" s="734"/>
      <c r="G1145" s="731"/>
      <c r="H1145" s="731"/>
      <c r="I1145" s="734"/>
      <c r="J1145" s="731"/>
      <c r="K1145" s="731"/>
      <c r="L1145" s="734"/>
      <c r="M1145" s="731"/>
      <c r="N1145" s="731"/>
      <c r="O1145" s="730"/>
      <c r="P1145" s="731"/>
      <c r="Q1145" s="731"/>
      <c r="R1145" s="734"/>
      <c r="S1145" s="731"/>
      <c r="T1145" s="731"/>
      <c r="U1145" s="734"/>
      <c r="V1145" s="731"/>
      <c r="W1145" s="731"/>
      <c r="X1145" s="734"/>
      <c r="Y1145" s="731"/>
      <c r="Z1145" s="731"/>
    </row>
    <row r="1146">
      <c r="C1146" s="734"/>
      <c r="D1146" s="731"/>
      <c r="E1146" s="731"/>
      <c r="F1146" s="734"/>
      <c r="G1146" s="731"/>
      <c r="H1146" s="731"/>
      <c r="I1146" s="734"/>
      <c r="J1146" s="731"/>
      <c r="K1146" s="731"/>
      <c r="L1146" s="734"/>
      <c r="M1146" s="731"/>
      <c r="N1146" s="731"/>
      <c r="O1146" s="730"/>
      <c r="P1146" s="731"/>
      <c r="Q1146" s="731"/>
      <c r="R1146" s="734"/>
      <c r="S1146" s="731"/>
      <c r="T1146" s="731"/>
      <c r="U1146" s="734"/>
      <c r="V1146" s="731"/>
      <c r="W1146" s="731"/>
      <c r="X1146" s="734"/>
      <c r="Y1146" s="731"/>
      <c r="Z1146" s="731"/>
    </row>
    <row r="1147">
      <c r="C1147" s="734"/>
      <c r="D1147" s="731"/>
      <c r="E1147" s="731"/>
      <c r="F1147" s="734"/>
      <c r="G1147" s="731"/>
      <c r="H1147" s="731"/>
      <c r="I1147" s="734"/>
      <c r="J1147" s="731"/>
      <c r="K1147" s="731"/>
      <c r="L1147" s="734"/>
      <c r="M1147" s="731"/>
      <c r="N1147" s="731"/>
      <c r="O1147" s="730"/>
      <c r="P1147" s="731"/>
      <c r="Q1147" s="731"/>
      <c r="R1147" s="734"/>
      <c r="S1147" s="731"/>
      <c r="T1147" s="731"/>
      <c r="U1147" s="734"/>
      <c r="V1147" s="731"/>
      <c r="W1147" s="731"/>
      <c r="X1147" s="734"/>
      <c r="Y1147" s="731"/>
      <c r="Z1147" s="731"/>
    </row>
    <row r="1148">
      <c r="C1148" s="734"/>
      <c r="D1148" s="731"/>
      <c r="E1148" s="731"/>
      <c r="F1148" s="734"/>
      <c r="G1148" s="731"/>
      <c r="H1148" s="731"/>
      <c r="I1148" s="734"/>
      <c r="J1148" s="731"/>
      <c r="K1148" s="731"/>
      <c r="L1148" s="734"/>
      <c r="M1148" s="731"/>
      <c r="N1148" s="731"/>
      <c r="O1148" s="730"/>
      <c r="P1148" s="731"/>
      <c r="Q1148" s="731"/>
      <c r="R1148" s="734"/>
      <c r="S1148" s="731"/>
      <c r="T1148" s="731"/>
      <c r="U1148" s="734"/>
      <c r="V1148" s="731"/>
      <c r="W1148" s="731"/>
      <c r="X1148" s="734"/>
      <c r="Y1148" s="731"/>
      <c r="Z1148" s="731"/>
    </row>
    <row r="1149">
      <c r="C1149" s="734"/>
      <c r="D1149" s="731"/>
      <c r="E1149" s="731"/>
      <c r="F1149" s="734"/>
      <c r="G1149" s="731"/>
      <c r="H1149" s="731"/>
      <c r="I1149" s="734"/>
      <c r="J1149" s="731"/>
      <c r="K1149" s="731"/>
      <c r="L1149" s="734"/>
      <c r="M1149" s="731"/>
      <c r="N1149" s="731"/>
      <c r="O1149" s="730"/>
      <c r="P1149" s="731"/>
      <c r="Q1149" s="731"/>
      <c r="R1149" s="734"/>
      <c r="S1149" s="731"/>
      <c r="T1149" s="731"/>
      <c r="U1149" s="734"/>
      <c r="V1149" s="731"/>
      <c r="W1149" s="731"/>
      <c r="X1149" s="734"/>
      <c r="Y1149" s="731"/>
      <c r="Z1149" s="731"/>
    </row>
    <row r="1150">
      <c r="C1150" s="734"/>
      <c r="D1150" s="731"/>
      <c r="E1150" s="731"/>
      <c r="F1150" s="734"/>
      <c r="G1150" s="731"/>
      <c r="H1150" s="731"/>
      <c r="I1150" s="734"/>
      <c r="J1150" s="731"/>
      <c r="K1150" s="731"/>
      <c r="L1150" s="734"/>
      <c r="M1150" s="731"/>
      <c r="N1150" s="731"/>
      <c r="O1150" s="730"/>
      <c r="P1150" s="731"/>
      <c r="Q1150" s="731"/>
      <c r="R1150" s="734"/>
      <c r="S1150" s="731"/>
      <c r="T1150" s="731"/>
      <c r="U1150" s="734"/>
      <c r="V1150" s="731"/>
      <c r="W1150" s="731"/>
      <c r="X1150" s="734"/>
      <c r="Y1150" s="731"/>
      <c r="Z1150" s="731"/>
    </row>
    <row r="1151">
      <c r="C1151" s="734"/>
      <c r="D1151" s="731"/>
      <c r="E1151" s="731"/>
      <c r="F1151" s="734"/>
      <c r="G1151" s="731"/>
      <c r="H1151" s="731"/>
      <c r="I1151" s="734"/>
      <c r="J1151" s="731"/>
      <c r="K1151" s="731"/>
      <c r="L1151" s="734"/>
      <c r="M1151" s="731"/>
      <c r="N1151" s="731"/>
      <c r="O1151" s="730"/>
      <c r="P1151" s="731"/>
      <c r="Q1151" s="731"/>
      <c r="R1151" s="734"/>
      <c r="S1151" s="731"/>
      <c r="T1151" s="731"/>
      <c r="U1151" s="734"/>
      <c r="V1151" s="731"/>
      <c r="W1151" s="731"/>
      <c r="X1151" s="734"/>
      <c r="Y1151" s="731"/>
      <c r="Z1151" s="731"/>
    </row>
    <row r="1152">
      <c r="C1152" s="734"/>
      <c r="D1152" s="731"/>
      <c r="E1152" s="731"/>
      <c r="F1152" s="734"/>
      <c r="G1152" s="731"/>
      <c r="H1152" s="731"/>
      <c r="I1152" s="734"/>
      <c r="J1152" s="731"/>
      <c r="K1152" s="731"/>
      <c r="L1152" s="734"/>
      <c r="M1152" s="731"/>
      <c r="N1152" s="731"/>
      <c r="O1152" s="730"/>
      <c r="P1152" s="731"/>
      <c r="Q1152" s="731"/>
      <c r="R1152" s="734"/>
      <c r="S1152" s="731"/>
      <c r="T1152" s="731"/>
      <c r="U1152" s="734"/>
      <c r="V1152" s="731"/>
      <c r="W1152" s="731"/>
      <c r="X1152" s="734"/>
      <c r="Y1152" s="731"/>
      <c r="Z1152" s="731"/>
    </row>
    <row r="1153">
      <c r="C1153" s="734"/>
      <c r="D1153" s="731"/>
      <c r="E1153" s="731"/>
      <c r="F1153" s="734"/>
      <c r="G1153" s="731"/>
      <c r="H1153" s="731"/>
      <c r="I1153" s="734"/>
      <c r="J1153" s="731"/>
      <c r="K1153" s="731"/>
      <c r="L1153" s="734"/>
      <c r="M1153" s="731"/>
      <c r="N1153" s="731"/>
      <c r="O1153" s="730"/>
      <c r="P1153" s="731"/>
      <c r="Q1153" s="731"/>
      <c r="R1153" s="734"/>
      <c r="S1153" s="731"/>
      <c r="T1153" s="731"/>
      <c r="U1153" s="734"/>
      <c r="V1153" s="731"/>
      <c r="W1153" s="731"/>
      <c r="X1153" s="734"/>
      <c r="Y1153" s="731"/>
      <c r="Z1153" s="731"/>
    </row>
    <row r="1154">
      <c r="C1154" s="734"/>
      <c r="D1154" s="731"/>
      <c r="E1154" s="731"/>
      <c r="F1154" s="734"/>
      <c r="G1154" s="731"/>
      <c r="H1154" s="731"/>
      <c r="I1154" s="734"/>
      <c r="J1154" s="731"/>
      <c r="K1154" s="731"/>
      <c r="L1154" s="734"/>
      <c r="M1154" s="731"/>
      <c r="N1154" s="731"/>
      <c r="O1154" s="730"/>
      <c r="P1154" s="731"/>
      <c r="Q1154" s="731"/>
      <c r="R1154" s="734"/>
      <c r="S1154" s="731"/>
      <c r="T1154" s="731"/>
      <c r="U1154" s="734"/>
      <c r="V1154" s="731"/>
      <c r="W1154" s="731"/>
      <c r="X1154" s="734"/>
      <c r="Y1154" s="731"/>
      <c r="Z1154" s="731"/>
    </row>
    <row r="1155">
      <c r="C1155" s="734"/>
      <c r="D1155" s="731"/>
      <c r="E1155" s="731"/>
      <c r="F1155" s="734"/>
      <c r="G1155" s="731"/>
      <c r="H1155" s="731"/>
      <c r="I1155" s="734"/>
      <c r="J1155" s="731"/>
      <c r="K1155" s="731"/>
      <c r="L1155" s="734"/>
      <c r="M1155" s="731"/>
      <c r="N1155" s="731"/>
      <c r="O1155" s="730"/>
      <c r="P1155" s="731"/>
      <c r="Q1155" s="731"/>
      <c r="R1155" s="734"/>
      <c r="S1155" s="731"/>
      <c r="T1155" s="731"/>
      <c r="U1155" s="734"/>
      <c r="V1155" s="731"/>
      <c r="W1155" s="731"/>
      <c r="X1155" s="734"/>
      <c r="Y1155" s="731"/>
      <c r="Z1155" s="731"/>
    </row>
    <row r="1156">
      <c r="C1156" s="734"/>
      <c r="D1156" s="731"/>
      <c r="E1156" s="731"/>
      <c r="F1156" s="734"/>
      <c r="G1156" s="731"/>
      <c r="H1156" s="731"/>
      <c r="I1156" s="734"/>
      <c r="J1156" s="731"/>
      <c r="K1156" s="731"/>
      <c r="L1156" s="734"/>
      <c r="M1156" s="731"/>
      <c r="N1156" s="731"/>
      <c r="O1156" s="730"/>
      <c r="P1156" s="731"/>
      <c r="Q1156" s="731"/>
      <c r="R1156" s="734"/>
      <c r="S1156" s="731"/>
      <c r="T1156" s="731"/>
      <c r="U1156" s="734"/>
      <c r="V1156" s="731"/>
      <c r="W1156" s="731"/>
      <c r="X1156" s="734"/>
      <c r="Y1156" s="731"/>
      <c r="Z1156" s="731"/>
    </row>
    <row r="1157">
      <c r="C1157" s="734"/>
      <c r="D1157" s="731"/>
      <c r="E1157" s="731"/>
      <c r="F1157" s="734"/>
      <c r="G1157" s="731"/>
      <c r="H1157" s="731"/>
      <c r="I1157" s="734"/>
      <c r="J1157" s="731"/>
      <c r="K1157" s="731"/>
      <c r="L1157" s="734"/>
      <c r="M1157" s="731"/>
      <c r="N1157" s="731"/>
      <c r="O1157" s="730"/>
      <c r="P1157" s="731"/>
      <c r="Q1157" s="731"/>
      <c r="R1157" s="734"/>
      <c r="S1157" s="731"/>
      <c r="T1157" s="731"/>
      <c r="U1157" s="734"/>
      <c r="V1157" s="731"/>
      <c r="W1157" s="731"/>
      <c r="X1157" s="734"/>
      <c r="Y1157" s="731"/>
      <c r="Z1157" s="731"/>
    </row>
    <row r="1158">
      <c r="C1158" s="734"/>
      <c r="D1158" s="731"/>
      <c r="E1158" s="731"/>
      <c r="F1158" s="734"/>
      <c r="G1158" s="731"/>
      <c r="H1158" s="731"/>
      <c r="I1158" s="734"/>
      <c r="J1158" s="731"/>
      <c r="K1158" s="731"/>
      <c r="L1158" s="734"/>
      <c r="M1158" s="731"/>
      <c r="N1158" s="731"/>
      <c r="O1158" s="730"/>
      <c r="P1158" s="731"/>
      <c r="Q1158" s="731"/>
      <c r="R1158" s="734"/>
      <c r="S1158" s="731"/>
      <c r="T1158" s="731"/>
      <c r="U1158" s="734"/>
      <c r="V1158" s="731"/>
      <c r="W1158" s="731"/>
      <c r="X1158" s="734"/>
      <c r="Y1158" s="731"/>
      <c r="Z1158" s="731"/>
    </row>
    <row r="1159">
      <c r="C1159" s="734"/>
      <c r="D1159" s="731"/>
      <c r="E1159" s="731"/>
      <c r="F1159" s="734"/>
      <c r="G1159" s="731"/>
      <c r="H1159" s="731"/>
      <c r="I1159" s="734"/>
      <c r="J1159" s="731"/>
      <c r="K1159" s="731"/>
      <c r="L1159" s="734"/>
      <c r="M1159" s="731"/>
      <c r="N1159" s="731"/>
      <c r="O1159" s="730"/>
      <c r="P1159" s="731"/>
      <c r="Q1159" s="731"/>
      <c r="R1159" s="734"/>
      <c r="S1159" s="731"/>
      <c r="T1159" s="731"/>
      <c r="U1159" s="734"/>
      <c r="V1159" s="731"/>
      <c r="W1159" s="731"/>
      <c r="X1159" s="734"/>
      <c r="Y1159" s="731"/>
      <c r="Z1159" s="731"/>
    </row>
    <row r="1160">
      <c r="C1160" s="734"/>
      <c r="D1160" s="731"/>
      <c r="E1160" s="731"/>
      <c r="F1160" s="734"/>
      <c r="G1160" s="731"/>
      <c r="H1160" s="731"/>
      <c r="I1160" s="734"/>
      <c r="J1160" s="731"/>
      <c r="K1160" s="731"/>
      <c r="L1160" s="734"/>
      <c r="M1160" s="731"/>
      <c r="N1160" s="731"/>
      <c r="O1160" s="730"/>
      <c r="P1160" s="731"/>
      <c r="Q1160" s="731"/>
      <c r="R1160" s="734"/>
      <c r="S1160" s="731"/>
      <c r="T1160" s="731"/>
      <c r="U1160" s="734"/>
      <c r="V1160" s="731"/>
      <c r="W1160" s="731"/>
      <c r="X1160" s="734"/>
      <c r="Y1160" s="731"/>
      <c r="Z1160" s="731"/>
    </row>
    <row r="1161">
      <c r="C1161" s="734"/>
      <c r="D1161" s="731"/>
      <c r="E1161" s="731"/>
      <c r="F1161" s="734"/>
      <c r="G1161" s="731"/>
      <c r="H1161" s="731"/>
      <c r="I1161" s="734"/>
      <c r="J1161" s="731"/>
      <c r="K1161" s="731"/>
      <c r="L1161" s="734"/>
      <c r="M1161" s="731"/>
      <c r="N1161" s="731"/>
      <c r="O1161" s="730"/>
      <c r="P1161" s="731"/>
      <c r="Q1161" s="731"/>
      <c r="R1161" s="734"/>
      <c r="S1161" s="731"/>
      <c r="T1161" s="731"/>
      <c r="U1161" s="734"/>
      <c r="V1161" s="731"/>
      <c r="W1161" s="731"/>
      <c r="X1161" s="734"/>
      <c r="Y1161" s="731"/>
      <c r="Z1161" s="731"/>
    </row>
    <row r="1162">
      <c r="C1162" s="734"/>
      <c r="D1162" s="731"/>
      <c r="E1162" s="731"/>
      <c r="F1162" s="734"/>
      <c r="G1162" s="731"/>
      <c r="H1162" s="731"/>
      <c r="I1162" s="734"/>
      <c r="J1162" s="731"/>
      <c r="K1162" s="731"/>
      <c r="L1162" s="734"/>
      <c r="M1162" s="731"/>
      <c r="N1162" s="731"/>
      <c r="O1162" s="730"/>
      <c r="P1162" s="731"/>
      <c r="Q1162" s="731"/>
      <c r="R1162" s="734"/>
      <c r="S1162" s="731"/>
      <c r="T1162" s="731"/>
      <c r="U1162" s="734"/>
      <c r="V1162" s="731"/>
      <c r="W1162" s="731"/>
      <c r="X1162" s="734"/>
      <c r="Y1162" s="731"/>
      <c r="Z1162" s="731"/>
    </row>
    <row r="1163">
      <c r="C1163" s="734"/>
      <c r="D1163" s="731"/>
      <c r="E1163" s="731"/>
      <c r="F1163" s="734"/>
      <c r="G1163" s="731"/>
      <c r="H1163" s="731"/>
      <c r="I1163" s="734"/>
      <c r="J1163" s="731"/>
      <c r="K1163" s="731"/>
      <c r="L1163" s="734"/>
      <c r="M1163" s="731"/>
      <c r="N1163" s="731"/>
      <c r="O1163" s="730"/>
      <c r="P1163" s="731"/>
      <c r="Q1163" s="731"/>
      <c r="R1163" s="734"/>
      <c r="S1163" s="731"/>
      <c r="T1163" s="731"/>
      <c r="U1163" s="734"/>
      <c r="V1163" s="731"/>
      <c r="W1163" s="731"/>
      <c r="X1163" s="734"/>
      <c r="Y1163" s="731"/>
      <c r="Z1163" s="731"/>
    </row>
    <row r="1164">
      <c r="C1164" s="734"/>
      <c r="D1164" s="731"/>
      <c r="E1164" s="731"/>
      <c r="F1164" s="734"/>
      <c r="G1164" s="731"/>
      <c r="H1164" s="731"/>
      <c r="I1164" s="734"/>
      <c r="J1164" s="731"/>
      <c r="K1164" s="731"/>
      <c r="L1164" s="734"/>
      <c r="M1164" s="731"/>
      <c r="N1164" s="731"/>
      <c r="O1164" s="730"/>
      <c r="P1164" s="731"/>
      <c r="Q1164" s="731"/>
      <c r="R1164" s="734"/>
      <c r="S1164" s="731"/>
      <c r="T1164" s="731"/>
      <c r="U1164" s="734"/>
      <c r="V1164" s="731"/>
      <c r="W1164" s="731"/>
      <c r="X1164" s="734"/>
      <c r="Y1164" s="731"/>
      <c r="Z1164" s="731"/>
    </row>
    <row r="1165">
      <c r="C1165" s="734"/>
      <c r="D1165" s="731"/>
      <c r="E1165" s="731"/>
      <c r="F1165" s="734"/>
      <c r="G1165" s="731"/>
      <c r="H1165" s="731"/>
      <c r="I1165" s="734"/>
      <c r="J1165" s="731"/>
      <c r="K1165" s="731"/>
      <c r="L1165" s="734"/>
      <c r="M1165" s="731"/>
      <c r="N1165" s="731"/>
      <c r="O1165" s="730"/>
      <c r="P1165" s="731"/>
      <c r="Q1165" s="731"/>
      <c r="R1165" s="734"/>
      <c r="S1165" s="731"/>
      <c r="T1165" s="731"/>
      <c r="U1165" s="734"/>
      <c r="V1165" s="731"/>
      <c r="W1165" s="731"/>
      <c r="X1165" s="734"/>
      <c r="Y1165" s="731"/>
      <c r="Z1165" s="731"/>
    </row>
    <row r="1166">
      <c r="C1166" s="734"/>
      <c r="D1166" s="731"/>
      <c r="E1166" s="731"/>
      <c r="F1166" s="734"/>
      <c r="G1166" s="731"/>
      <c r="H1166" s="731"/>
      <c r="I1166" s="734"/>
      <c r="J1166" s="731"/>
      <c r="K1166" s="731"/>
      <c r="L1166" s="734"/>
      <c r="M1166" s="731"/>
      <c r="N1166" s="731"/>
      <c r="O1166" s="730"/>
      <c r="P1166" s="731"/>
      <c r="Q1166" s="731"/>
      <c r="R1166" s="734"/>
      <c r="S1166" s="731"/>
      <c r="T1166" s="731"/>
      <c r="U1166" s="734"/>
      <c r="V1166" s="731"/>
      <c r="W1166" s="731"/>
      <c r="X1166" s="734"/>
      <c r="Y1166" s="731"/>
      <c r="Z1166" s="731"/>
    </row>
    <row r="1167">
      <c r="C1167" s="734"/>
      <c r="D1167" s="731"/>
      <c r="E1167" s="731"/>
      <c r="F1167" s="734"/>
      <c r="G1167" s="731"/>
      <c r="H1167" s="731"/>
      <c r="I1167" s="734"/>
      <c r="J1167" s="731"/>
      <c r="K1167" s="731"/>
      <c r="L1167" s="734"/>
      <c r="M1167" s="731"/>
      <c r="N1167" s="731"/>
      <c r="O1167" s="730"/>
      <c r="P1167" s="731"/>
      <c r="Q1167" s="731"/>
      <c r="R1167" s="734"/>
      <c r="S1167" s="731"/>
      <c r="T1167" s="731"/>
      <c r="U1167" s="734"/>
      <c r="V1167" s="731"/>
      <c r="W1167" s="731"/>
      <c r="X1167" s="734"/>
      <c r="Y1167" s="731"/>
      <c r="Z1167" s="731"/>
    </row>
    <row r="1168">
      <c r="C1168" s="734"/>
      <c r="D1168" s="731"/>
      <c r="E1168" s="731"/>
      <c r="F1168" s="734"/>
      <c r="G1168" s="731"/>
      <c r="H1168" s="731"/>
      <c r="I1168" s="734"/>
      <c r="J1168" s="731"/>
      <c r="K1168" s="731"/>
      <c r="L1168" s="734"/>
      <c r="M1168" s="731"/>
      <c r="N1168" s="731"/>
      <c r="O1168" s="730"/>
      <c r="P1168" s="731"/>
      <c r="Q1168" s="731"/>
      <c r="R1168" s="734"/>
      <c r="S1168" s="731"/>
      <c r="T1168" s="731"/>
      <c r="U1168" s="734"/>
      <c r="V1168" s="731"/>
      <c r="W1168" s="731"/>
      <c r="X1168" s="734"/>
      <c r="Y1168" s="731"/>
      <c r="Z1168" s="731"/>
    </row>
    <row r="1169">
      <c r="C1169" s="734"/>
      <c r="D1169" s="731"/>
      <c r="E1169" s="731"/>
      <c r="F1169" s="734"/>
      <c r="G1169" s="731"/>
      <c r="H1169" s="731"/>
      <c r="I1169" s="734"/>
      <c r="J1169" s="731"/>
      <c r="K1169" s="731"/>
      <c r="L1169" s="734"/>
      <c r="M1169" s="731"/>
      <c r="N1169" s="731"/>
      <c r="O1169" s="730"/>
      <c r="P1169" s="731"/>
      <c r="Q1169" s="731"/>
      <c r="R1169" s="734"/>
      <c r="S1169" s="731"/>
      <c r="T1169" s="731"/>
      <c r="U1169" s="734"/>
      <c r="V1169" s="731"/>
      <c r="W1169" s="731"/>
      <c r="X1169" s="734"/>
      <c r="Y1169" s="731"/>
      <c r="Z1169" s="731"/>
    </row>
    <row r="1170">
      <c r="C1170" s="734"/>
      <c r="D1170" s="731"/>
      <c r="E1170" s="731"/>
      <c r="F1170" s="734"/>
      <c r="G1170" s="731"/>
      <c r="H1170" s="731"/>
      <c r="I1170" s="734"/>
      <c r="J1170" s="731"/>
      <c r="K1170" s="731"/>
      <c r="L1170" s="734"/>
      <c r="M1170" s="731"/>
      <c r="N1170" s="731"/>
      <c r="O1170" s="730"/>
      <c r="P1170" s="731"/>
      <c r="Q1170" s="731"/>
      <c r="R1170" s="734"/>
      <c r="S1170" s="731"/>
      <c r="T1170" s="731"/>
      <c r="U1170" s="734"/>
      <c r="V1170" s="731"/>
      <c r="W1170" s="731"/>
      <c r="X1170" s="734"/>
      <c r="Y1170" s="731"/>
      <c r="Z1170" s="731"/>
    </row>
    <row r="1171">
      <c r="C1171" s="734"/>
      <c r="D1171" s="731"/>
      <c r="E1171" s="731"/>
      <c r="F1171" s="734"/>
      <c r="G1171" s="731"/>
      <c r="H1171" s="731"/>
      <c r="I1171" s="734"/>
      <c r="J1171" s="731"/>
      <c r="K1171" s="731"/>
      <c r="L1171" s="734"/>
      <c r="M1171" s="731"/>
      <c r="N1171" s="731"/>
      <c r="O1171" s="730"/>
      <c r="P1171" s="731"/>
      <c r="Q1171" s="731"/>
      <c r="R1171" s="734"/>
      <c r="S1171" s="731"/>
      <c r="T1171" s="731"/>
      <c r="U1171" s="734"/>
      <c r="V1171" s="731"/>
      <c r="W1171" s="731"/>
      <c r="X1171" s="734"/>
      <c r="Y1171" s="731"/>
      <c r="Z1171" s="731"/>
    </row>
    <row r="1172">
      <c r="C1172" s="734"/>
      <c r="D1172" s="731"/>
      <c r="E1172" s="731"/>
      <c r="F1172" s="734"/>
      <c r="G1172" s="731"/>
      <c r="H1172" s="731"/>
      <c r="I1172" s="734"/>
      <c r="J1172" s="731"/>
      <c r="K1172" s="731"/>
      <c r="L1172" s="734"/>
      <c r="M1172" s="731"/>
      <c r="N1172" s="731"/>
      <c r="O1172" s="730"/>
      <c r="P1172" s="731"/>
      <c r="Q1172" s="731"/>
      <c r="R1172" s="734"/>
      <c r="S1172" s="731"/>
      <c r="T1172" s="731"/>
      <c r="U1172" s="734"/>
      <c r="V1172" s="731"/>
      <c r="W1172" s="731"/>
      <c r="X1172" s="734"/>
      <c r="Y1172" s="731"/>
      <c r="Z1172" s="731"/>
    </row>
    <row r="1173">
      <c r="C1173" s="734"/>
      <c r="D1173" s="731"/>
      <c r="E1173" s="731"/>
      <c r="F1173" s="734"/>
      <c r="G1173" s="731"/>
      <c r="H1173" s="731"/>
      <c r="I1173" s="734"/>
      <c r="J1173" s="731"/>
      <c r="K1173" s="731"/>
      <c r="L1173" s="734"/>
      <c r="M1173" s="731"/>
      <c r="N1173" s="731"/>
      <c r="O1173" s="730"/>
      <c r="P1173" s="731"/>
      <c r="Q1173" s="731"/>
      <c r="R1173" s="734"/>
      <c r="S1173" s="731"/>
      <c r="T1173" s="731"/>
      <c r="U1173" s="734"/>
      <c r="V1173" s="731"/>
      <c r="W1173" s="731"/>
      <c r="X1173" s="734"/>
      <c r="Y1173" s="731"/>
      <c r="Z1173" s="731"/>
    </row>
    <row r="1174">
      <c r="C1174" s="734"/>
      <c r="D1174" s="731"/>
      <c r="E1174" s="731"/>
      <c r="F1174" s="734"/>
      <c r="G1174" s="731"/>
      <c r="H1174" s="731"/>
      <c r="I1174" s="734"/>
      <c r="J1174" s="731"/>
      <c r="K1174" s="731"/>
      <c r="L1174" s="734"/>
      <c r="M1174" s="731"/>
      <c r="N1174" s="731"/>
      <c r="O1174" s="730"/>
      <c r="P1174" s="731"/>
      <c r="Q1174" s="731"/>
      <c r="R1174" s="734"/>
      <c r="S1174" s="731"/>
      <c r="T1174" s="731"/>
      <c r="U1174" s="734"/>
      <c r="V1174" s="731"/>
      <c r="W1174" s="731"/>
      <c r="X1174" s="734"/>
      <c r="Y1174" s="731"/>
      <c r="Z1174" s="731"/>
    </row>
    <row r="1175">
      <c r="C1175" s="734"/>
      <c r="D1175" s="731"/>
      <c r="E1175" s="731"/>
      <c r="F1175" s="734"/>
      <c r="G1175" s="731"/>
      <c r="H1175" s="731"/>
      <c r="I1175" s="734"/>
      <c r="J1175" s="731"/>
      <c r="K1175" s="731"/>
      <c r="L1175" s="734"/>
      <c r="M1175" s="731"/>
      <c r="N1175" s="731"/>
      <c r="O1175" s="730"/>
      <c r="P1175" s="731"/>
      <c r="Q1175" s="731"/>
      <c r="R1175" s="734"/>
      <c r="S1175" s="731"/>
      <c r="T1175" s="731"/>
      <c r="U1175" s="734"/>
      <c r="V1175" s="731"/>
      <c r="W1175" s="731"/>
      <c r="X1175" s="734"/>
      <c r="Y1175" s="731"/>
      <c r="Z1175" s="731"/>
    </row>
    <row r="1176">
      <c r="C1176" s="734"/>
      <c r="D1176" s="731"/>
      <c r="E1176" s="731"/>
      <c r="F1176" s="734"/>
      <c r="G1176" s="731"/>
      <c r="H1176" s="731"/>
      <c r="I1176" s="734"/>
      <c r="J1176" s="731"/>
      <c r="K1176" s="731"/>
      <c r="L1176" s="734"/>
      <c r="M1176" s="731"/>
      <c r="N1176" s="731"/>
      <c r="O1176" s="730"/>
      <c r="P1176" s="731"/>
      <c r="Q1176" s="731"/>
      <c r="R1176" s="734"/>
      <c r="S1176" s="731"/>
      <c r="T1176" s="731"/>
      <c r="U1176" s="734"/>
      <c r="V1176" s="731"/>
      <c r="W1176" s="731"/>
      <c r="X1176" s="734"/>
      <c r="Y1176" s="731"/>
      <c r="Z1176" s="731"/>
    </row>
    <row r="1177">
      <c r="C1177" s="734"/>
      <c r="D1177" s="731"/>
      <c r="E1177" s="731"/>
      <c r="F1177" s="734"/>
      <c r="G1177" s="731"/>
      <c r="H1177" s="731"/>
      <c r="I1177" s="734"/>
      <c r="J1177" s="731"/>
      <c r="K1177" s="731"/>
      <c r="L1177" s="734"/>
      <c r="M1177" s="731"/>
      <c r="N1177" s="731"/>
      <c r="O1177" s="730"/>
      <c r="P1177" s="731"/>
      <c r="Q1177" s="731"/>
      <c r="R1177" s="734"/>
      <c r="S1177" s="731"/>
      <c r="T1177" s="731"/>
      <c r="U1177" s="734"/>
      <c r="V1177" s="731"/>
      <c r="W1177" s="731"/>
      <c r="X1177" s="734"/>
      <c r="Y1177" s="731"/>
      <c r="Z1177" s="731"/>
    </row>
    <row r="1178">
      <c r="C1178" s="734"/>
      <c r="D1178" s="731"/>
      <c r="E1178" s="731"/>
      <c r="F1178" s="734"/>
      <c r="G1178" s="731"/>
      <c r="H1178" s="731"/>
      <c r="I1178" s="734"/>
      <c r="J1178" s="731"/>
      <c r="K1178" s="731"/>
      <c r="L1178" s="734"/>
      <c r="M1178" s="731"/>
      <c r="N1178" s="731"/>
      <c r="O1178" s="730"/>
      <c r="P1178" s="731"/>
      <c r="Q1178" s="731"/>
      <c r="R1178" s="734"/>
      <c r="S1178" s="731"/>
      <c r="T1178" s="731"/>
      <c r="U1178" s="734"/>
      <c r="V1178" s="731"/>
      <c r="W1178" s="731"/>
      <c r="X1178" s="734"/>
      <c r="Y1178" s="731"/>
      <c r="Z1178" s="731"/>
    </row>
    <row r="1179">
      <c r="C1179" s="734"/>
      <c r="D1179" s="731"/>
      <c r="E1179" s="731"/>
      <c r="F1179" s="734"/>
      <c r="G1179" s="731"/>
      <c r="H1179" s="731"/>
      <c r="I1179" s="734"/>
      <c r="J1179" s="731"/>
      <c r="K1179" s="731"/>
      <c r="L1179" s="734"/>
      <c r="M1179" s="731"/>
      <c r="N1179" s="731"/>
      <c r="O1179" s="730"/>
      <c r="P1179" s="731"/>
      <c r="Q1179" s="731"/>
      <c r="R1179" s="734"/>
      <c r="S1179" s="731"/>
      <c r="T1179" s="731"/>
      <c r="U1179" s="734"/>
      <c r="V1179" s="731"/>
      <c r="W1179" s="731"/>
      <c r="X1179" s="734"/>
      <c r="Y1179" s="731"/>
      <c r="Z1179" s="731"/>
    </row>
    <row r="1180">
      <c r="C1180" s="734"/>
      <c r="D1180" s="731"/>
      <c r="E1180" s="731"/>
      <c r="F1180" s="734"/>
      <c r="G1180" s="731"/>
      <c r="H1180" s="731"/>
      <c r="I1180" s="734"/>
      <c r="J1180" s="731"/>
      <c r="K1180" s="731"/>
      <c r="L1180" s="734"/>
      <c r="M1180" s="731"/>
      <c r="N1180" s="731"/>
      <c r="O1180" s="730"/>
      <c r="P1180" s="731"/>
      <c r="Q1180" s="731"/>
      <c r="R1180" s="734"/>
      <c r="S1180" s="731"/>
      <c r="T1180" s="731"/>
      <c r="U1180" s="734"/>
      <c r="V1180" s="731"/>
      <c r="W1180" s="731"/>
      <c r="X1180" s="734"/>
      <c r="Y1180" s="731"/>
      <c r="Z1180" s="731"/>
    </row>
    <row r="1181">
      <c r="C1181" s="734"/>
      <c r="D1181" s="731"/>
      <c r="E1181" s="731"/>
      <c r="F1181" s="734"/>
      <c r="G1181" s="731"/>
      <c r="H1181" s="731"/>
      <c r="I1181" s="734"/>
      <c r="J1181" s="731"/>
      <c r="K1181" s="731"/>
      <c r="L1181" s="734"/>
      <c r="M1181" s="731"/>
      <c r="N1181" s="731"/>
      <c r="O1181" s="730"/>
      <c r="P1181" s="731"/>
      <c r="Q1181" s="731"/>
      <c r="R1181" s="734"/>
      <c r="S1181" s="731"/>
      <c r="T1181" s="731"/>
      <c r="U1181" s="734"/>
      <c r="V1181" s="731"/>
      <c r="W1181" s="731"/>
      <c r="X1181" s="734"/>
      <c r="Y1181" s="731"/>
      <c r="Z1181" s="731"/>
    </row>
    <row r="1182">
      <c r="C1182" s="734"/>
      <c r="D1182" s="731"/>
      <c r="E1182" s="731"/>
      <c r="F1182" s="734"/>
      <c r="G1182" s="731"/>
      <c r="H1182" s="731"/>
      <c r="I1182" s="734"/>
      <c r="J1182" s="731"/>
      <c r="K1182" s="731"/>
      <c r="L1182" s="734"/>
      <c r="M1182" s="731"/>
      <c r="N1182" s="731"/>
      <c r="O1182" s="730"/>
      <c r="P1182" s="731"/>
      <c r="Q1182" s="731"/>
      <c r="R1182" s="734"/>
      <c r="S1182" s="731"/>
      <c r="T1182" s="731"/>
      <c r="U1182" s="734"/>
      <c r="V1182" s="731"/>
      <c r="W1182" s="731"/>
      <c r="X1182" s="734"/>
      <c r="Y1182" s="731"/>
      <c r="Z1182" s="731"/>
    </row>
    <row r="1183">
      <c r="C1183" s="734"/>
      <c r="D1183" s="731"/>
      <c r="E1183" s="731"/>
      <c r="F1183" s="734"/>
      <c r="G1183" s="731"/>
      <c r="H1183" s="731"/>
      <c r="I1183" s="734"/>
      <c r="J1183" s="731"/>
      <c r="K1183" s="731"/>
      <c r="L1183" s="734"/>
      <c r="M1183" s="731"/>
      <c r="N1183" s="731"/>
      <c r="O1183" s="730"/>
      <c r="P1183" s="731"/>
      <c r="Q1183" s="731"/>
      <c r="R1183" s="734"/>
      <c r="S1183" s="731"/>
      <c r="T1183" s="731"/>
      <c r="U1183" s="734"/>
      <c r="V1183" s="731"/>
      <c r="W1183" s="731"/>
      <c r="X1183" s="734"/>
      <c r="Y1183" s="731"/>
      <c r="Z1183" s="731"/>
    </row>
    <row r="1184">
      <c r="C1184" s="734"/>
      <c r="D1184" s="731"/>
      <c r="E1184" s="731"/>
      <c r="F1184" s="734"/>
      <c r="G1184" s="731"/>
      <c r="H1184" s="731"/>
      <c r="I1184" s="734"/>
      <c r="J1184" s="731"/>
      <c r="K1184" s="731"/>
      <c r="L1184" s="734"/>
      <c r="M1184" s="731"/>
      <c r="N1184" s="731"/>
      <c r="O1184" s="730"/>
      <c r="P1184" s="731"/>
      <c r="Q1184" s="731"/>
      <c r="R1184" s="734"/>
      <c r="S1184" s="731"/>
      <c r="T1184" s="731"/>
      <c r="U1184" s="734"/>
      <c r="V1184" s="731"/>
      <c r="W1184" s="731"/>
      <c r="X1184" s="734"/>
      <c r="Y1184" s="731"/>
      <c r="Z1184" s="731"/>
    </row>
    <row r="1185">
      <c r="C1185" s="734"/>
      <c r="D1185" s="731"/>
      <c r="E1185" s="731"/>
      <c r="F1185" s="734"/>
      <c r="G1185" s="731"/>
      <c r="H1185" s="731"/>
      <c r="I1185" s="734"/>
      <c r="J1185" s="731"/>
      <c r="K1185" s="731"/>
      <c r="L1185" s="734"/>
      <c r="M1185" s="731"/>
      <c r="N1185" s="731"/>
      <c r="O1185" s="730"/>
      <c r="P1185" s="731"/>
      <c r="Q1185" s="731"/>
      <c r="R1185" s="734"/>
      <c r="S1185" s="731"/>
      <c r="T1185" s="731"/>
      <c r="U1185" s="734"/>
      <c r="V1185" s="731"/>
      <c r="W1185" s="731"/>
      <c r="X1185" s="734"/>
      <c r="Y1185" s="731"/>
      <c r="Z1185" s="731"/>
    </row>
    <row r="1186">
      <c r="C1186" s="734"/>
      <c r="D1186" s="731"/>
      <c r="E1186" s="731"/>
      <c r="F1186" s="734"/>
      <c r="G1186" s="731"/>
      <c r="H1186" s="731"/>
      <c r="I1186" s="734"/>
      <c r="J1186" s="731"/>
      <c r="K1186" s="731"/>
      <c r="L1186" s="734"/>
      <c r="M1186" s="731"/>
      <c r="N1186" s="731"/>
      <c r="O1186" s="730"/>
      <c r="P1186" s="731"/>
      <c r="Q1186" s="731"/>
      <c r="R1186" s="734"/>
      <c r="S1186" s="731"/>
      <c r="T1186" s="731"/>
      <c r="U1186" s="734"/>
      <c r="V1186" s="731"/>
      <c r="W1186" s="731"/>
      <c r="X1186" s="734"/>
      <c r="Y1186" s="731"/>
      <c r="Z1186" s="731"/>
    </row>
    <row r="1187">
      <c r="C1187" s="734"/>
      <c r="D1187" s="731"/>
      <c r="E1187" s="731"/>
      <c r="F1187" s="734"/>
      <c r="G1187" s="731"/>
      <c r="H1187" s="731"/>
      <c r="I1187" s="734"/>
      <c r="J1187" s="731"/>
      <c r="K1187" s="731"/>
      <c r="L1187" s="734"/>
      <c r="M1187" s="731"/>
      <c r="N1187" s="731"/>
      <c r="O1187" s="730"/>
      <c r="P1187" s="731"/>
      <c r="Q1187" s="731"/>
      <c r="R1187" s="734"/>
      <c r="S1187" s="731"/>
      <c r="T1187" s="731"/>
      <c r="U1187" s="734"/>
      <c r="V1187" s="731"/>
      <c r="W1187" s="731"/>
      <c r="X1187" s="734"/>
      <c r="Y1187" s="731"/>
      <c r="Z1187" s="731"/>
    </row>
    <row r="1188">
      <c r="C1188" s="734"/>
      <c r="D1188" s="731"/>
      <c r="E1188" s="731"/>
      <c r="F1188" s="734"/>
      <c r="G1188" s="731"/>
      <c r="H1188" s="731"/>
      <c r="I1188" s="734"/>
      <c r="J1188" s="731"/>
      <c r="K1188" s="731"/>
      <c r="L1188" s="734"/>
      <c r="M1188" s="731"/>
      <c r="N1188" s="731"/>
      <c r="O1188" s="730"/>
      <c r="P1188" s="731"/>
      <c r="Q1188" s="731"/>
      <c r="R1188" s="734"/>
      <c r="S1188" s="731"/>
      <c r="T1188" s="731"/>
      <c r="U1188" s="734"/>
      <c r="V1188" s="731"/>
      <c r="W1188" s="731"/>
      <c r="X1188" s="734"/>
      <c r="Y1188" s="731"/>
      <c r="Z1188" s="731"/>
    </row>
    <row r="1189">
      <c r="C1189" s="734"/>
      <c r="D1189" s="731"/>
      <c r="E1189" s="731"/>
      <c r="F1189" s="734"/>
      <c r="G1189" s="731"/>
      <c r="H1189" s="731"/>
      <c r="I1189" s="734"/>
      <c r="J1189" s="731"/>
      <c r="K1189" s="731"/>
      <c r="L1189" s="734"/>
      <c r="M1189" s="731"/>
      <c r="N1189" s="731"/>
      <c r="O1189" s="730"/>
      <c r="P1189" s="731"/>
      <c r="Q1189" s="731"/>
      <c r="R1189" s="734"/>
      <c r="S1189" s="731"/>
      <c r="T1189" s="731"/>
      <c r="U1189" s="734"/>
      <c r="V1189" s="731"/>
      <c r="W1189" s="731"/>
      <c r="X1189" s="734"/>
      <c r="Y1189" s="731"/>
      <c r="Z1189" s="731"/>
    </row>
    <row r="1190">
      <c r="C1190" s="734"/>
      <c r="D1190" s="731"/>
      <c r="E1190" s="731"/>
      <c r="F1190" s="734"/>
      <c r="G1190" s="731"/>
      <c r="H1190" s="731"/>
      <c r="I1190" s="734"/>
      <c r="J1190" s="731"/>
      <c r="K1190" s="731"/>
      <c r="L1190" s="734"/>
      <c r="M1190" s="731"/>
      <c r="N1190" s="731"/>
      <c r="O1190" s="730"/>
      <c r="P1190" s="731"/>
      <c r="Q1190" s="731"/>
      <c r="R1190" s="734"/>
      <c r="S1190" s="731"/>
      <c r="T1190" s="731"/>
      <c r="U1190" s="734"/>
      <c r="V1190" s="731"/>
      <c r="W1190" s="731"/>
      <c r="X1190" s="734"/>
      <c r="Y1190" s="731"/>
      <c r="Z1190" s="731"/>
    </row>
    <row r="1191">
      <c r="C1191" s="734"/>
      <c r="D1191" s="731"/>
      <c r="E1191" s="731"/>
      <c r="F1191" s="734"/>
      <c r="G1191" s="731"/>
      <c r="H1191" s="731"/>
      <c r="I1191" s="734"/>
      <c r="J1191" s="731"/>
      <c r="K1191" s="731"/>
      <c r="L1191" s="734"/>
      <c r="M1191" s="731"/>
      <c r="N1191" s="731"/>
      <c r="O1191" s="730"/>
      <c r="P1191" s="731"/>
      <c r="Q1191" s="731"/>
      <c r="R1191" s="734"/>
      <c r="S1191" s="731"/>
      <c r="T1191" s="731"/>
      <c r="U1191" s="734"/>
      <c r="V1191" s="731"/>
      <c r="W1191" s="731"/>
      <c r="X1191" s="734"/>
      <c r="Y1191" s="731"/>
      <c r="Z1191" s="731"/>
    </row>
    <row r="1192">
      <c r="C1192" s="734"/>
      <c r="D1192" s="731"/>
      <c r="E1192" s="731"/>
      <c r="F1192" s="734"/>
      <c r="G1192" s="731"/>
      <c r="H1192" s="731"/>
      <c r="I1192" s="734"/>
      <c r="J1192" s="731"/>
      <c r="K1192" s="731"/>
      <c r="L1192" s="734"/>
      <c r="M1192" s="731"/>
      <c r="N1192" s="731"/>
      <c r="O1192" s="730"/>
      <c r="P1192" s="731"/>
      <c r="Q1192" s="731"/>
      <c r="R1192" s="734"/>
      <c r="S1192" s="731"/>
      <c r="T1192" s="731"/>
      <c r="U1192" s="734"/>
      <c r="V1192" s="731"/>
      <c r="W1192" s="731"/>
      <c r="X1192" s="734"/>
      <c r="Y1192" s="731"/>
      <c r="Z1192" s="731"/>
    </row>
    <row r="1193">
      <c r="C1193" s="734"/>
      <c r="D1193" s="731"/>
      <c r="E1193" s="731"/>
      <c r="F1193" s="734"/>
      <c r="G1193" s="731"/>
      <c r="H1193" s="731"/>
      <c r="I1193" s="734"/>
      <c r="J1193" s="731"/>
      <c r="K1193" s="731"/>
      <c r="L1193" s="734"/>
      <c r="M1193" s="731"/>
      <c r="N1193" s="731"/>
      <c r="O1193" s="730"/>
      <c r="P1193" s="731"/>
      <c r="Q1193" s="731"/>
      <c r="R1193" s="734"/>
      <c r="S1193" s="731"/>
      <c r="T1193" s="731"/>
      <c r="U1193" s="734"/>
      <c r="V1193" s="731"/>
      <c r="W1193" s="731"/>
      <c r="X1193" s="734"/>
      <c r="Y1193" s="731"/>
      <c r="Z1193" s="731"/>
    </row>
    <row r="1194">
      <c r="C1194" s="734"/>
      <c r="D1194" s="731"/>
      <c r="E1194" s="731"/>
      <c r="F1194" s="734"/>
      <c r="G1194" s="731"/>
      <c r="H1194" s="731"/>
      <c r="I1194" s="734"/>
      <c r="J1194" s="731"/>
      <c r="K1194" s="731"/>
      <c r="L1194" s="734"/>
      <c r="M1194" s="731"/>
      <c r="N1194" s="731"/>
      <c r="O1194" s="730"/>
      <c r="P1194" s="731"/>
      <c r="Q1194" s="731"/>
      <c r="R1194" s="734"/>
      <c r="S1194" s="731"/>
      <c r="T1194" s="731"/>
      <c r="U1194" s="734"/>
      <c r="V1194" s="731"/>
      <c r="W1194" s="731"/>
      <c r="X1194" s="734"/>
      <c r="Y1194" s="731"/>
      <c r="Z1194" s="731"/>
    </row>
    <row r="1195">
      <c r="C1195" s="734"/>
      <c r="D1195" s="731"/>
      <c r="E1195" s="731"/>
      <c r="F1195" s="734"/>
      <c r="G1195" s="731"/>
      <c r="H1195" s="731"/>
      <c r="I1195" s="734"/>
      <c r="J1195" s="731"/>
      <c r="K1195" s="731"/>
      <c r="L1195" s="734"/>
      <c r="M1195" s="731"/>
      <c r="N1195" s="731"/>
      <c r="O1195" s="730"/>
      <c r="P1195" s="731"/>
      <c r="Q1195" s="731"/>
      <c r="R1195" s="734"/>
      <c r="S1195" s="731"/>
      <c r="T1195" s="731"/>
      <c r="U1195" s="734"/>
      <c r="V1195" s="731"/>
      <c r="W1195" s="731"/>
      <c r="X1195" s="734"/>
      <c r="Y1195" s="731"/>
      <c r="Z1195" s="731"/>
    </row>
    <row r="1196">
      <c r="C1196" s="734"/>
      <c r="D1196" s="731"/>
      <c r="E1196" s="731"/>
      <c r="F1196" s="734"/>
      <c r="G1196" s="731"/>
      <c r="H1196" s="731"/>
      <c r="I1196" s="734"/>
      <c r="J1196" s="731"/>
      <c r="K1196" s="731"/>
      <c r="L1196" s="734"/>
      <c r="M1196" s="731"/>
      <c r="N1196" s="731"/>
      <c r="O1196" s="730"/>
      <c r="P1196" s="731"/>
      <c r="Q1196" s="731"/>
      <c r="R1196" s="734"/>
      <c r="S1196" s="731"/>
      <c r="T1196" s="731"/>
      <c r="U1196" s="734"/>
      <c r="V1196" s="731"/>
      <c r="W1196" s="731"/>
      <c r="X1196" s="734"/>
      <c r="Y1196" s="731"/>
      <c r="Z1196" s="731"/>
    </row>
  </sheetData>
  <mergeCells count="8">
    <mergeCell ref="C1:E1"/>
    <mergeCell ref="F1:H1"/>
    <mergeCell ref="I1:K1"/>
    <mergeCell ref="L1:N1"/>
    <mergeCell ref="O1:Q1"/>
    <mergeCell ref="R1:T1"/>
    <mergeCell ref="U1:W1"/>
    <mergeCell ref="X1:Z1"/>
  </mergeCells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26" width="4.75"/>
  </cols>
  <sheetData>
    <row r="1">
      <c r="A1" s="529"/>
      <c r="B1" s="528"/>
      <c r="C1" s="734" t="s">
        <v>362</v>
      </c>
      <c r="F1" s="734" t="s">
        <v>363</v>
      </c>
      <c r="I1" s="734" t="s">
        <v>364</v>
      </c>
      <c r="L1" s="734" t="s">
        <v>365</v>
      </c>
      <c r="O1" s="730" t="s">
        <v>366</v>
      </c>
      <c r="R1" s="734" t="s">
        <v>367</v>
      </c>
      <c r="U1" s="735" t="s">
        <v>368</v>
      </c>
      <c r="X1" s="734" t="s">
        <v>369</v>
      </c>
    </row>
    <row r="2">
      <c r="A2" s="529"/>
      <c r="B2" s="528"/>
      <c r="C2" s="734" t="s">
        <v>27</v>
      </c>
      <c r="D2" s="736" t="s">
        <v>28</v>
      </c>
      <c r="E2" s="731" t="s">
        <v>370</v>
      </c>
      <c r="F2" s="737" t="s">
        <v>27</v>
      </c>
      <c r="G2" s="731" t="s">
        <v>28</v>
      </c>
      <c r="H2" s="731" t="s">
        <v>370</v>
      </c>
      <c r="I2" s="734" t="s">
        <v>27</v>
      </c>
      <c r="J2" s="731" t="s">
        <v>28</v>
      </c>
      <c r="K2" s="731" t="s">
        <v>370</v>
      </c>
      <c r="L2" s="737" t="s">
        <v>27</v>
      </c>
      <c r="M2" s="731" t="s">
        <v>28</v>
      </c>
      <c r="N2" s="731" t="s">
        <v>370</v>
      </c>
      <c r="O2" s="730" t="s">
        <v>27</v>
      </c>
      <c r="P2" s="731" t="s">
        <v>28</v>
      </c>
      <c r="Q2" s="731" t="s">
        <v>370</v>
      </c>
      <c r="R2" s="737" t="s">
        <v>27</v>
      </c>
      <c r="S2" s="731" t="s">
        <v>28</v>
      </c>
      <c r="T2" s="736" t="s">
        <v>370</v>
      </c>
      <c r="U2" s="734" t="s">
        <v>27</v>
      </c>
      <c r="V2" s="731" t="s">
        <v>28</v>
      </c>
      <c r="W2" s="731" t="s">
        <v>370</v>
      </c>
      <c r="X2" s="734" t="s">
        <v>27</v>
      </c>
      <c r="Y2" s="731" t="s">
        <v>28</v>
      </c>
      <c r="Z2" s="736" t="s">
        <v>370</v>
      </c>
    </row>
    <row r="3">
      <c r="A3" s="738"/>
      <c r="B3" s="739" t="s">
        <v>221</v>
      </c>
      <c r="C3" s="740">
        <v>1.0</v>
      </c>
      <c r="D3" s="741">
        <v>1.0</v>
      </c>
      <c r="E3" s="742">
        <v>2.0</v>
      </c>
      <c r="F3" s="743">
        <v>1.0</v>
      </c>
      <c r="G3" s="742">
        <v>1.0</v>
      </c>
      <c r="H3" s="742">
        <v>2.0</v>
      </c>
      <c r="I3" s="740">
        <v>1.0</v>
      </c>
      <c r="J3" s="742">
        <v>1.0</v>
      </c>
      <c r="K3" s="742">
        <v>2.0</v>
      </c>
      <c r="L3" s="743">
        <v>1.0</v>
      </c>
      <c r="M3" s="742">
        <v>1.0</v>
      </c>
      <c r="N3" s="742">
        <v>2.0</v>
      </c>
      <c r="O3" s="754">
        <v>2.58</v>
      </c>
      <c r="P3" s="742">
        <v>2.0</v>
      </c>
      <c r="Q3" s="742">
        <f t="shared" ref="Q3:Q209" si="1">IF(AND(Ceiling(S3/O3,1)&gt;=R3,R3&gt;=Ceiling((S3-0.99)/O3,1)),0,1)</f>
        <v>0</v>
      </c>
      <c r="R3" s="743">
        <v>1.0</v>
      </c>
      <c r="S3" s="742">
        <v>2.0</v>
      </c>
      <c r="T3" s="741">
        <v>4.0</v>
      </c>
      <c r="U3" s="743">
        <f t="shared" ref="U3:U209" si="2">U4</f>
        <v>2.26</v>
      </c>
      <c r="V3" s="742">
        <v>2.0</v>
      </c>
      <c r="W3" s="742">
        <f t="shared" ref="W3:W209" si="3">IF(AND(Ceiling(Y3/U3,1)&gt;=X3,X3&gt;=Ceiling((Y3-0.99)/U3,1)),0,1)</f>
        <v>0</v>
      </c>
      <c r="X3" s="740">
        <v>1.0</v>
      </c>
      <c r="Y3" s="742">
        <v>2.0</v>
      </c>
      <c r="Z3" s="741">
        <v>4.0</v>
      </c>
    </row>
    <row r="4">
      <c r="A4" s="529" t="s">
        <v>30</v>
      </c>
      <c r="B4" s="528" t="s">
        <v>219</v>
      </c>
      <c r="C4" s="734">
        <v>1.0</v>
      </c>
      <c r="D4" s="736">
        <v>1.0</v>
      </c>
      <c r="E4" s="731">
        <v>2.0</v>
      </c>
      <c r="F4" s="737">
        <v>1.0</v>
      </c>
      <c r="G4" s="731">
        <v>2.0</v>
      </c>
      <c r="H4" s="736">
        <v>3.0</v>
      </c>
      <c r="I4" s="734">
        <v>1.0</v>
      </c>
      <c r="J4" s="736">
        <v>2.0</v>
      </c>
      <c r="K4" s="736">
        <v>2.0</v>
      </c>
      <c r="L4" s="737">
        <v>1.0</v>
      </c>
      <c r="M4" s="736">
        <v>2.0</v>
      </c>
      <c r="N4" s="736">
        <v>3.0</v>
      </c>
      <c r="O4" s="745">
        <f t="shared" ref="O4:O209" si="4">O3</f>
        <v>2.58</v>
      </c>
      <c r="P4" s="736">
        <v>2.0</v>
      </c>
      <c r="Q4" s="731">
        <f t="shared" si="1"/>
        <v>0</v>
      </c>
      <c r="R4" s="737">
        <v>1.0</v>
      </c>
      <c r="S4" s="736">
        <v>2.0</v>
      </c>
      <c r="T4" s="736">
        <v>4.0</v>
      </c>
      <c r="U4" s="737">
        <f t="shared" si="2"/>
        <v>2.26</v>
      </c>
      <c r="V4" s="736">
        <v>2.0</v>
      </c>
      <c r="W4" s="736">
        <f t="shared" si="3"/>
        <v>0</v>
      </c>
      <c r="X4" s="737">
        <v>1.0</v>
      </c>
      <c r="Y4" s="736">
        <v>2.0</v>
      </c>
      <c r="Z4" s="736">
        <v>4.0</v>
      </c>
    </row>
    <row r="5">
      <c r="A5" s="529"/>
      <c r="B5" s="528" t="s">
        <v>217</v>
      </c>
      <c r="C5" s="737">
        <v>1.0</v>
      </c>
      <c r="D5" s="736">
        <v>1.0</v>
      </c>
      <c r="E5" s="736">
        <v>2.0</v>
      </c>
      <c r="F5" s="737">
        <v>1.0</v>
      </c>
      <c r="G5" s="736">
        <v>2.0</v>
      </c>
      <c r="H5" s="736">
        <v>3.0</v>
      </c>
      <c r="I5" s="737">
        <v>1.0</v>
      </c>
      <c r="J5" s="736">
        <v>2.0</v>
      </c>
      <c r="K5" s="736">
        <v>2.0</v>
      </c>
      <c r="L5" s="737">
        <v>1.0</v>
      </c>
      <c r="M5" s="736">
        <v>2.0</v>
      </c>
      <c r="N5" s="736">
        <v>3.0</v>
      </c>
      <c r="O5" s="745">
        <f t="shared" si="4"/>
        <v>2.58</v>
      </c>
      <c r="P5" s="736">
        <v>2.0</v>
      </c>
      <c r="Q5" s="731">
        <f t="shared" si="1"/>
        <v>0</v>
      </c>
      <c r="R5" s="737">
        <v>1.0</v>
      </c>
      <c r="S5" s="736">
        <v>2.0</v>
      </c>
      <c r="T5" s="736">
        <v>4.0</v>
      </c>
      <c r="U5" s="737">
        <f t="shared" si="2"/>
        <v>2.26</v>
      </c>
      <c r="V5" s="736">
        <v>2.0</v>
      </c>
      <c r="W5" s="736">
        <f t="shared" si="3"/>
        <v>0</v>
      </c>
      <c r="X5" s="737">
        <v>1.0</v>
      </c>
      <c r="Y5" s="736">
        <v>2.0</v>
      </c>
      <c r="Z5" s="736">
        <v>4.0</v>
      </c>
    </row>
    <row r="6">
      <c r="A6" s="738" t="s">
        <v>44</v>
      </c>
      <c r="B6" s="739" t="s">
        <v>221</v>
      </c>
      <c r="C6" s="746">
        <v>1.0</v>
      </c>
      <c r="D6" s="747">
        <v>1.0</v>
      </c>
      <c r="E6" s="748">
        <v>2.0</v>
      </c>
      <c r="F6" s="749">
        <v>1.0</v>
      </c>
      <c r="G6" s="748">
        <v>1.0</v>
      </c>
      <c r="H6" s="748">
        <v>2.0</v>
      </c>
      <c r="I6" s="746">
        <v>1.0</v>
      </c>
      <c r="J6" s="748">
        <v>1.0</v>
      </c>
      <c r="K6" s="748">
        <v>2.0</v>
      </c>
      <c r="L6" s="749">
        <v>1.0</v>
      </c>
      <c r="M6" s="748">
        <v>1.0</v>
      </c>
      <c r="N6" s="748">
        <v>2.0</v>
      </c>
      <c r="O6" s="744">
        <f t="shared" si="4"/>
        <v>2.58</v>
      </c>
      <c r="P6" s="742">
        <v>2.0</v>
      </c>
      <c r="Q6" s="742">
        <f t="shared" si="1"/>
        <v>0</v>
      </c>
      <c r="R6" s="743">
        <v>1.0</v>
      </c>
      <c r="S6" s="742">
        <v>2.0</v>
      </c>
      <c r="T6" s="741">
        <v>3.0</v>
      </c>
      <c r="U6" s="740">
        <f t="shared" si="2"/>
        <v>2.26</v>
      </c>
      <c r="V6" s="742">
        <v>2.0</v>
      </c>
      <c r="W6" s="742">
        <f t="shared" si="3"/>
        <v>0</v>
      </c>
      <c r="X6" s="740">
        <v>1.0</v>
      </c>
      <c r="Y6" s="742">
        <v>2.0</v>
      </c>
      <c r="Z6" s="741">
        <v>3.0</v>
      </c>
    </row>
    <row r="7">
      <c r="A7" s="529"/>
      <c r="B7" s="528" t="s">
        <v>219</v>
      </c>
      <c r="C7" s="750">
        <v>1.0</v>
      </c>
      <c r="D7" s="751">
        <v>1.0</v>
      </c>
      <c r="E7" s="752">
        <v>2.0</v>
      </c>
      <c r="F7" s="753">
        <v>1.0</v>
      </c>
      <c r="G7" s="752">
        <v>1.0</v>
      </c>
      <c r="H7" s="752">
        <v>2.0</v>
      </c>
      <c r="I7" s="750">
        <v>1.0</v>
      </c>
      <c r="J7" s="752">
        <v>1.0</v>
      </c>
      <c r="K7" s="752">
        <v>2.0</v>
      </c>
      <c r="L7" s="753">
        <v>1.0</v>
      </c>
      <c r="M7" s="752">
        <v>1.0</v>
      </c>
      <c r="N7" s="752">
        <v>2.0</v>
      </c>
      <c r="O7" s="730">
        <f t="shared" si="4"/>
        <v>2.58</v>
      </c>
      <c r="P7" s="731">
        <v>2.0</v>
      </c>
      <c r="Q7" s="731">
        <f t="shared" si="1"/>
        <v>0</v>
      </c>
      <c r="R7" s="737">
        <v>1.0</v>
      </c>
      <c r="S7" s="731">
        <v>2.0</v>
      </c>
      <c r="T7" s="736">
        <v>3.0</v>
      </c>
      <c r="U7" s="734">
        <f t="shared" si="2"/>
        <v>2.26</v>
      </c>
      <c r="V7" s="731">
        <v>2.0</v>
      </c>
      <c r="W7" s="731">
        <f t="shared" si="3"/>
        <v>0</v>
      </c>
      <c r="X7" s="734">
        <v>1.0</v>
      </c>
      <c r="Y7" s="731">
        <v>2.0</v>
      </c>
      <c r="Z7" s="736">
        <v>4.0</v>
      </c>
    </row>
    <row r="8">
      <c r="A8" s="738" t="s">
        <v>48</v>
      </c>
      <c r="B8" s="739" t="s">
        <v>221</v>
      </c>
      <c r="C8" s="746">
        <f t="shared" ref="C8:D8" si="5">CEILING(O8/2,1)</f>
        <v>2</v>
      </c>
      <c r="D8" s="747">
        <f t="shared" si="5"/>
        <v>1</v>
      </c>
      <c r="E8" s="747">
        <v>2.0</v>
      </c>
      <c r="F8" s="749">
        <f t="shared" ref="F8:G8" si="6">CEILING(R8/2,1)</f>
        <v>1</v>
      </c>
      <c r="G8" s="748">
        <f t="shared" si="6"/>
        <v>1</v>
      </c>
      <c r="H8" s="748"/>
      <c r="I8" s="746">
        <f t="shared" ref="I8:J8" si="7">CEILING(U8/2,1)</f>
        <v>2</v>
      </c>
      <c r="J8" s="748">
        <f t="shared" si="7"/>
        <v>1</v>
      </c>
      <c r="K8" s="748"/>
      <c r="L8" s="749">
        <f t="shared" ref="L8:M8" si="8">CEILING(X8/2,1)</f>
        <v>1</v>
      </c>
      <c r="M8" s="748">
        <f t="shared" si="8"/>
        <v>1</v>
      </c>
      <c r="N8" s="748"/>
      <c r="O8" s="754">
        <f t="shared" si="4"/>
        <v>2.58</v>
      </c>
      <c r="P8" s="741">
        <v>1.0</v>
      </c>
      <c r="Q8" s="741">
        <f t="shared" si="1"/>
        <v>0</v>
      </c>
      <c r="R8" s="743">
        <v>1.0</v>
      </c>
      <c r="S8" s="741">
        <v>2.0</v>
      </c>
      <c r="T8" s="741"/>
      <c r="U8" s="740">
        <f t="shared" si="2"/>
        <v>2.26</v>
      </c>
      <c r="V8" s="741">
        <v>2.0</v>
      </c>
      <c r="W8" s="742">
        <f t="shared" si="3"/>
        <v>0</v>
      </c>
      <c r="X8" s="740">
        <v>1.0</v>
      </c>
      <c r="Y8" s="741">
        <v>2.0</v>
      </c>
      <c r="Z8" s="741"/>
    </row>
    <row r="9">
      <c r="A9" s="529"/>
      <c r="B9" s="528" t="s">
        <v>219</v>
      </c>
      <c r="C9" s="750">
        <f t="shared" ref="C9:D9" si="9">CEILING(O9/2,1)</f>
        <v>2</v>
      </c>
      <c r="D9" s="751">
        <f t="shared" si="9"/>
        <v>1</v>
      </c>
      <c r="E9" s="751">
        <v>2.0</v>
      </c>
      <c r="F9" s="753">
        <f t="shared" ref="F9:G9" si="10">CEILING(R9/2,1)</f>
        <v>1</v>
      </c>
      <c r="G9" s="752">
        <f t="shared" si="10"/>
        <v>1</v>
      </c>
      <c r="H9" s="752"/>
      <c r="I9" s="750">
        <f t="shared" ref="I9:J9" si="11">CEILING(U9/2,1)</f>
        <v>2</v>
      </c>
      <c r="J9" s="752">
        <f t="shared" si="11"/>
        <v>1</v>
      </c>
      <c r="K9" s="752"/>
      <c r="L9" s="753">
        <f t="shared" ref="L9:M9" si="12">CEILING(X9/2,1)</f>
        <v>1</v>
      </c>
      <c r="M9" s="752">
        <f t="shared" si="12"/>
        <v>1</v>
      </c>
      <c r="N9" s="752"/>
      <c r="O9" s="745">
        <f t="shared" si="4"/>
        <v>2.58</v>
      </c>
      <c r="P9" s="736">
        <v>1.0</v>
      </c>
      <c r="Q9" s="736">
        <f t="shared" si="1"/>
        <v>0</v>
      </c>
      <c r="R9" s="737">
        <v>1.0</v>
      </c>
      <c r="S9" s="736">
        <v>2.0</v>
      </c>
      <c r="T9" s="736"/>
      <c r="U9" s="734">
        <f t="shared" si="2"/>
        <v>2.26</v>
      </c>
      <c r="V9" s="731">
        <v>2.0</v>
      </c>
      <c r="W9" s="731">
        <f t="shared" si="3"/>
        <v>0</v>
      </c>
      <c r="X9" s="734">
        <v>1.0</v>
      </c>
      <c r="Y9" s="731">
        <v>2.0</v>
      </c>
      <c r="Z9" s="736"/>
    </row>
    <row r="10">
      <c r="A10" s="738" t="s">
        <v>51</v>
      </c>
      <c r="B10" s="739" t="s">
        <v>221</v>
      </c>
      <c r="C10" s="746">
        <f t="shared" ref="C10:D10" si="13">CEILING(O10/2,1)</f>
        <v>2</v>
      </c>
      <c r="D10" s="747">
        <f t="shared" si="13"/>
        <v>1</v>
      </c>
      <c r="E10" s="747">
        <v>1.0</v>
      </c>
      <c r="F10" s="749">
        <f t="shared" ref="F10:G10" si="14">CEILING(R10/2,1)</f>
        <v>1</v>
      </c>
      <c r="G10" s="748">
        <f t="shared" si="14"/>
        <v>1</v>
      </c>
      <c r="H10" s="748"/>
      <c r="I10" s="746">
        <f t="shared" ref="I10:J10" si="15">CEILING(U10/2,1)</f>
        <v>2</v>
      </c>
      <c r="J10" s="748">
        <f t="shared" si="15"/>
        <v>1</v>
      </c>
      <c r="K10" s="748"/>
      <c r="L10" s="749">
        <f t="shared" ref="L10:M10" si="16">CEILING(X10/2,1)</f>
        <v>1</v>
      </c>
      <c r="M10" s="748">
        <f t="shared" si="16"/>
        <v>1</v>
      </c>
      <c r="N10" s="748"/>
      <c r="O10" s="754">
        <f t="shared" si="4"/>
        <v>2.58</v>
      </c>
      <c r="P10" s="741">
        <v>1.0</v>
      </c>
      <c r="Q10" s="741">
        <f t="shared" si="1"/>
        <v>0</v>
      </c>
      <c r="R10" s="743">
        <v>1.0</v>
      </c>
      <c r="S10" s="741">
        <v>2.0</v>
      </c>
      <c r="T10" s="741"/>
      <c r="U10" s="740">
        <f t="shared" si="2"/>
        <v>2.26</v>
      </c>
      <c r="V10" s="741">
        <v>2.0</v>
      </c>
      <c r="W10" s="742">
        <f t="shared" si="3"/>
        <v>0</v>
      </c>
      <c r="X10" s="740">
        <v>1.0</v>
      </c>
      <c r="Y10" s="741">
        <v>2.0</v>
      </c>
      <c r="Z10" s="741"/>
    </row>
    <row r="11">
      <c r="A11" s="529"/>
      <c r="B11" s="528"/>
      <c r="C11" s="750">
        <f t="shared" ref="C11:D11" si="17">CEILING(O11/2,1)</f>
        <v>2</v>
      </c>
      <c r="D11" s="751">
        <f t="shared" si="17"/>
        <v>1</v>
      </c>
      <c r="E11" s="751">
        <v>2.0</v>
      </c>
      <c r="F11" s="753">
        <f t="shared" ref="F11:G11" si="18">CEILING(R11/2,1)</f>
        <v>1</v>
      </c>
      <c r="G11" s="752">
        <f t="shared" si="18"/>
        <v>1</v>
      </c>
      <c r="H11" s="752"/>
      <c r="I11" s="750">
        <f t="shared" ref="I11:J11" si="19">CEILING(U11/2,1)</f>
        <v>2</v>
      </c>
      <c r="J11" s="752">
        <f t="shared" si="19"/>
        <v>1</v>
      </c>
      <c r="K11" s="752"/>
      <c r="L11" s="753">
        <f t="shared" ref="L11:M11" si="20">CEILING(X11/2,1)</f>
        <v>1</v>
      </c>
      <c r="M11" s="752">
        <f t="shared" si="20"/>
        <v>1</v>
      </c>
      <c r="N11" s="752"/>
      <c r="O11" s="745">
        <f t="shared" si="4"/>
        <v>2.58</v>
      </c>
      <c r="P11" s="736">
        <v>1.0</v>
      </c>
      <c r="Q11" s="736">
        <f t="shared" si="1"/>
        <v>0</v>
      </c>
      <c r="R11" s="737">
        <v>1.0</v>
      </c>
      <c r="S11" s="736">
        <v>2.0</v>
      </c>
      <c r="T11" s="736"/>
      <c r="U11" s="737">
        <f t="shared" si="2"/>
        <v>2.26</v>
      </c>
      <c r="V11" s="736">
        <v>2.0</v>
      </c>
      <c r="W11" s="731">
        <f t="shared" si="3"/>
        <v>0</v>
      </c>
      <c r="X11" s="737">
        <v>1.0</v>
      </c>
      <c r="Y11" s="736">
        <v>2.0</v>
      </c>
      <c r="Z11" s="736"/>
    </row>
    <row r="12">
      <c r="A12" s="738" t="s">
        <v>53</v>
      </c>
      <c r="B12" s="739" t="s">
        <v>221</v>
      </c>
      <c r="C12" s="746">
        <f t="shared" ref="C12:D12" si="21">CEILING(O12/2,1)</f>
        <v>2</v>
      </c>
      <c r="D12" s="747">
        <f t="shared" si="21"/>
        <v>1</v>
      </c>
      <c r="E12" s="747">
        <v>2.0</v>
      </c>
      <c r="F12" s="749">
        <f t="shared" ref="F12:G12" si="22">CEILING(R12/2,1)</f>
        <v>1</v>
      </c>
      <c r="G12" s="748">
        <f t="shared" si="22"/>
        <v>1</v>
      </c>
      <c r="H12" s="748"/>
      <c r="I12" s="746">
        <f t="shared" ref="I12:J12" si="23">CEILING(U12/2,1)</f>
        <v>2</v>
      </c>
      <c r="J12" s="748">
        <f t="shared" si="23"/>
        <v>1</v>
      </c>
      <c r="K12" s="748"/>
      <c r="L12" s="749">
        <f t="shared" ref="L12:M12" si="24">CEILING(X12/2,1)</f>
        <v>1</v>
      </c>
      <c r="M12" s="748">
        <f t="shared" si="24"/>
        <v>1</v>
      </c>
      <c r="N12" s="748"/>
      <c r="O12" s="754">
        <f t="shared" si="4"/>
        <v>2.58</v>
      </c>
      <c r="P12" s="741">
        <v>2.0</v>
      </c>
      <c r="Q12" s="741">
        <f t="shared" si="1"/>
        <v>0</v>
      </c>
      <c r="R12" s="743">
        <v>1.0</v>
      </c>
      <c r="S12" s="741">
        <v>2.0</v>
      </c>
      <c r="T12" s="741"/>
      <c r="U12" s="740">
        <f t="shared" si="2"/>
        <v>2.26</v>
      </c>
      <c r="V12" s="741">
        <v>2.0</v>
      </c>
      <c r="W12" s="742">
        <f t="shared" si="3"/>
        <v>0</v>
      </c>
      <c r="X12" s="740">
        <v>1.0</v>
      </c>
      <c r="Y12" s="741">
        <v>2.0</v>
      </c>
      <c r="Z12" s="741"/>
    </row>
    <row r="13">
      <c r="A13" s="529"/>
      <c r="B13" s="528"/>
      <c r="C13" s="750">
        <f t="shared" ref="C13:D13" si="25">CEILING(O13/2,1)</f>
        <v>2</v>
      </c>
      <c r="D13" s="751">
        <f t="shared" si="25"/>
        <v>1</v>
      </c>
      <c r="E13" s="751">
        <v>2.0</v>
      </c>
      <c r="F13" s="753">
        <f t="shared" ref="F13:G13" si="26">CEILING(R13/2,1)</f>
        <v>1</v>
      </c>
      <c r="G13" s="752">
        <f t="shared" si="26"/>
        <v>1</v>
      </c>
      <c r="H13" s="752"/>
      <c r="I13" s="750">
        <f t="shared" ref="I13:J13" si="27">CEILING(U13/2,1)</f>
        <v>2</v>
      </c>
      <c r="J13" s="752">
        <f t="shared" si="27"/>
        <v>1</v>
      </c>
      <c r="K13" s="752"/>
      <c r="L13" s="753">
        <f t="shared" ref="L13:M13" si="28">CEILING(X13/2,1)</f>
        <v>1</v>
      </c>
      <c r="M13" s="752">
        <f t="shared" si="28"/>
        <v>1</v>
      </c>
      <c r="N13" s="752"/>
      <c r="O13" s="745">
        <f t="shared" si="4"/>
        <v>2.58</v>
      </c>
      <c r="P13" s="736">
        <v>2.0</v>
      </c>
      <c r="Q13" s="736">
        <f t="shared" si="1"/>
        <v>0</v>
      </c>
      <c r="R13" s="737">
        <v>1.0</v>
      </c>
      <c r="S13" s="736">
        <v>2.0</v>
      </c>
      <c r="T13" s="736"/>
      <c r="U13" s="734">
        <f t="shared" si="2"/>
        <v>2.26</v>
      </c>
      <c r="V13" s="731">
        <v>2.0</v>
      </c>
      <c r="W13" s="731">
        <f t="shared" si="3"/>
        <v>0</v>
      </c>
      <c r="X13" s="734">
        <v>1.0</v>
      </c>
      <c r="Y13" s="731">
        <v>2.0</v>
      </c>
      <c r="Z13" s="736"/>
    </row>
    <row r="14">
      <c r="A14" s="738"/>
      <c r="B14" s="739" t="s">
        <v>221</v>
      </c>
      <c r="C14" s="746">
        <f t="shared" ref="C14:G14" si="29">CEILING(O14/2,1)</f>
        <v>2</v>
      </c>
      <c r="D14" s="747">
        <f t="shared" si="29"/>
        <v>1</v>
      </c>
      <c r="E14" s="748">
        <f t="shared" si="29"/>
        <v>0</v>
      </c>
      <c r="F14" s="749">
        <f t="shared" si="29"/>
        <v>1</v>
      </c>
      <c r="G14" s="748">
        <f t="shared" si="29"/>
        <v>1</v>
      </c>
      <c r="H14" s="748"/>
      <c r="I14" s="746">
        <f t="shared" ref="I14:J14" si="30">CEILING(U14/2,1)</f>
        <v>2</v>
      </c>
      <c r="J14" s="748">
        <f t="shared" si="30"/>
        <v>1</v>
      </c>
      <c r="K14" s="748"/>
      <c r="L14" s="749">
        <f t="shared" ref="L14:M14" si="31">CEILING(X14/2,1)</f>
        <v>1</v>
      </c>
      <c r="M14" s="748">
        <f t="shared" si="31"/>
        <v>1</v>
      </c>
      <c r="N14" s="748"/>
      <c r="O14" s="754">
        <f t="shared" si="4"/>
        <v>2.58</v>
      </c>
      <c r="P14" s="741">
        <v>1.0</v>
      </c>
      <c r="Q14" s="741">
        <f t="shared" si="1"/>
        <v>0</v>
      </c>
      <c r="R14" s="743">
        <v>1.0</v>
      </c>
      <c r="S14" s="741">
        <v>1.0</v>
      </c>
      <c r="T14" s="741">
        <v>2.0</v>
      </c>
      <c r="U14" s="740">
        <f t="shared" si="2"/>
        <v>2.26</v>
      </c>
      <c r="V14" s="742">
        <v>1.0</v>
      </c>
      <c r="W14" s="742">
        <f t="shared" si="3"/>
        <v>0</v>
      </c>
      <c r="X14" s="740">
        <v>1.0</v>
      </c>
      <c r="Y14" s="742">
        <v>1.0</v>
      </c>
      <c r="Z14" s="741">
        <v>2.0</v>
      </c>
    </row>
    <row r="15">
      <c r="A15" s="529" t="s">
        <v>55</v>
      </c>
      <c r="B15" s="528" t="s">
        <v>219</v>
      </c>
      <c r="C15" s="750">
        <f t="shared" ref="C15:N15" si="32">CEILING(O15/2,1)</f>
        <v>2</v>
      </c>
      <c r="D15" s="751">
        <f t="shared" si="32"/>
        <v>1</v>
      </c>
      <c r="E15" s="752">
        <f t="shared" si="32"/>
        <v>0</v>
      </c>
      <c r="F15" s="753">
        <f t="shared" si="32"/>
        <v>1</v>
      </c>
      <c r="G15" s="752">
        <f t="shared" si="32"/>
        <v>1</v>
      </c>
      <c r="H15" s="752">
        <f t="shared" si="32"/>
        <v>2</v>
      </c>
      <c r="I15" s="750">
        <f t="shared" si="32"/>
        <v>2</v>
      </c>
      <c r="J15" s="752">
        <f t="shared" si="32"/>
        <v>1</v>
      </c>
      <c r="K15" s="752">
        <f t="shared" si="32"/>
        <v>0</v>
      </c>
      <c r="L15" s="753">
        <f t="shared" si="32"/>
        <v>1</v>
      </c>
      <c r="M15" s="752">
        <f t="shared" si="32"/>
        <v>1</v>
      </c>
      <c r="N15" s="752">
        <f t="shared" si="32"/>
        <v>2</v>
      </c>
      <c r="O15" s="745">
        <f t="shared" si="4"/>
        <v>2.58</v>
      </c>
      <c r="P15" s="736">
        <v>1.0</v>
      </c>
      <c r="Q15" s="736">
        <f t="shared" si="1"/>
        <v>0</v>
      </c>
      <c r="R15" s="737">
        <v>1.0</v>
      </c>
      <c r="S15" s="736">
        <v>2.0</v>
      </c>
      <c r="T15" s="736">
        <v>3.0</v>
      </c>
      <c r="U15" s="734">
        <f t="shared" si="2"/>
        <v>2.26</v>
      </c>
      <c r="V15" s="731">
        <v>2.0</v>
      </c>
      <c r="W15" s="731">
        <f t="shared" si="3"/>
        <v>0</v>
      </c>
      <c r="X15" s="734">
        <v>1.0</v>
      </c>
      <c r="Y15" s="731">
        <v>2.0</v>
      </c>
      <c r="Z15" s="736">
        <v>3.0</v>
      </c>
    </row>
    <row r="16">
      <c r="A16" s="529"/>
      <c r="B16" s="528" t="s">
        <v>217</v>
      </c>
      <c r="C16" s="750">
        <f t="shared" ref="C16:D16" si="33">CEILING(O16/2,1)</f>
        <v>2</v>
      </c>
      <c r="D16" s="751">
        <f t="shared" si="33"/>
        <v>1</v>
      </c>
      <c r="E16" s="752"/>
      <c r="F16" s="753">
        <f t="shared" ref="F16:N16" si="34">CEILING(R16/2,1)</f>
        <v>1</v>
      </c>
      <c r="G16" s="752">
        <f t="shared" si="34"/>
        <v>1</v>
      </c>
      <c r="H16" s="752">
        <f t="shared" si="34"/>
        <v>2</v>
      </c>
      <c r="I16" s="750">
        <f t="shared" si="34"/>
        <v>2</v>
      </c>
      <c r="J16" s="752">
        <f t="shared" si="34"/>
        <v>1</v>
      </c>
      <c r="K16" s="752">
        <f t="shared" si="34"/>
        <v>0</v>
      </c>
      <c r="L16" s="753">
        <f t="shared" si="34"/>
        <v>1</v>
      </c>
      <c r="M16" s="752">
        <f t="shared" si="34"/>
        <v>1</v>
      </c>
      <c r="N16" s="752">
        <f t="shared" si="34"/>
        <v>2</v>
      </c>
      <c r="O16" s="745">
        <f t="shared" si="4"/>
        <v>2.58</v>
      </c>
      <c r="P16" s="736">
        <v>1.0</v>
      </c>
      <c r="Q16" s="736">
        <f t="shared" si="1"/>
        <v>0</v>
      </c>
      <c r="R16" s="737">
        <v>1.0</v>
      </c>
      <c r="S16" s="736">
        <v>2.0</v>
      </c>
      <c r="T16" s="736">
        <v>3.0</v>
      </c>
      <c r="U16" s="734">
        <f t="shared" si="2"/>
        <v>2.26</v>
      </c>
      <c r="V16" s="731">
        <v>2.0</v>
      </c>
      <c r="W16" s="731">
        <f t="shared" si="3"/>
        <v>0</v>
      </c>
      <c r="X16" s="734">
        <v>1.0</v>
      </c>
      <c r="Y16" s="731">
        <v>2.0</v>
      </c>
      <c r="Z16" s="736">
        <v>3.0</v>
      </c>
    </row>
    <row r="17">
      <c r="A17" s="738" t="s">
        <v>57</v>
      </c>
      <c r="B17" s="739" t="s">
        <v>221</v>
      </c>
      <c r="C17" s="746">
        <f t="shared" ref="C17:D17" si="35">CEILING(O17/2,1)</f>
        <v>2</v>
      </c>
      <c r="D17" s="747">
        <f t="shared" si="35"/>
        <v>1</v>
      </c>
      <c r="E17" s="748"/>
      <c r="F17" s="749">
        <f t="shared" ref="F17:G17" si="36">CEILING(R17/2,1)</f>
        <v>1</v>
      </c>
      <c r="G17" s="748">
        <f t="shared" si="36"/>
        <v>1</v>
      </c>
      <c r="H17" s="748"/>
      <c r="I17" s="746">
        <f t="shared" ref="I17:J17" si="37">CEILING(U17/2,1)</f>
        <v>2</v>
      </c>
      <c r="J17" s="748">
        <f t="shared" si="37"/>
        <v>1</v>
      </c>
      <c r="K17" s="748"/>
      <c r="L17" s="749">
        <f t="shared" ref="L17:M17" si="38">CEILING(X17/2,1)</f>
        <v>1</v>
      </c>
      <c r="M17" s="748">
        <f t="shared" si="38"/>
        <v>1</v>
      </c>
      <c r="N17" s="748"/>
      <c r="O17" s="754">
        <f t="shared" si="4"/>
        <v>2.58</v>
      </c>
      <c r="P17" s="741">
        <v>1.0</v>
      </c>
      <c r="Q17" s="742">
        <f t="shared" si="1"/>
        <v>0</v>
      </c>
      <c r="R17" s="743">
        <v>1.0</v>
      </c>
      <c r="S17" s="741">
        <v>1.0</v>
      </c>
      <c r="T17" s="741"/>
      <c r="U17" s="740">
        <f t="shared" si="2"/>
        <v>2.26</v>
      </c>
      <c r="V17" s="742">
        <v>1.0</v>
      </c>
      <c r="W17" s="742">
        <f t="shared" si="3"/>
        <v>0</v>
      </c>
      <c r="X17" s="740">
        <v>1.0</v>
      </c>
      <c r="Y17" s="742">
        <v>1.0</v>
      </c>
      <c r="Z17" s="741"/>
    </row>
    <row r="18">
      <c r="A18" s="529"/>
      <c r="B18" s="528"/>
      <c r="C18" s="750">
        <f t="shared" ref="C18:D18" si="39">CEILING(O18/2,1)</f>
        <v>2</v>
      </c>
      <c r="D18" s="751">
        <f t="shared" si="39"/>
        <v>1</v>
      </c>
      <c r="E18" s="752"/>
      <c r="F18" s="753">
        <f t="shared" ref="F18:G18" si="40">CEILING(R18/2,1)</f>
        <v>1</v>
      </c>
      <c r="G18" s="752">
        <f t="shared" si="40"/>
        <v>1</v>
      </c>
      <c r="H18" s="752"/>
      <c r="I18" s="750">
        <f t="shared" ref="I18:J18" si="41">CEILING(U18/2,1)</f>
        <v>2</v>
      </c>
      <c r="J18" s="752">
        <f t="shared" si="41"/>
        <v>1</v>
      </c>
      <c r="K18" s="752"/>
      <c r="L18" s="753">
        <f t="shared" ref="L18:M18" si="42">CEILING(X18/2,1)</f>
        <v>1</v>
      </c>
      <c r="M18" s="752">
        <f t="shared" si="42"/>
        <v>1</v>
      </c>
      <c r="N18" s="752"/>
      <c r="O18" s="745">
        <f t="shared" si="4"/>
        <v>2.58</v>
      </c>
      <c r="P18" s="736">
        <v>1.0</v>
      </c>
      <c r="Q18" s="731">
        <f t="shared" si="1"/>
        <v>0</v>
      </c>
      <c r="R18" s="737">
        <v>1.0</v>
      </c>
      <c r="S18" s="736">
        <v>1.0</v>
      </c>
      <c r="T18" s="736"/>
      <c r="U18" s="737">
        <f t="shared" si="2"/>
        <v>2.26</v>
      </c>
      <c r="V18" s="736">
        <v>1.0</v>
      </c>
      <c r="W18" s="731">
        <f t="shared" si="3"/>
        <v>0</v>
      </c>
      <c r="X18" s="737">
        <v>1.0</v>
      </c>
      <c r="Y18" s="736">
        <v>1.0</v>
      </c>
      <c r="Z18" s="736"/>
    </row>
    <row r="19">
      <c r="A19" s="738" t="s">
        <v>273</v>
      </c>
      <c r="B19" s="739" t="s">
        <v>221</v>
      </c>
      <c r="C19" s="746">
        <f t="shared" ref="C19:G19" si="43">CEILING(O19/2,1)</f>
        <v>2</v>
      </c>
      <c r="D19" s="747">
        <f t="shared" si="43"/>
        <v>1</v>
      </c>
      <c r="E19" s="748">
        <f t="shared" si="43"/>
        <v>0</v>
      </c>
      <c r="F19" s="749">
        <f t="shared" si="43"/>
        <v>1</v>
      </c>
      <c r="G19" s="748">
        <f t="shared" si="43"/>
        <v>1</v>
      </c>
      <c r="H19" s="748"/>
      <c r="I19" s="746">
        <f t="shared" ref="I19:J19" si="44">CEILING(U19/2,1)</f>
        <v>2</v>
      </c>
      <c r="J19" s="748">
        <f t="shared" si="44"/>
        <v>1</v>
      </c>
      <c r="K19" s="748"/>
      <c r="L19" s="749">
        <f t="shared" ref="L19:M19" si="45">CEILING(X19/2,1)</f>
        <v>1</v>
      </c>
      <c r="M19" s="748">
        <f t="shared" si="45"/>
        <v>1</v>
      </c>
      <c r="N19" s="748"/>
      <c r="O19" s="754">
        <f t="shared" si="4"/>
        <v>2.58</v>
      </c>
      <c r="P19" s="741">
        <v>1.0</v>
      </c>
      <c r="Q19" s="741">
        <f t="shared" si="1"/>
        <v>0</v>
      </c>
      <c r="R19" s="743">
        <v>1.0</v>
      </c>
      <c r="S19" s="741">
        <v>1.0</v>
      </c>
      <c r="T19" s="741">
        <v>2.0</v>
      </c>
      <c r="U19" s="740">
        <f t="shared" si="2"/>
        <v>2.26</v>
      </c>
      <c r="V19" s="742">
        <v>1.0</v>
      </c>
      <c r="W19" s="741">
        <f t="shared" si="3"/>
        <v>0</v>
      </c>
      <c r="X19" s="740">
        <v>1.0</v>
      </c>
      <c r="Y19" s="742">
        <v>1.0</v>
      </c>
      <c r="Z19" s="741">
        <v>2.0</v>
      </c>
    </row>
    <row r="20">
      <c r="A20" s="529"/>
      <c r="B20" s="528"/>
      <c r="C20" s="750">
        <f t="shared" ref="C20:G20" si="46">CEILING(O20/2,1)</f>
        <v>2</v>
      </c>
      <c r="D20" s="751">
        <f t="shared" si="46"/>
        <v>1</v>
      </c>
      <c r="E20" s="752">
        <f t="shared" si="46"/>
        <v>0</v>
      </c>
      <c r="F20" s="753">
        <f t="shared" si="46"/>
        <v>1</v>
      </c>
      <c r="G20" s="752">
        <f t="shared" si="46"/>
        <v>1</v>
      </c>
      <c r="H20" s="752"/>
      <c r="I20" s="750">
        <f t="shared" ref="I20:J20" si="47">CEILING(U20/2,1)</f>
        <v>2</v>
      </c>
      <c r="J20" s="752">
        <f t="shared" si="47"/>
        <v>1</v>
      </c>
      <c r="K20" s="752"/>
      <c r="L20" s="753">
        <f t="shared" ref="L20:M20" si="48">CEILING(X20/2,1)</f>
        <v>1</v>
      </c>
      <c r="M20" s="752">
        <f t="shared" si="48"/>
        <v>1</v>
      </c>
      <c r="N20" s="752"/>
      <c r="O20" s="745">
        <f t="shared" si="4"/>
        <v>2.58</v>
      </c>
      <c r="P20" s="736">
        <v>1.0</v>
      </c>
      <c r="Q20" s="736">
        <f t="shared" si="1"/>
        <v>0</v>
      </c>
      <c r="R20" s="737">
        <v>1.0</v>
      </c>
      <c r="S20" s="736">
        <v>1.0</v>
      </c>
      <c r="T20" s="736">
        <v>2.0</v>
      </c>
      <c r="U20" s="737">
        <f t="shared" si="2"/>
        <v>2.26</v>
      </c>
      <c r="V20" s="736">
        <v>1.0</v>
      </c>
      <c r="W20" s="736">
        <f t="shared" si="3"/>
        <v>0</v>
      </c>
      <c r="X20" s="737">
        <v>1.0</v>
      </c>
      <c r="Y20" s="736">
        <v>1.0</v>
      </c>
      <c r="Z20" s="736">
        <v>2.0</v>
      </c>
    </row>
    <row r="21">
      <c r="A21" s="738" t="s">
        <v>136</v>
      </c>
      <c r="B21" s="738"/>
      <c r="C21" s="746">
        <f t="shared" ref="C21:D21" si="49">CEILING(O21/2,1)</f>
        <v>2</v>
      </c>
      <c r="D21" s="747">
        <f t="shared" si="49"/>
        <v>1</v>
      </c>
      <c r="E21" s="747">
        <v>2.0</v>
      </c>
      <c r="F21" s="749">
        <f t="shared" ref="F21:G21" si="50">CEILING(R21/2,1)</f>
        <v>1</v>
      </c>
      <c r="G21" s="748">
        <f t="shared" si="50"/>
        <v>1</v>
      </c>
      <c r="H21" s="747">
        <v>2.0</v>
      </c>
      <c r="I21" s="746">
        <f t="shared" ref="I21:J21" si="51">CEILING(U21/2,1)</f>
        <v>2</v>
      </c>
      <c r="J21" s="748">
        <f t="shared" si="51"/>
        <v>1</v>
      </c>
      <c r="K21" s="747">
        <v>2.0</v>
      </c>
      <c r="L21" s="749">
        <f t="shared" ref="L21:M21" si="52">CEILING(X21/2,1)</f>
        <v>1</v>
      </c>
      <c r="M21" s="748">
        <f t="shared" si="52"/>
        <v>1</v>
      </c>
      <c r="N21" s="747">
        <v>2.0</v>
      </c>
      <c r="O21" s="754">
        <f t="shared" si="4"/>
        <v>2.58</v>
      </c>
      <c r="P21" s="741">
        <v>2.0</v>
      </c>
      <c r="Q21" s="742">
        <f t="shared" si="1"/>
        <v>0</v>
      </c>
      <c r="R21" s="743">
        <v>1.0</v>
      </c>
      <c r="S21" s="741">
        <v>2.0</v>
      </c>
      <c r="T21" s="741"/>
      <c r="U21" s="743">
        <f t="shared" si="2"/>
        <v>2.26</v>
      </c>
      <c r="V21" s="741">
        <v>2.0</v>
      </c>
      <c r="W21" s="742">
        <f t="shared" si="3"/>
        <v>0</v>
      </c>
      <c r="X21" s="743">
        <v>1.0</v>
      </c>
      <c r="Y21" s="741">
        <v>2.0</v>
      </c>
      <c r="Z21" s="741"/>
    </row>
    <row r="22">
      <c r="A22" s="738" t="s">
        <v>114</v>
      </c>
      <c r="B22" s="738"/>
      <c r="C22" s="746">
        <f t="shared" ref="C22:D22" si="53">CEILING(O22/2,1)</f>
        <v>2</v>
      </c>
      <c r="D22" s="747">
        <f t="shared" si="53"/>
        <v>1</v>
      </c>
      <c r="E22" s="748"/>
      <c r="F22" s="749">
        <f t="shared" ref="F22:G22" si="54">CEILING(R22/2,1)</f>
        <v>1</v>
      </c>
      <c r="G22" s="748">
        <f t="shared" si="54"/>
        <v>1</v>
      </c>
      <c r="H22" s="748"/>
      <c r="I22" s="746">
        <f t="shared" ref="I22:J22" si="55">CEILING(U22/2,1)</f>
        <v>2</v>
      </c>
      <c r="J22" s="748">
        <f t="shared" si="55"/>
        <v>1</v>
      </c>
      <c r="K22" s="748"/>
      <c r="L22" s="749">
        <f t="shared" ref="L22:M22" si="56">CEILING(X22/2,1)</f>
        <v>1</v>
      </c>
      <c r="M22" s="748">
        <f t="shared" si="56"/>
        <v>1</v>
      </c>
      <c r="N22" s="748"/>
      <c r="O22" s="754">
        <f t="shared" si="4"/>
        <v>2.58</v>
      </c>
      <c r="P22" s="741">
        <v>1.0</v>
      </c>
      <c r="Q22" s="742">
        <f t="shared" si="1"/>
        <v>0</v>
      </c>
      <c r="R22" s="743">
        <v>1.0</v>
      </c>
      <c r="S22" s="741">
        <v>1.0</v>
      </c>
      <c r="T22" s="741"/>
      <c r="U22" s="743">
        <f t="shared" si="2"/>
        <v>2.26</v>
      </c>
      <c r="V22" s="741">
        <v>1.0</v>
      </c>
      <c r="W22" s="742">
        <f t="shared" si="3"/>
        <v>0</v>
      </c>
      <c r="X22" s="743">
        <v>1.0</v>
      </c>
      <c r="Y22" s="741">
        <v>1.0</v>
      </c>
      <c r="Z22" s="741"/>
    </row>
    <row r="23">
      <c r="A23" s="738" t="s">
        <v>60</v>
      </c>
      <c r="B23" s="738" t="s">
        <v>219</v>
      </c>
      <c r="C23" s="746">
        <f t="shared" ref="C23:D23" si="57">CEILING(O23/2,1)</f>
        <v>2</v>
      </c>
      <c r="D23" s="747">
        <f t="shared" si="57"/>
        <v>2</v>
      </c>
      <c r="E23" s="748"/>
      <c r="F23" s="749">
        <f t="shared" ref="F23:G23" si="58">CEILING(R23/2,1)</f>
        <v>1</v>
      </c>
      <c r="G23" s="748">
        <f t="shared" si="58"/>
        <v>2</v>
      </c>
      <c r="H23" s="748"/>
      <c r="I23" s="746">
        <f t="shared" ref="I23:J23" si="59">CEILING(U23/2,1)</f>
        <v>2</v>
      </c>
      <c r="J23" s="748">
        <f t="shared" si="59"/>
        <v>2</v>
      </c>
      <c r="K23" s="748"/>
      <c r="L23" s="749">
        <f t="shared" ref="L23:M23" si="60">CEILING(X23/2,1)</f>
        <v>1</v>
      </c>
      <c r="M23" s="748">
        <f t="shared" si="60"/>
        <v>2</v>
      </c>
      <c r="N23" s="748"/>
      <c r="O23" s="754">
        <f t="shared" si="4"/>
        <v>2.58</v>
      </c>
      <c r="P23" s="741">
        <v>3.0</v>
      </c>
      <c r="Q23" s="742">
        <f t="shared" si="1"/>
        <v>0</v>
      </c>
      <c r="R23" s="743">
        <v>2.0</v>
      </c>
      <c r="S23" s="741">
        <v>4.0</v>
      </c>
      <c r="T23" s="741"/>
      <c r="U23" s="743">
        <f t="shared" si="2"/>
        <v>2.26</v>
      </c>
      <c r="V23" s="741">
        <v>4.0</v>
      </c>
      <c r="W23" s="742">
        <f t="shared" si="3"/>
        <v>0</v>
      </c>
      <c r="X23" s="743">
        <v>2.0</v>
      </c>
      <c r="Y23" s="741">
        <v>4.0</v>
      </c>
      <c r="Z23" s="741"/>
    </row>
    <row r="24">
      <c r="A24" s="755"/>
      <c r="B24" s="756" t="s">
        <v>217</v>
      </c>
      <c r="C24" s="757">
        <f t="shared" ref="C24:D24" si="61">CEILING(O24/2,1)</f>
        <v>2</v>
      </c>
      <c r="D24" s="758">
        <f t="shared" si="61"/>
        <v>2</v>
      </c>
      <c r="E24" s="759"/>
      <c r="F24" s="758">
        <f t="shared" ref="F24:F34" si="64">CEILING(R24/2,1)</f>
        <v>1</v>
      </c>
      <c r="G24" s="760">
        <v>3.0</v>
      </c>
      <c r="H24" s="759"/>
      <c r="I24" s="757">
        <f t="shared" ref="I24:J24" si="62">CEILING(U24/2,1)</f>
        <v>2</v>
      </c>
      <c r="J24" s="757">
        <f t="shared" si="62"/>
        <v>2</v>
      </c>
      <c r="K24" s="759"/>
      <c r="L24" s="758">
        <f t="shared" ref="L24:L25" si="65">CEILING(X24/2,1)</f>
        <v>1</v>
      </c>
      <c r="M24" s="760">
        <v>3.0</v>
      </c>
      <c r="N24" s="761"/>
      <c r="O24" s="762">
        <f t="shared" si="4"/>
        <v>2.58</v>
      </c>
      <c r="P24" s="762">
        <v>3.0</v>
      </c>
      <c r="Q24" s="763">
        <f t="shared" si="1"/>
        <v>0</v>
      </c>
      <c r="R24" s="762">
        <v>2.0</v>
      </c>
      <c r="S24" s="762">
        <v>4.0</v>
      </c>
      <c r="T24" s="764"/>
      <c r="U24" s="762">
        <f t="shared" si="2"/>
        <v>2.26</v>
      </c>
      <c r="V24" s="762">
        <v>4.0</v>
      </c>
      <c r="W24" s="763">
        <f t="shared" si="3"/>
        <v>0</v>
      </c>
      <c r="X24" s="762">
        <v>2.0</v>
      </c>
      <c r="Y24" s="762">
        <v>4.0</v>
      </c>
      <c r="Z24" s="765"/>
    </row>
    <row r="25">
      <c r="A25" s="738" t="s">
        <v>62</v>
      </c>
      <c r="B25" s="738" t="s">
        <v>219</v>
      </c>
      <c r="C25" s="746">
        <f t="shared" ref="C25:D25" si="63">CEILING(O25/2,1)</f>
        <v>2</v>
      </c>
      <c r="D25" s="747">
        <f t="shared" si="63"/>
        <v>2</v>
      </c>
      <c r="E25" s="748"/>
      <c r="F25" s="749">
        <f t="shared" si="64"/>
        <v>1</v>
      </c>
      <c r="G25" s="747">
        <v>3.0</v>
      </c>
      <c r="H25" s="748"/>
      <c r="I25" s="746">
        <f t="shared" ref="I25:I34" si="67">CEILING(U25/2,1)</f>
        <v>2</v>
      </c>
      <c r="J25" s="747">
        <v>3.0</v>
      </c>
      <c r="K25" s="748"/>
      <c r="L25" s="749">
        <f t="shared" si="65"/>
        <v>1</v>
      </c>
      <c r="M25" s="747">
        <v>3.0</v>
      </c>
      <c r="N25" s="748"/>
      <c r="O25" s="754">
        <f t="shared" si="4"/>
        <v>2.58</v>
      </c>
      <c r="P25" s="741">
        <v>3.0</v>
      </c>
      <c r="Q25" s="742">
        <f t="shared" si="1"/>
        <v>0</v>
      </c>
      <c r="R25" s="743">
        <v>2.0</v>
      </c>
      <c r="S25" s="741">
        <v>4.0</v>
      </c>
      <c r="T25" s="741"/>
      <c r="U25" s="743">
        <f t="shared" si="2"/>
        <v>2.26</v>
      </c>
      <c r="V25" s="741">
        <v>4.0</v>
      </c>
      <c r="W25" s="742">
        <f t="shared" si="3"/>
        <v>0</v>
      </c>
      <c r="X25" s="743">
        <v>2.0</v>
      </c>
      <c r="Y25" s="741">
        <v>4.0</v>
      </c>
      <c r="Z25" s="741"/>
    </row>
    <row r="26">
      <c r="A26" s="529"/>
      <c r="B26" s="529" t="s">
        <v>217</v>
      </c>
      <c r="C26" s="750">
        <f t="shared" ref="C26:D26" si="66">CEILING(O26/2,1)</f>
        <v>2</v>
      </c>
      <c r="D26" s="751">
        <f t="shared" si="66"/>
        <v>2</v>
      </c>
      <c r="E26" s="752"/>
      <c r="F26" s="753">
        <f t="shared" si="64"/>
        <v>1</v>
      </c>
      <c r="G26" s="752">
        <f t="shared" ref="G26:G34" si="69">CEILING(S26/2,1)</f>
        <v>3</v>
      </c>
      <c r="H26" s="752"/>
      <c r="I26" s="750">
        <f t="shared" si="67"/>
        <v>2</v>
      </c>
      <c r="J26" s="752">
        <f t="shared" ref="J26:J34" si="70">CEILING(V26/2,1)</f>
        <v>3</v>
      </c>
      <c r="K26" s="752"/>
      <c r="L26" s="753">
        <v>2.0</v>
      </c>
      <c r="M26" s="752">
        <f>CEILING(Y26/2,1)</f>
        <v>3</v>
      </c>
      <c r="N26" s="752"/>
      <c r="O26" s="745">
        <f t="shared" si="4"/>
        <v>2.58</v>
      </c>
      <c r="P26" s="736">
        <v>4.0</v>
      </c>
      <c r="Q26" s="731">
        <f t="shared" si="1"/>
        <v>0</v>
      </c>
      <c r="R26" s="737">
        <v>2.0</v>
      </c>
      <c r="S26" s="736">
        <v>5.0</v>
      </c>
      <c r="T26" s="736"/>
      <c r="U26" s="737">
        <f t="shared" si="2"/>
        <v>2.26</v>
      </c>
      <c r="V26" s="736">
        <v>5.0</v>
      </c>
      <c r="W26" s="731">
        <f t="shared" si="3"/>
        <v>0</v>
      </c>
      <c r="X26" s="737">
        <v>2.0</v>
      </c>
      <c r="Y26" s="736">
        <v>5.0</v>
      </c>
      <c r="Z26" s="736"/>
    </row>
    <row r="27">
      <c r="A27" s="738" t="s">
        <v>63</v>
      </c>
      <c r="B27" s="739" t="s">
        <v>221</v>
      </c>
      <c r="C27" s="746">
        <f t="shared" ref="C27:D27" si="68">CEILING(O27/2,1)</f>
        <v>2</v>
      </c>
      <c r="D27" s="747">
        <f t="shared" si="68"/>
        <v>3</v>
      </c>
      <c r="E27" s="748"/>
      <c r="F27" s="749">
        <f t="shared" si="64"/>
        <v>2</v>
      </c>
      <c r="G27" s="748">
        <f t="shared" si="69"/>
        <v>4</v>
      </c>
      <c r="H27" s="748"/>
      <c r="I27" s="749">
        <f t="shared" si="67"/>
        <v>2</v>
      </c>
      <c r="J27" s="748">
        <f t="shared" si="70"/>
        <v>4</v>
      </c>
      <c r="K27" s="748"/>
      <c r="L27" s="749">
        <f t="shared" ref="L27:M27" si="71">CEILING(X27/2,1)</f>
        <v>2</v>
      </c>
      <c r="M27" s="748">
        <f t="shared" si="71"/>
        <v>4</v>
      </c>
      <c r="N27" s="748"/>
      <c r="O27" s="754">
        <f t="shared" si="4"/>
        <v>2.58</v>
      </c>
      <c r="P27" s="741">
        <v>5.0</v>
      </c>
      <c r="Q27" s="742">
        <f t="shared" si="1"/>
        <v>0</v>
      </c>
      <c r="R27" s="743">
        <v>3.0</v>
      </c>
      <c r="S27" s="741">
        <v>7.0</v>
      </c>
      <c r="T27" s="741"/>
      <c r="U27" s="743">
        <f t="shared" si="2"/>
        <v>2.26</v>
      </c>
      <c r="V27" s="741">
        <v>7.0</v>
      </c>
      <c r="W27" s="742">
        <f t="shared" si="3"/>
        <v>0</v>
      </c>
      <c r="X27" s="743">
        <v>3.0</v>
      </c>
      <c r="Y27" s="741">
        <v>7.0</v>
      </c>
      <c r="Z27" s="741"/>
    </row>
    <row r="28">
      <c r="A28" s="529"/>
      <c r="B28" s="528" t="s">
        <v>219</v>
      </c>
      <c r="C28" s="750">
        <f t="shared" ref="C28:D28" si="72">CEILING(O28/2,1)</f>
        <v>2</v>
      </c>
      <c r="D28" s="751">
        <f t="shared" si="72"/>
        <v>3</v>
      </c>
      <c r="E28" s="752"/>
      <c r="F28" s="753">
        <f t="shared" si="64"/>
        <v>2</v>
      </c>
      <c r="G28" s="752">
        <f t="shared" si="69"/>
        <v>4</v>
      </c>
      <c r="H28" s="752"/>
      <c r="I28" s="750">
        <f t="shared" si="67"/>
        <v>2</v>
      </c>
      <c r="J28" s="752">
        <f t="shared" si="70"/>
        <v>4</v>
      </c>
      <c r="K28" s="752"/>
      <c r="L28" s="753">
        <f t="shared" ref="L28:M28" si="73">CEILING(X28/2,1)</f>
        <v>2</v>
      </c>
      <c r="M28" s="752">
        <f t="shared" si="73"/>
        <v>4</v>
      </c>
      <c r="N28" s="752"/>
      <c r="O28" s="745">
        <f t="shared" si="4"/>
        <v>2.58</v>
      </c>
      <c r="P28" s="736">
        <v>6.0</v>
      </c>
      <c r="Q28" s="731">
        <f t="shared" si="1"/>
        <v>0</v>
      </c>
      <c r="R28" s="737">
        <v>3.0</v>
      </c>
      <c r="S28" s="736">
        <v>7.0</v>
      </c>
      <c r="T28" s="736"/>
      <c r="U28" s="737">
        <f t="shared" si="2"/>
        <v>2.26</v>
      </c>
      <c r="V28" s="736">
        <v>7.0</v>
      </c>
      <c r="W28" s="731">
        <f t="shared" si="3"/>
        <v>0</v>
      </c>
      <c r="X28" s="737">
        <v>3.0</v>
      </c>
      <c r="Y28" s="736">
        <v>7.0</v>
      </c>
      <c r="Z28" s="736"/>
    </row>
    <row r="29">
      <c r="A29" s="529" t="s">
        <v>371</v>
      </c>
      <c r="B29" s="528" t="s">
        <v>221</v>
      </c>
      <c r="C29" s="750">
        <f t="shared" ref="C29:D29" si="74">CEILING(O29/2,1)</f>
        <v>2</v>
      </c>
      <c r="D29" s="751">
        <f t="shared" si="74"/>
        <v>4</v>
      </c>
      <c r="E29" s="752"/>
      <c r="F29" s="753">
        <f t="shared" si="64"/>
        <v>2</v>
      </c>
      <c r="G29" s="752">
        <f t="shared" si="69"/>
        <v>5</v>
      </c>
      <c r="H29" s="752"/>
      <c r="I29" s="750">
        <f t="shared" si="67"/>
        <v>2</v>
      </c>
      <c r="J29" s="752">
        <f t="shared" si="70"/>
        <v>5</v>
      </c>
      <c r="K29" s="752"/>
      <c r="L29" s="753">
        <f t="shared" ref="L29:M29" si="75">CEILING(X29/2,1)</f>
        <v>2</v>
      </c>
      <c r="M29" s="752">
        <f t="shared" si="75"/>
        <v>5</v>
      </c>
      <c r="N29" s="752"/>
      <c r="O29" s="745">
        <f t="shared" si="4"/>
        <v>2.58</v>
      </c>
      <c r="P29" s="736">
        <v>7.0</v>
      </c>
      <c r="Q29" s="731">
        <f t="shared" si="1"/>
        <v>0</v>
      </c>
      <c r="R29" s="737">
        <v>4.0</v>
      </c>
      <c r="S29" s="736">
        <v>9.0</v>
      </c>
      <c r="T29" s="736"/>
      <c r="U29" s="737">
        <f t="shared" si="2"/>
        <v>2.26</v>
      </c>
      <c r="V29" s="736">
        <v>9.0</v>
      </c>
      <c r="W29" s="731">
        <f t="shared" si="3"/>
        <v>0</v>
      </c>
      <c r="X29" s="737">
        <v>4.0</v>
      </c>
      <c r="Y29" s="736">
        <v>9.0</v>
      </c>
      <c r="Z29" s="736"/>
    </row>
    <row r="30">
      <c r="A30" s="529"/>
      <c r="B30" s="528" t="s">
        <v>219</v>
      </c>
      <c r="C30" s="750">
        <f t="shared" ref="C30:D30" si="76">CEILING(O30/2,1)</f>
        <v>2</v>
      </c>
      <c r="D30" s="751">
        <f t="shared" si="76"/>
        <v>4</v>
      </c>
      <c r="E30" s="752"/>
      <c r="F30" s="753">
        <f t="shared" si="64"/>
        <v>2</v>
      </c>
      <c r="G30" s="752">
        <f t="shared" si="69"/>
        <v>5</v>
      </c>
      <c r="H30" s="752"/>
      <c r="I30" s="750">
        <f t="shared" si="67"/>
        <v>2</v>
      </c>
      <c r="J30" s="752">
        <f t="shared" si="70"/>
        <v>5</v>
      </c>
      <c r="K30" s="752"/>
      <c r="L30" s="753">
        <f t="shared" ref="L30:M30" si="77">CEILING(X30/2,1)</f>
        <v>2</v>
      </c>
      <c r="M30" s="752">
        <f t="shared" si="77"/>
        <v>5</v>
      </c>
      <c r="N30" s="752"/>
      <c r="O30" s="745">
        <f t="shared" si="4"/>
        <v>2.58</v>
      </c>
      <c r="P30" s="736">
        <v>7.0</v>
      </c>
      <c r="Q30" s="731">
        <f t="shared" si="1"/>
        <v>0</v>
      </c>
      <c r="R30" s="737">
        <v>4.0</v>
      </c>
      <c r="S30" s="736">
        <v>9.0</v>
      </c>
      <c r="T30" s="736"/>
      <c r="U30" s="737">
        <f t="shared" si="2"/>
        <v>2.26</v>
      </c>
      <c r="V30" s="736">
        <v>9.0</v>
      </c>
      <c r="W30" s="731">
        <f t="shared" si="3"/>
        <v>0</v>
      </c>
      <c r="X30" s="737">
        <v>4.0</v>
      </c>
      <c r="Y30" s="736">
        <v>9.0</v>
      </c>
      <c r="Z30" s="736"/>
    </row>
    <row r="31">
      <c r="A31" s="738" t="s">
        <v>65</v>
      </c>
      <c r="B31" s="738" t="s">
        <v>221</v>
      </c>
      <c r="C31" s="746">
        <f t="shared" ref="C31:D31" si="78">CEILING(O31/2,1)</f>
        <v>2</v>
      </c>
      <c r="D31" s="747">
        <f t="shared" si="78"/>
        <v>4</v>
      </c>
      <c r="E31" s="748"/>
      <c r="F31" s="749">
        <f t="shared" si="64"/>
        <v>2</v>
      </c>
      <c r="G31" s="748">
        <f t="shared" si="69"/>
        <v>5</v>
      </c>
      <c r="H31" s="748"/>
      <c r="I31" s="746">
        <f t="shared" si="67"/>
        <v>2</v>
      </c>
      <c r="J31" s="748">
        <f t="shared" si="70"/>
        <v>5</v>
      </c>
      <c r="K31" s="748"/>
      <c r="L31" s="749">
        <f t="shared" ref="L31:M31" si="79">CEILING(X31/2,1)</f>
        <v>2</v>
      </c>
      <c r="M31" s="748">
        <f t="shared" si="79"/>
        <v>5</v>
      </c>
      <c r="N31" s="748"/>
      <c r="O31" s="754">
        <f t="shared" si="4"/>
        <v>2.58</v>
      </c>
      <c r="P31" s="741">
        <v>7.0</v>
      </c>
      <c r="Q31" s="742">
        <f t="shared" si="1"/>
        <v>0</v>
      </c>
      <c r="R31" s="743">
        <v>4.0</v>
      </c>
      <c r="S31" s="741">
        <v>9.0</v>
      </c>
      <c r="T31" s="741"/>
      <c r="U31" s="743">
        <f t="shared" si="2"/>
        <v>2.26</v>
      </c>
      <c r="V31" s="741">
        <v>9.0</v>
      </c>
      <c r="W31" s="742">
        <f t="shared" si="3"/>
        <v>0</v>
      </c>
      <c r="X31" s="743">
        <v>4.0</v>
      </c>
      <c r="Y31" s="741">
        <v>9.0</v>
      </c>
      <c r="Z31" s="741"/>
    </row>
    <row r="32">
      <c r="A32" s="529"/>
      <c r="B32" s="529" t="s">
        <v>219</v>
      </c>
      <c r="C32" s="750">
        <f t="shared" ref="C32:D32" si="80">CEILING(O32/2,1)</f>
        <v>2</v>
      </c>
      <c r="D32" s="751">
        <f t="shared" si="80"/>
        <v>4</v>
      </c>
      <c r="E32" s="752"/>
      <c r="F32" s="753">
        <f t="shared" si="64"/>
        <v>2</v>
      </c>
      <c r="G32" s="752">
        <f t="shared" si="69"/>
        <v>5</v>
      </c>
      <c r="H32" s="752"/>
      <c r="I32" s="750">
        <f t="shared" si="67"/>
        <v>2</v>
      </c>
      <c r="J32" s="752">
        <f t="shared" si="70"/>
        <v>5</v>
      </c>
      <c r="K32" s="752"/>
      <c r="L32" s="753">
        <f t="shared" ref="L32:M32" si="81">CEILING(X32/2,1)</f>
        <v>2</v>
      </c>
      <c r="M32" s="752">
        <f t="shared" si="81"/>
        <v>5</v>
      </c>
      <c r="N32" s="752"/>
      <c r="O32" s="745">
        <f t="shared" si="4"/>
        <v>2.58</v>
      </c>
      <c r="P32" s="736">
        <v>7.0</v>
      </c>
      <c r="Q32" s="731">
        <f t="shared" si="1"/>
        <v>0</v>
      </c>
      <c r="R32" s="737">
        <v>4.0</v>
      </c>
      <c r="S32" s="736">
        <v>10.0</v>
      </c>
      <c r="T32" s="736"/>
      <c r="U32" s="737">
        <f t="shared" si="2"/>
        <v>2.26</v>
      </c>
      <c r="V32" s="736">
        <v>9.0</v>
      </c>
      <c r="W32" s="731">
        <f t="shared" si="3"/>
        <v>0</v>
      </c>
      <c r="X32" s="737">
        <v>4.0</v>
      </c>
      <c r="Y32" s="736">
        <v>10.0</v>
      </c>
      <c r="Z32" s="736"/>
    </row>
    <row r="33">
      <c r="A33" s="738" t="s">
        <v>68</v>
      </c>
      <c r="B33" s="738" t="s">
        <v>221</v>
      </c>
      <c r="C33" s="746">
        <f t="shared" ref="C33:D33" si="82">CEILING(O33/2,1)</f>
        <v>2</v>
      </c>
      <c r="D33" s="747">
        <f t="shared" si="82"/>
        <v>4</v>
      </c>
      <c r="E33" s="748"/>
      <c r="F33" s="749">
        <f t="shared" si="64"/>
        <v>2</v>
      </c>
      <c r="G33" s="748">
        <f t="shared" si="69"/>
        <v>5</v>
      </c>
      <c r="H33" s="748"/>
      <c r="I33" s="746">
        <f t="shared" si="67"/>
        <v>2</v>
      </c>
      <c r="J33" s="748">
        <f t="shared" si="70"/>
        <v>5</v>
      </c>
      <c r="K33" s="748"/>
      <c r="L33" s="749">
        <f t="shared" ref="L33:M33" si="83">CEILING(X33/2,1)</f>
        <v>2</v>
      </c>
      <c r="M33" s="748">
        <f t="shared" si="83"/>
        <v>5</v>
      </c>
      <c r="N33" s="748"/>
      <c r="O33" s="754">
        <f t="shared" si="4"/>
        <v>2.58</v>
      </c>
      <c r="P33" s="741">
        <v>7.0</v>
      </c>
      <c r="Q33" s="742">
        <f t="shared" si="1"/>
        <v>0</v>
      </c>
      <c r="R33" s="743">
        <v>4.0</v>
      </c>
      <c r="S33" s="741">
        <v>9.0</v>
      </c>
      <c r="T33" s="741"/>
      <c r="U33" s="743">
        <f t="shared" si="2"/>
        <v>2.26</v>
      </c>
      <c r="V33" s="741">
        <v>9.0</v>
      </c>
      <c r="W33" s="742">
        <f t="shared" si="3"/>
        <v>0</v>
      </c>
      <c r="X33" s="743">
        <v>4.0</v>
      </c>
      <c r="Y33" s="741">
        <v>9.0</v>
      </c>
      <c r="Z33" s="741"/>
    </row>
    <row r="34">
      <c r="A34" s="529"/>
      <c r="B34" s="529" t="s">
        <v>219</v>
      </c>
      <c r="C34" s="750">
        <f t="shared" ref="C34:D34" si="84">CEILING(O34/2,1)</f>
        <v>2</v>
      </c>
      <c r="D34" s="751">
        <f t="shared" si="84"/>
        <v>4</v>
      </c>
      <c r="E34" s="752"/>
      <c r="F34" s="753">
        <f t="shared" si="64"/>
        <v>2</v>
      </c>
      <c r="G34" s="752">
        <f t="shared" si="69"/>
        <v>5</v>
      </c>
      <c r="H34" s="752"/>
      <c r="I34" s="750">
        <f t="shared" si="67"/>
        <v>2</v>
      </c>
      <c r="J34" s="752">
        <f t="shared" si="70"/>
        <v>5</v>
      </c>
      <c r="K34" s="752"/>
      <c r="L34" s="753">
        <f t="shared" ref="L34:M34" si="85">CEILING(X34/2,1)</f>
        <v>2</v>
      </c>
      <c r="M34" s="752">
        <f t="shared" si="85"/>
        <v>5</v>
      </c>
      <c r="N34" s="752"/>
      <c r="O34" s="745">
        <f t="shared" si="4"/>
        <v>2.58</v>
      </c>
      <c r="P34" s="736">
        <v>7.0</v>
      </c>
      <c r="Q34" s="731">
        <f t="shared" si="1"/>
        <v>0</v>
      </c>
      <c r="R34" s="737">
        <v>4.0</v>
      </c>
      <c r="S34" s="736">
        <v>10.0</v>
      </c>
      <c r="T34" s="736"/>
      <c r="U34" s="737">
        <f t="shared" si="2"/>
        <v>2.26</v>
      </c>
      <c r="V34" s="736">
        <v>9.0</v>
      </c>
      <c r="W34" s="731">
        <f t="shared" si="3"/>
        <v>0</v>
      </c>
      <c r="X34" s="737">
        <v>4.0</v>
      </c>
      <c r="Y34" s="736">
        <v>10.0</v>
      </c>
      <c r="Z34" s="736"/>
    </row>
    <row r="35">
      <c r="A35" s="738"/>
      <c r="B35" s="738" t="s">
        <v>221</v>
      </c>
      <c r="C35" s="740"/>
      <c r="D35" s="741"/>
      <c r="E35" s="742"/>
      <c r="F35" s="743"/>
      <c r="G35" s="742"/>
      <c r="H35" s="742"/>
      <c r="I35" s="740"/>
      <c r="J35" s="742"/>
      <c r="K35" s="742"/>
      <c r="L35" s="743"/>
      <c r="M35" s="742"/>
      <c r="N35" s="742"/>
      <c r="O35" s="754">
        <f t="shared" si="4"/>
        <v>2.58</v>
      </c>
      <c r="P35" s="741">
        <v>4.0</v>
      </c>
      <c r="Q35" s="742">
        <f t="shared" si="1"/>
        <v>0</v>
      </c>
      <c r="R35" s="743">
        <v>2.0</v>
      </c>
      <c r="S35" s="741">
        <v>5.0</v>
      </c>
      <c r="T35" s="741"/>
      <c r="U35" s="743">
        <f t="shared" si="2"/>
        <v>2.26</v>
      </c>
      <c r="V35" s="741">
        <v>5.0</v>
      </c>
      <c r="W35" s="742">
        <f t="shared" si="3"/>
        <v>0</v>
      </c>
      <c r="X35" s="743">
        <v>2.0</v>
      </c>
      <c r="Y35" s="741">
        <v>5.0</v>
      </c>
      <c r="Z35" s="741"/>
    </row>
    <row r="36">
      <c r="A36" s="529">
        <v>416.0</v>
      </c>
      <c r="B36" s="529" t="s">
        <v>219</v>
      </c>
      <c r="C36" s="734"/>
      <c r="D36" s="736"/>
      <c r="E36" s="731"/>
      <c r="F36" s="737"/>
      <c r="G36" s="731"/>
      <c r="H36" s="731"/>
      <c r="I36" s="734"/>
      <c r="J36" s="731"/>
      <c r="K36" s="731"/>
      <c r="L36" s="737"/>
      <c r="M36" s="731"/>
      <c r="N36" s="731"/>
      <c r="O36" s="745">
        <f t="shared" si="4"/>
        <v>2.58</v>
      </c>
      <c r="P36" s="736">
        <v>4.0</v>
      </c>
      <c r="Q36" s="731">
        <f t="shared" si="1"/>
        <v>0</v>
      </c>
      <c r="R36" s="737">
        <v>2.0</v>
      </c>
      <c r="S36" s="736">
        <v>5.0</v>
      </c>
      <c r="T36" s="736"/>
      <c r="U36" s="737">
        <f t="shared" si="2"/>
        <v>2.26</v>
      </c>
      <c r="V36" s="736">
        <v>5.0</v>
      </c>
      <c r="W36" s="731">
        <f t="shared" si="3"/>
        <v>0</v>
      </c>
      <c r="X36" s="737">
        <v>3.0</v>
      </c>
      <c r="Y36" s="736">
        <v>5.0</v>
      </c>
      <c r="Z36" s="736"/>
    </row>
    <row r="37">
      <c r="A37" s="529"/>
      <c r="B37" s="529" t="s">
        <v>217</v>
      </c>
      <c r="C37" s="734"/>
      <c r="D37" s="736"/>
      <c r="E37" s="731"/>
      <c r="F37" s="737"/>
      <c r="G37" s="731"/>
      <c r="H37" s="731"/>
      <c r="I37" s="734"/>
      <c r="J37" s="731"/>
      <c r="K37" s="731"/>
      <c r="L37" s="737"/>
      <c r="M37" s="731"/>
      <c r="N37" s="731"/>
      <c r="O37" s="745">
        <f t="shared" si="4"/>
        <v>2.58</v>
      </c>
      <c r="P37" s="736">
        <v>4.0</v>
      </c>
      <c r="Q37" s="731">
        <f t="shared" si="1"/>
        <v>0</v>
      </c>
      <c r="R37" s="737">
        <v>3.0</v>
      </c>
      <c r="S37" s="736">
        <v>6.0</v>
      </c>
      <c r="T37" s="736"/>
      <c r="U37" s="737">
        <f t="shared" si="2"/>
        <v>2.26</v>
      </c>
      <c r="V37" s="736">
        <v>6.0</v>
      </c>
      <c r="W37" s="731">
        <f t="shared" si="3"/>
        <v>0</v>
      </c>
      <c r="X37" s="737">
        <v>3.0</v>
      </c>
      <c r="Y37" s="736">
        <v>6.0</v>
      </c>
      <c r="Z37" s="736"/>
    </row>
    <row r="38">
      <c r="A38" s="529"/>
      <c r="B38" s="529" t="s">
        <v>221</v>
      </c>
      <c r="C38" s="734"/>
      <c r="D38" s="736"/>
      <c r="E38" s="731"/>
      <c r="F38" s="737"/>
      <c r="G38" s="731"/>
      <c r="H38" s="731"/>
      <c r="I38" s="734"/>
      <c r="J38" s="731"/>
      <c r="K38" s="731"/>
      <c r="L38" s="737"/>
      <c r="M38" s="731"/>
      <c r="N38" s="731"/>
      <c r="O38" s="745">
        <f t="shared" si="4"/>
        <v>2.58</v>
      </c>
      <c r="P38" s="736">
        <v>5.0</v>
      </c>
      <c r="Q38" s="731">
        <f t="shared" si="1"/>
        <v>0</v>
      </c>
      <c r="R38" s="737">
        <v>3.0</v>
      </c>
      <c r="S38" s="736">
        <v>6.0</v>
      </c>
      <c r="T38" s="736"/>
      <c r="U38" s="737">
        <f t="shared" si="2"/>
        <v>2.26</v>
      </c>
      <c r="V38" s="736">
        <v>6.0</v>
      </c>
      <c r="W38" s="731">
        <f t="shared" si="3"/>
        <v>0</v>
      </c>
      <c r="X38" s="737">
        <v>3.0</v>
      </c>
      <c r="Y38" s="736">
        <v>6.0</v>
      </c>
      <c r="Z38" s="736"/>
    </row>
    <row r="39">
      <c r="A39" s="529" t="s">
        <v>372</v>
      </c>
      <c r="B39" s="529" t="s">
        <v>219</v>
      </c>
      <c r="C39" s="734"/>
      <c r="D39" s="736"/>
      <c r="E39" s="731"/>
      <c r="F39" s="737"/>
      <c r="G39" s="731"/>
      <c r="H39" s="731"/>
      <c r="I39" s="734"/>
      <c r="J39" s="731"/>
      <c r="K39" s="731"/>
      <c r="L39" s="737"/>
      <c r="M39" s="731"/>
      <c r="N39" s="731"/>
      <c r="O39" s="745">
        <f t="shared" si="4"/>
        <v>2.58</v>
      </c>
      <c r="P39" s="736">
        <v>5.0</v>
      </c>
      <c r="Q39" s="731">
        <f t="shared" si="1"/>
        <v>0</v>
      </c>
      <c r="R39" s="737">
        <v>3.0</v>
      </c>
      <c r="S39" s="736">
        <v>6.0</v>
      </c>
      <c r="T39" s="736"/>
      <c r="U39" s="737">
        <f t="shared" si="2"/>
        <v>2.26</v>
      </c>
      <c r="V39" s="736">
        <v>6.0</v>
      </c>
      <c r="W39" s="731">
        <f t="shared" si="3"/>
        <v>0</v>
      </c>
      <c r="X39" s="737">
        <v>3.0</v>
      </c>
      <c r="Y39" s="736">
        <v>6.0</v>
      </c>
      <c r="Z39" s="736"/>
    </row>
    <row r="40">
      <c r="A40" s="529"/>
      <c r="B40" s="529" t="s">
        <v>217</v>
      </c>
      <c r="C40" s="734"/>
      <c r="D40" s="736"/>
      <c r="E40" s="731"/>
      <c r="F40" s="737"/>
      <c r="G40" s="731"/>
      <c r="H40" s="731"/>
      <c r="I40" s="734"/>
      <c r="J40" s="731"/>
      <c r="K40" s="731"/>
      <c r="L40" s="737"/>
      <c r="M40" s="731"/>
      <c r="N40" s="731"/>
      <c r="O40" s="745">
        <f t="shared" si="4"/>
        <v>2.58</v>
      </c>
      <c r="P40" s="736">
        <v>5.0</v>
      </c>
      <c r="Q40" s="731">
        <f t="shared" si="1"/>
        <v>0</v>
      </c>
      <c r="R40" s="737">
        <v>3.0</v>
      </c>
      <c r="S40" s="736">
        <v>7.0</v>
      </c>
      <c r="T40" s="736"/>
      <c r="U40" s="737">
        <f t="shared" si="2"/>
        <v>2.26</v>
      </c>
      <c r="V40" s="736">
        <v>7.0</v>
      </c>
      <c r="W40" s="731">
        <f t="shared" si="3"/>
        <v>0</v>
      </c>
      <c r="X40" s="737">
        <v>3.0</v>
      </c>
      <c r="Y40" s="736">
        <v>7.0</v>
      </c>
      <c r="Z40" s="736"/>
    </row>
    <row r="41">
      <c r="A41" s="738"/>
      <c r="B41" s="739" t="s">
        <v>221</v>
      </c>
      <c r="C41" s="740">
        <v>1.0</v>
      </c>
      <c r="D41" s="741">
        <v>3.0</v>
      </c>
      <c r="E41" s="742"/>
      <c r="F41" s="743">
        <v>2.0</v>
      </c>
      <c r="G41" s="741">
        <v>4.0</v>
      </c>
      <c r="H41" s="742"/>
      <c r="I41" s="740">
        <v>1.0</v>
      </c>
      <c r="J41" s="742">
        <v>4.0</v>
      </c>
      <c r="K41" s="742"/>
      <c r="L41" s="743">
        <v>2.0</v>
      </c>
      <c r="M41" s="742">
        <v>4.0</v>
      </c>
      <c r="N41" s="742"/>
      <c r="O41" s="744">
        <f t="shared" si="4"/>
        <v>2.58</v>
      </c>
      <c r="P41" s="742">
        <v>3.0</v>
      </c>
      <c r="Q41" s="742">
        <f t="shared" si="1"/>
        <v>0</v>
      </c>
      <c r="R41" s="743">
        <v>2.0</v>
      </c>
      <c r="S41" s="742">
        <v>4.0</v>
      </c>
      <c r="T41" s="741"/>
      <c r="U41" s="740">
        <f t="shared" si="2"/>
        <v>2.26</v>
      </c>
      <c r="V41" s="742">
        <v>4.0</v>
      </c>
      <c r="W41" s="742">
        <f t="shared" si="3"/>
        <v>0</v>
      </c>
      <c r="X41" s="743">
        <v>2.0</v>
      </c>
      <c r="Y41" s="742">
        <v>4.0</v>
      </c>
      <c r="Z41" s="741"/>
    </row>
    <row r="42">
      <c r="A42" s="529" t="s">
        <v>165</v>
      </c>
      <c r="B42" s="528" t="s">
        <v>219</v>
      </c>
      <c r="C42" s="734">
        <v>1.0</v>
      </c>
      <c r="D42" s="736">
        <v>4.0</v>
      </c>
      <c r="E42" s="731"/>
      <c r="F42" s="737">
        <v>2.0</v>
      </c>
      <c r="G42" s="736">
        <v>5.0</v>
      </c>
      <c r="H42" s="731"/>
      <c r="I42" s="734">
        <v>1.0</v>
      </c>
      <c r="J42" s="731">
        <v>5.0</v>
      </c>
      <c r="K42" s="731"/>
      <c r="L42" s="737">
        <v>2.0</v>
      </c>
      <c r="M42" s="731">
        <v>5.0</v>
      </c>
      <c r="N42" s="731"/>
      <c r="O42" s="730">
        <f t="shared" si="4"/>
        <v>2.58</v>
      </c>
      <c r="P42" s="731">
        <v>3.0</v>
      </c>
      <c r="Q42" s="731">
        <f t="shared" si="1"/>
        <v>0</v>
      </c>
      <c r="R42" s="737">
        <v>2.0</v>
      </c>
      <c r="S42" s="736">
        <v>4.0</v>
      </c>
      <c r="T42" s="736"/>
      <c r="U42" s="734">
        <f t="shared" si="2"/>
        <v>2.26</v>
      </c>
      <c r="V42" s="731">
        <v>4.0</v>
      </c>
      <c r="W42" s="731">
        <f t="shared" si="3"/>
        <v>0</v>
      </c>
      <c r="X42" s="737">
        <v>2.0</v>
      </c>
      <c r="Y42" s="731">
        <v>4.0</v>
      </c>
      <c r="Z42" s="736"/>
    </row>
    <row r="43">
      <c r="A43" s="529"/>
      <c r="B43" s="529" t="s">
        <v>217</v>
      </c>
      <c r="C43" s="734">
        <v>1.0</v>
      </c>
      <c r="D43" s="736">
        <v>4.0</v>
      </c>
      <c r="E43" s="731"/>
      <c r="F43" s="737">
        <v>2.0</v>
      </c>
      <c r="G43" s="736">
        <v>5.0</v>
      </c>
      <c r="H43" s="731"/>
      <c r="I43" s="734">
        <v>1.0</v>
      </c>
      <c r="J43" s="731">
        <v>5.0</v>
      </c>
      <c r="K43" s="731"/>
      <c r="L43" s="737">
        <v>2.0</v>
      </c>
      <c r="M43" s="731">
        <v>5.0</v>
      </c>
      <c r="N43" s="731"/>
      <c r="O43" s="730">
        <f t="shared" si="4"/>
        <v>2.58</v>
      </c>
      <c r="P43" s="731">
        <v>4.0</v>
      </c>
      <c r="Q43" s="731">
        <f t="shared" si="1"/>
        <v>0</v>
      </c>
      <c r="R43" s="737">
        <v>2.0</v>
      </c>
      <c r="S43" s="736">
        <v>5.0</v>
      </c>
      <c r="T43" s="736"/>
      <c r="U43" s="734">
        <f t="shared" si="2"/>
        <v>2.26</v>
      </c>
      <c r="V43" s="731">
        <v>5.0</v>
      </c>
      <c r="W43" s="731">
        <f t="shared" si="3"/>
        <v>0</v>
      </c>
      <c r="X43" s="737">
        <v>2.0</v>
      </c>
      <c r="Y43" s="731">
        <v>5.0</v>
      </c>
      <c r="Z43" s="736"/>
    </row>
    <row r="44">
      <c r="A44" s="529"/>
      <c r="B44" s="529" t="s">
        <v>221</v>
      </c>
      <c r="C44" s="734"/>
      <c r="D44" s="736"/>
      <c r="E44" s="731"/>
      <c r="F44" s="737"/>
      <c r="G44" s="731"/>
      <c r="H44" s="731"/>
      <c r="I44" s="734"/>
      <c r="J44" s="731"/>
      <c r="K44" s="731"/>
      <c r="L44" s="737"/>
      <c r="M44" s="731"/>
      <c r="N44" s="731"/>
      <c r="O44" s="745">
        <f t="shared" si="4"/>
        <v>2.58</v>
      </c>
      <c r="P44" s="736">
        <v>4.0</v>
      </c>
      <c r="Q44" s="731">
        <f t="shared" si="1"/>
        <v>0</v>
      </c>
      <c r="R44" s="737">
        <v>2.0</v>
      </c>
      <c r="S44" s="736">
        <v>5.0</v>
      </c>
      <c r="T44" s="736"/>
      <c r="U44" s="737">
        <f t="shared" si="2"/>
        <v>2.26</v>
      </c>
      <c r="V44" s="736">
        <v>5.0</v>
      </c>
      <c r="W44" s="731">
        <f t="shared" si="3"/>
        <v>0</v>
      </c>
      <c r="X44" s="737">
        <v>2.0</v>
      </c>
      <c r="Y44" s="736">
        <v>5.0</v>
      </c>
      <c r="Z44" s="736"/>
    </row>
    <row r="45">
      <c r="A45" s="529" t="s">
        <v>373</v>
      </c>
      <c r="B45" s="529" t="s">
        <v>219</v>
      </c>
      <c r="C45" s="734"/>
      <c r="D45" s="736"/>
      <c r="E45" s="731"/>
      <c r="F45" s="737"/>
      <c r="G45" s="731"/>
      <c r="H45" s="731"/>
      <c r="I45" s="734"/>
      <c r="J45" s="731"/>
      <c r="K45" s="731"/>
      <c r="L45" s="737"/>
      <c r="M45" s="731"/>
      <c r="N45" s="731"/>
      <c r="O45" s="745">
        <f t="shared" si="4"/>
        <v>2.58</v>
      </c>
      <c r="P45" s="736">
        <v>4.0</v>
      </c>
      <c r="Q45" s="731">
        <f t="shared" si="1"/>
        <v>0</v>
      </c>
      <c r="R45" s="737">
        <v>2.0</v>
      </c>
      <c r="S45" s="736">
        <v>5.0</v>
      </c>
      <c r="T45" s="736"/>
      <c r="U45" s="737">
        <f t="shared" si="2"/>
        <v>2.26</v>
      </c>
      <c r="V45" s="736">
        <v>5.0</v>
      </c>
      <c r="W45" s="731">
        <f t="shared" si="3"/>
        <v>0</v>
      </c>
      <c r="X45" s="737">
        <v>3.0</v>
      </c>
      <c r="Y45" s="736">
        <v>5.0</v>
      </c>
      <c r="Z45" s="736"/>
    </row>
    <row r="46">
      <c r="A46" s="529"/>
      <c r="B46" s="529" t="s">
        <v>217</v>
      </c>
      <c r="C46" s="734"/>
      <c r="D46" s="736"/>
      <c r="E46" s="731"/>
      <c r="F46" s="737"/>
      <c r="G46" s="731"/>
      <c r="H46" s="731"/>
      <c r="I46" s="734"/>
      <c r="J46" s="731"/>
      <c r="K46" s="731"/>
      <c r="L46" s="737"/>
      <c r="M46" s="731"/>
      <c r="N46" s="731"/>
      <c r="O46" s="745">
        <f t="shared" si="4"/>
        <v>2.58</v>
      </c>
      <c r="P46" s="736">
        <v>5.0</v>
      </c>
      <c r="Q46" s="731">
        <f t="shared" si="1"/>
        <v>0</v>
      </c>
      <c r="R46" s="737">
        <v>3.0</v>
      </c>
      <c r="S46" s="736">
        <v>6.0</v>
      </c>
      <c r="T46" s="736"/>
      <c r="U46" s="737">
        <f t="shared" si="2"/>
        <v>2.26</v>
      </c>
      <c r="V46" s="736">
        <v>6.0</v>
      </c>
      <c r="W46" s="731">
        <f t="shared" si="3"/>
        <v>0</v>
      </c>
      <c r="X46" s="737">
        <v>3.0</v>
      </c>
      <c r="Y46" s="736">
        <v>6.0</v>
      </c>
      <c r="Z46" s="736"/>
    </row>
    <row r="47">
      <c r="A47" s="529" t="s">
        <v>174</v>
      </c>
      <c r="B47" s="529" t="s">
        <v>21</v>
      </c>
      <c r="C47" s="734"/>
      <c r="D47" s="736"/>
      <c r="E47" s="731"/>
      <c r="F47" s="737"/>
      <c r="G47" s="731">
        <f>IF(AND(1&lt;2,2&lt;3),1,2)</f>
        <v>1</v>
      </c>
      <c r="H47" s="731"/>
      <c r="I47" s="734"/>
      <c r="J47" s="731"/>
      <c r="K47" s="731"/>
      <c r="L47" s="737"/>
      <c r="M47" s="731"/>
      <c r="N47" s="731"/>
      <c r="O47" s="745">
        <f t="shared" si="4"/>
        <v>2.58</v>
      </c>
      <c r="P47" s="736">
        <v>4.0</v>
      </c>
      <c r="Q47" s="731">
        <f t="shared" si="1"/>
        <v>0</v>
      </c>
      <c r="R47" s="737">
        <v>2.0</v>
      </c>
      <c r="S47" s="736">
        <v>5.0</v>
      </c>
      <c r="T47" s="736"/>
      <c r="U47" s="737">
        <f t="shared" si="2"/>
        <v>2.26</v>
      </c>
      <c r="V47" s="736">
        <v>5.0</v>
      </c>
      <c r="W47" s="731">
        <f t="shared" si="3"/>
        <v>0</v>
      </c>
      <c r="X47" s="737">
        <v>2.0</v>
      </c>
      <c r="Y47" s="736">
        <v>5.0</v>
      </c>
      <c r="Z47" s="736"/>
    </row>
    <row r="48">
      <c r="A48" s="529"/>
      <c r="B48" s="529" t="s">
        <v>22</v>
      </c>
      <c r="C48" s="734"/>
      <c r="D48" s="736"/>
      <c r="E48" s="731"/>
      <c r="F48" s="737"/>
      <c r="G48" s="731"/>
      <c r="H48" s="731"/>
      <c r="I48" s="734"/>
      <c r="J48" s="731"/>
      <c r="K48" s="731"/>
      <c r="L48" s="737"/>
      <c r="M48" s="731"/>
      <c r="N48" s="731"/>
      <c r="O48" s="745">
        <f t="shared" si="4"/>
        <v>2.58</v>
      </c>
      <c r="P48" s="736">
        <v>5.0</v>
      </c>
      <c r="Q48" s="731">
        <f t="shared" si="1"/>
        <v>0</v>
      </c>
      <c r="R48" s="737">
        <v>3.0</v>
      </c>
      <c r="S48" s="736">
        <v>6.0</v>
      </c>
      <c r="T48" s="736"/>
      <c r="U48" s="737">
        <f t="shared" si="2"/>
        <v>2.26</v>
      </c>
      <c r="V48" s="736">
        <v>6.0</v>
      </c>
      <c r="W48" s="731">
        <f t="shared" si="3"/>
        <v>0</v>
      </c>
      <c r="X48" s="737">
        <v>3.0</v>
      </c>
      <c r="Y48" s="736">
        <v>6.0</v>
      </c>
      <c r="Z48" s="736"/>
    </row>
    <row r="49">
      <c r="A49" s="529" t="s">
        <v>164</v>
      </c>
      <c r="B49" s="529" t="s">
        <v>221</v>
      </c>
      <c r="C49" s="734"/>
      <c r="D49" s="736"/>
      <c r="E49" s="731"/>
      <c r="F49" s="737"/>
      <c r="G49" s="731"/>
      <c r="H49" s="731"/>
      <c r="I49" s="734"/>
      <c r="J49" s="731"/>
      <c r="K49" s="731"/>
      <c r="L49" s="737"/>
      <c r="M49" s="731"/>
      <c r="N49" s="731"/>
      <c r="O49" s="745">
        <f t="shared" si="4"/>
        <v>2.58</v>
      </c>
      <c r="P49" s="736">
        <v>4.0</v>
      </c>
      <c r="Q49" s="731">
        <f t="shared" si="1"/>
        <v>0</v>
      </c>
      <c r="R49" s="737">
        <v>2.0</v>
      </c>
      <c r="S49" s="736">
        <v>5.0</v>
      </c>
      <c r="T49" s="736"/>
      <c r="U49" s="737">
        <f t="shared" si="2"/>
        <v>2.26</v>
      </c>
      <c r="V49" s="736">
        <v>5.0</v>
      </c>
      <c r="W49" s="731">
        <f t="shared" si="3"/>
        <v>0</v>
      </c>
      <c r="X49" s="737">
        <v>3.0</v>
      </c>
      <c r="Y49" s="736">
        <v>5.0</v>
      </c>
      <c r="Z49" s="736"/>
    </row>
    <row r="50">
      <c r="A50" s="529"/>
      <c r="B50" s="529" t="s">
        <v>219</v>
      </c>
      <c r="C50" s="734"/>
      <c r="D50" s="736"/>
      <c r="E50" s="731"/>
      <c r="F50" s="737"/>
      <c r="G50" s="731"/>
      <c r="H50" s="731"/>
      <c r="I50" s="734"/>
      <c r="J50" s="731"/>
      <c r="K50" s="731"/>
      <c r="L50" s="737"/>
      <c r="M50" s="731"/>
      <c r="N50" s="731"/>
      <c r="O50" s="745">
        <f t="shared" si="4"/>
        <v>2.58</v>
      </c>
      <c r="P50" s="736">
        <v>4.0</v>
      </c>
      <c r="Q50" s="731">
        <f t="shared" si="1"/>
        <v>0</v>
      </c>
      <c r="R50" s="737">
        <v>3.0</v>
      </c>
      <c r="S50" s="736">
        <v>6.0</v>
      </c>
      <c r="T50" s="736"/>
      <c r="U50" s="737">
        <f t="shared" si="2"/>
        <v>2.26</v>
      </c>
      <c r="V50" s="736">
        <v>6.0</v>
      </c>
      <c r="W50" s="731">
        <f t="shared" si="3"/>
        <v>0</v>
      </c>
      <c r="X50" s="737">
        <v>3.0</v>
      </c>
      <c r="Y50" s="736">
        <v>6.0</v>
      </c>
      <c r="Z50" s="736"/>
    </row>
    <row r="51">
      <c r="A51" s="529" t="s">
        <v>374</v>
      </c>
      <c r="B51" s="529" t="s">
        <v>221</v>
      </c>
      <c r="C51" s="734"/>
      <c r="D51" s="736"/>
      <c r="E51" s="731"/>
      <c r="F51" s="737"/>
      <c r="G51" s="731"/>
      <c r="H51" s="731"/>
      <c r="I51" s="734"/>
      <c r="J51" s="731"/>
      <c r="K51" s="731"/>
      <c r="L51" s="737"/>
      <c r="M51" s="731"/>
      <c r="N51" s="731"/>
      <c r="O51" s="745">
        <f t="shared" si="4"/>
        <v>2.58</v>
      </c>
      <c r="P51" s="736">
        <v>5.0</v>
      </c>
      <c r="Q51" s="731">
        <f t="shared" si="1"/>
        <v>0</v>
      </c>
      <c r="R51" s="737">
        <v>3.0</v>
      </c>
      <c r="S51" s="736">
        <v>6.0</v>
      </c>
      <c r="T51" s="736"/>
      <c r="U51" s="737">
        <f t="shared" si="2"/>
        <v>2.26</v>
      </c>
      <c r="V51" s="736">
        <v>6.0</v>
      </c>
      <c r="W51" s="731">
        <f t="shared" si="3"/>
        <v>0</v>
      </c>
      <c r="X51" s="737">
        <v>3.0</v>
      </c>
      <c r="Y51" s="736">
        <v>6.0</v>
      </c>
      <c r="Z51" s="736"/>
    </row>
    <row r="52">
      <c r="A52" s="528"/>
      <c r="B52" s="529" t="s">
        <v>219</v>
      </c>
      <c r="C52" s="737"/>
      <c r="D52" s="736"/>
      <c r="E52" s="736"/>
      <c r="F52" s="737"/>
      <c r="G52" s="736"/>
      <c r="H52" s="736"/>
      <c r="I52" s="737"/>
      <c r="J52" s="736"/>
      <c r="K52" s="736"/>
      <c r="L52" s="737"/>
      <c r="M52" s="736"/>
      <c r="N52" s="736"/>
      <c r="O52" s="745">
        <f t="shared" si="4"/>
        <v>2.58</v>
      </c>
      <c r="P52" s="736">
        <v>5.0</v>
      </c>
      <c r="Q52" s="736">
        <f t="shared" si="1"/>
        <v>0</v>
      </c>
      <c r="R52" s="737">
        <v>3.0</v>
      </c>
      <c r="S52" s="736">
        <v>7.0</v>
      </c>
      <c r="T52" s="736"/>
      <c r="U52" s="737">
        <f t="shared" si="2"/>
        <v>2.26</v>
      </c>
      <c r="V52" s="736">
        <v>7.0</v>
      </c>
      <c r="W52" s="736">
        <f t="shared" si="3"/>
        <v>0</v>
      </c>
      <c r="X52" s="737">
        <v>3.0</v>
      </c>
      <c r="Y52" s="736">
        <v>7.0</v>
      </c>
      <c r="Z52" s="736"/>
    </row>
    <row r="53">
      <c r="A53" s="529" t="s">
        <v>171</v>
      </c>
      <c r="B53" s="529" t="s">
        <v>21</v>
      </c>
      <c r="C53" s="737"/>
      <c r="D53" s="736"/>
      <c r="E53" s="731"/>
      <c r="F53" s="737"/>
      <c r="G53" s="736"/>
      <c r="H53" s="731"/>
      <c r="I53" s="734"/>
      <c r="J53" s="731"/>
      <c r="K53" s="731"/>
      <c r="L53" s="734"/>
      <c r="M53" s="731"/>
      <c r="N53" s="731"/>
      <c r="O53" s="745">
        <f t="shared" si="4"/>
        <v>2.58</v>
      </c>
      <c r="P53" s="736">
        <v>4.0</v>
      </c>
      <c r="Q53" s="731">
        <f t="shared" si="1"/>
        <v>0</v>
      </c>
      <c r="R53" s="737">
        <v>3.0</v>
      </c>
      <c r="S53" s="736">
        <v>6.0</v>
      </c>
      <c r="T53" s="731"/>
      <c r="U53" s="737">
        <f t="shared" si="2"/>
        <v>2.26</v>
      </c>
      <c r="V53" s="736">
        <v>6.0</v>
      </c>
      <c r="W53" s="731">
        <f t="shared" si="3"/>
        <v>0</v>
      </c>
      <c r="X53" s="737">
        <v>3.0</v>
      </c>
      <c r="Y53" s="736">
        <v>6.0</v>
      </c>
      <c r="Z53" s="736"/>
    </row>
    <row r="54">
      <c r="A54" s="528"/>
      <c r="B54" s="529" t="s">
        <v>22</v>
      </c>
      <c r="C54" s="737"/>
      <c r="D54" s="736"/>
      <c r="E54" s="731"/>
      <c r="F54" s="737"/>
      <c r="G54" s="736"/>
      <c r="H54" s="731"/>
      <c r="I54" s="734"/>
      <c r="J54" s="731"/>
      <c r="K54" s="731"/>
      <c r="L54" s="734"/>
      <c r="M54" s="731"/>
      <c r="N54" s="731"/>
      <c r="O54" s="745">
        <f t="shared" si="4"/>
        <v>2.58</v>
      </c>
      <c r="P54" s="736">
        <v>5.0</v>
      </c>
      <c r="Q54" s="731">
        <f t="shared" si="1"/>
        <v>0</v>
      </c>
      <c r="R54" s="737">
        <v>3.0</v>
      </c>
      <c r="S54" s="736">
        <v>7.0</v>
      </c>
      <c r="T54" s="731"/>
      <c r="U54" s="737">
        <f t="shared" si="2"/>
        <v>2.26</v>
      </c>
      <c r="V54" s="736">
        <v>7.0</v>
      </c>
      <c r="W54" s="731">
        <f t="shared" si="3"/>
        <v>0</v>
      </c>
      <c r="X54" s="737">
        <v>3.0</v>
      </c>
      <c r="Y54" s="736">
        <v>7.0</v>
      </c>
      <c r="Z54" s="736"/>
    </row>
    <row r="55">
      <c r="A55" s="528"/>
      <c r="B55" s="529" t="s">
        <v>221</v>
      </c>
      <c r="C55" s="737"/>
      <c r="D55" s="736"/>
      <c r="E55" s="731"/>
      <c r="F55" s="737"/>
      <c r="G55" s="736"/>
      <c r="H55" s="731"/>
      <c r="I55" s="734"/>
      <c r="J55" s="731"/>
      <c r="K55" s="731"/>
      <c r="L55" s="734"/>
      <c r="M55" s="731"/>
      <c r="N55" s="731"/>
      <c r="O55" s="745">
        <f t="shared" si="4"/>
        <v>2.58</v>
      </c>
      <c r="P55" s="736">
        <v>4.0</v>
      </c>
      <c r="Q55" s="731">
        <f t="shared" si="1"/>
        <v>0</v>
      </c>
      <c r="R55" s="737">
        <v>2.0</v>
      </c>
      <c r="S55" s="736">
        <v>5.0</v>
      </c>
      <c r="T55" s="731"/>
      <c r="U55" s="737">
        <f t="shared" si="2"/>
        <v>2.26</v>
      </c>
      <c r="V55" s="736">
        <v>5.0</v>
      </c>
      <c r="W55" s="731">
        <f t="shared" si="3"/>
        <v>0</v>
      </c>
      <c r="X55" s="737">
        <v>3.0</v>
      </c>
      <c r="Y55" s="736">
        <v>5.0</v>
      </c>
      <c r="Z55" s="736"/>
    </row>
    <row r="56">
      <c r="A56" s="529" t="s">
        <v>166</v>
      </c>
      <c r="B56" s="529" t="s">
        <v>219</v>
      </c>
      <c r="C56" s="737"/>
      <c r="D56" s="736"/>
      <c r="E56" s="731"/>
      <c r="F56" s="737"/>
      <c r="G56" s="736"/>
      <c r="H56" s="731"/>
      <c r="I56" s="734"/>
      <c r="J56" s="731"/>
      <c r="K56" s="731"/>
      <c r="L56" s="734"/>
      <c r="M56" s="731"/>
      <c r="N56" s="731"/>
      <c r="O56" s="745">
        <f t="shared" si="4"/>
        <v>2.58</v>
      </c>
      <c r="P56" s="736">
        <v>5.0</v>
      </c>
      <c r="Q56" s="731">
        <f t="shared" si="1"/>
        <v>0</v>
      </c>
      <c r="R56" s="737">
        <v>3.0</v>
      </c>
      <c r="S56" s="736">
        <v>6.0</v>
      </c>
      <c r="T56" s="731"/>
      <c r="U56" s="737">
        <f t="shared" si="2"/>
        <v>2.26</v>
      </c>
      <c r="V56" s="736">
        <v>6.0</v>
      </c>
      <c r="W56" s="731">
        <f t="shared" si="3"/>
        <v>0</v>
      </c>
      <c r="X56" s="737">
        <v>3.0</v>
      </c>
      <c r="Y56" s="736">
        <v>6.0</v>
      </c>
      <c r="Z56" s="736"/>
    </row>
    <row r="57">
      <c r="A57" s="528"/>
      <c r="B57" s="529" t="s">
        <v>217</v>
      </c>
      <c r="C57" s="737"/>
      <c r="D57" s="736"/>
      <c r="E57" s="731"/>
      <c r="F57" s="737"/>
      <c r="G57" s="736"/>
      <c r="H57" s="731"/>
      <c r="I57" s="734"/>
      <c r="J57" s="731"/>
      <c r="K57" s="731"/>
      <c r="L57" s="734"/>
      <c r="M57" s="731"/>
      <c r="N57" s="731"/>
      <c r="O57" s="745">
        <f t="shared" si="4"/>
        <v>2.58</v>
      </c>
      <c r="P57" s="736">
        <v>5.0</v>
      </c>
      <c r="Q57" s="731">
        <f t="shared" si="1"/>
        <v>0</v>
      </c>
      <c r="R57" s="737">
        <v>3.0</v>
      </c>
      <c r="S57" s="736">
        <v>6.0</v>
      </c>
      <c r="T57" s="731"/>
      <c r="U57" s="737">
        <f t="shared" si="2"/>
        <v>2.26</v>
      </c>
      <c r="V57" s="736">
        <v>6.0</v>
      </c>
      <c r="W57" s="731">
        <f t="shared" si="3"/>
        <v>0</v>
      </c>
      <c r="X57" s="737">
        <v>3.0</v>
      </c>
      <c r="Y57" s="736">
        <v>6.0</v>
      </c>
      <c r="Z57" s="736"/>
    </row>
    <row r="58">
      <c r="A58" s="529"/>
      <c r="B58" s="529" t="s">
        <v>221</v>
      </c>
      <c r="C58" s="737"/>
      <c r="D58" s="736"/>
      <c r="E58" s="731"/>
      <c r="F58" s="737"/>
      <c r="G58" s="736"/>
      <c r="H58" s="731"/>
      <c r="I58" s="734"/>
      <c r="J58" s="731"/>
      <c r="K58" s="731"/>
      <c r="L58" s="734"/>
      <c r="M58" s="731"/>
      <c r="N58" s="731"/>
      <c r="O58" s="745">
        <f t="shared" si="4"/>
        <v>2.58</v>
      </c>
      <c r="P58" s="736">
        <v>5.0</v>
      </c>
      <c r="Q58" s="731">
        <f t="shared" si="1"/>
        <v>0</v>
      </c>
      <c r="R58" s="737">
        <v>3.0</v>
      </c>
      <c r="S58" s="736">
        <v>7.0</v>
      </c>
      <c r="T58" s="731"/>
      <c r="U58" s="737">
        <f t="shared" si="2"/>
        <v>2.26</v>
      </c>
      <c r="V58" s="736">
        <v>6.0</v>
      </c>
      <c r="W58" s="731">
        <f t="shared" si="3"/>
        <v>0</v>
      </c>
      <c r="X58" s="737">
        <v>3.0</v>
      </c>
      <c r="Y58" s="736">
        <v>7.0</v>
      </c>
      <c r="Z58" s="736"/>
    </row>
    <row r="59">
      <c r="A59" s="529" t="s">
        <v>375</v>
      </c>
      <c r="B59" s="529" t="s">
        <v>219</v>
      </c>
      <c r="C59" s="737"/>
      <c r="D59" s="736"/>
      <c r="E59" s="731"/>
      <c r="F59" s="737"/>
      <c r="G59" s="736"/>
      <c r="H59" s="731"/>
      <c r="I59" s="734"/>
      <c r="J59" s="731"/>
      <c r="K59" s="731"/>
      <c r="L59" s="734"/>
      <c r="M59" s="731"/>
      <c r="N59" s="731"/>
      <c r="O59" s="745">
        <f t="shared" si="4"/>
        <v>2.58</v>
      </c>
      <c r="P59" s="736">
        <v>5.0</v>
      </c>
      <c r="Q59" s="731">
        <f t="shared" si="1"/>
        <v>0</v>
      </c>
      <c r="R59" s="737">
        <v>3.0</v>
      </c>
      <c r="S59" s="736">
        <v>7.0</v>
      </c>
      <c r="T59" s="731"/>
      <c r="U59" s="737">
        <f t="shared" si="2"/>
        <v>2.26</v>
      </c>
      <c r="V59" s="736">
        <v>7.0</v>
      </c>
      <c r="W59" s="731">
        <f t="shared" si="3"/>
        <v>0</v>
      </c>
      <c r="X59" s="737">
        <v>3.0</v>
      </c>
      <c r="Y59" s="736">
        <v>7.0</v>
      </c>
      <c r="Z59" s="736"/>
    </row>
    <row r="60">
      <c r="A60" s="528"/>
      <c r="B60" s="529" t="s">
        <v>217</v>
      </c>
      <c r="C60" s="737"/>
      <c r="D60" s="736"/>
      <c r="E60" s="731"/>
      <c r="F60" s="737"/>
      <c r="G60" s="736"/>
      <c r="H60" s="731"/>
      <c r="I60" s="734"/>
      <c r="J60" s="731"/>
      <c r="K60" s="731"/>
      <c r="L60" s="734"/>
      <c r="M60" s="731"/>
      <c r="N60" s="731"/>
      <c r="O60" s="745">
        <f t="shared" si="4"/>
        <v>2.58</v>
      </c>
      <c r="P60" s="736">
        <v>6.0</v>
      </c>
      <c r="Q60" s="731">
        <f t="shared" si="1"/>
        <v>0</v>
      </c>
      <c r="R60" s="737">
        <v>3.0</v>
      </c>
      <c r="S60" s="736">
        <v>8.0</v>
      </c>
      <c r="T60" s="731"/>
      <c r="U60" s="737">
        <f t="shared" si="2"/>
        <v>2.26</v>
      </c>
      <c r="V60" s="736">
        <v>8.0</v>
      </c>
      <c r="W60" s="731">
        <f t="shared" si="3"/>
        <v>0</v>
      </c>
      <c r="X60" s="737">
        <v>4.0</v>
      </c>
      <c r="Y60" s="736">
        <v>8.0</v>
      </c>
      <c r="Z60" s="736"/>
    </row>
    <row r="61">
      <c r="A61" s="529" t="s">
        <v>376</v>
      </c>
      <c r="B61" s="529" t="s">
        <v>221</v>
      </c>
      <c r="C61" s="737"/>
      <c r="D61" s="736"/>
      <c r="E61" s="731"/>
      <c r="F61" s="737"/>
      <c r="G61" s="736"/>
      <c r="H61" s="731"/>
      <c r="I61" s="734"/>
      <c r="J61" s="731"/>
      <c r="K61" s="731"/>
      <c r="L61" s="734"/>
      <c r="M61" s="731"/>
      <c r="N61" s="731"/>
      <c r="O61" s="745">
        <f t="shared" si="4"/>
        <v>2.58</v>
      </c>
      <c r="P61" s="736">
        <v>4.0</v>
      </c>
      <c r="Q61" s="731">
        <f t="shared" si="1"/>
        <v>0</v>
      </c>
      <c r="R61" s="737">
        <v>2.0</v>
      </c>
      <c r="S61" s="736">
        <v>5.0</v>
      </c>
      <c r="T61" s="731"/>
      <c r="U61" s="737">
        <f t="shared" si="2"/>
        <v>2.26</v>
      </c>
      <c r="V61" s="736">
        <v>5.0</v>
      </c>
      <c r="W61" s="731">
        <f t="shared" si="3"/>
        <v>0</v>
      </c>
      <c r="X61" s="737">
        <v>2.0</v>
      </c>
      <c r="Y61" s="736">
        <v>5.0</v>
      </c>
      <c r="Z61" s="736"/>
    </row>
    <row r="62">
      <c r="A62" s="529"/>
      <c r="B62" s="529" t="s">
        <v>219</v>
      </c>
      <c r="C62" s="737"/>
      <c r="D62" s="736"/>
      <c r="E62" s="731"/>
      <c r="F62" s="737"/>
      <c r="G62" s="736"/>
      <c r="H62" s="731"/>
      <c r="I62" s="734"/>
      <c r="J62" s="731"/>
      <c r="K62" s="731"/>
      <c r="L62" s="734"/>
      <c r="M62" s="731"/>
      <c r="N62" s="731"/>
      <c r="O62" s="745">
        <f t="shared" si="4"/>
        <v>2.58</v>
      </c>
      <c r="P62" s="736">
        <v>4.0</v>
      </c>
      <c r="Q62" s="731">
        <f t="shared" si="1"/>
        <v>0</v>
      </c>
      <c r="R62" s="737">
        <v>2.0</v>
      </c>
      <c r="S62" s="736">
        <v>5.0</v>
      </c>
      <c r="T62" s="731"/>
      <c r="U62" s="737">
        <f t="shared" si="2"/>
        <v>2.26</v>
      </c>
      <c r="V62" s="736">
        <v>5.0</v>
      </c>
      <c r="W62" s="731">
        <f t="shared" si="3"/>
        <v>0</v>
      </c>
      <c r="X62" s="737">
        <v>3.0</v>
      </c>
      <c r="Y62" s="736">
        <v>5.0</v>
      </c>
      <c r="Z62" s="736"/>
    </row>
    <row r="63">
      <c r="A63" s="529" t="s">
        <v>377</v>
      </c>
      <c r="B63" s="529" t="s">
        <v>221</v>
      </c>
      <c r="C63" s="737"/>
      <c r="D63" s="736"/>
      <c r="E63" s="731"/>
      <c r="F63" s="737"/>
      <c r="G63" s="736"/>
      <c r="H63" s="731"/>
      <c r="I63" s="734"/>
      <c r="J63" s="731"/>
      <c r="K63" s="731"/>
      <c r="L63" s="734"/>
      <c r="M63" s="731"/>
      <c r="N63" s="731"/>
      <c r="O63" s="745">
        <f t="shared" si="4"/>
        <v>2.58</v>
      </c>
      <c r="P63" s="736">
        <v>5.0</v>
      </c>
      <c r="Q63" s="731">
        <f t="shared" si="1"/>
        <v>0</v>
      </c>
      <c r="R63" s="737">
        <v>3.0</v>
      </c>
      <c r="S63" s="736">
        <v>6.0</v>
      </c>
      <c r="T63" s="731"/>
      <c r="U63" s="737">
        <f t="shared" si="2"/>
        <v>2.26</v>
      </c>
      <c r="V63" s="736">
        <v>6.0</v>
      </c>
      <c r="W63" s="731">
        <f t="shared" si="3"/>
        <v>0</v>
      </c>
      <c r="X63" s="737">
        <v>3.0</v>
      </c>
      <c r="Y63" s="736">
        <v>6.0</v>
      </c>
      <c r="Z63" s="736"/>
    </row>
    <row r="64">
      <c r="A64" s="528"/>
      <c r="B64" s="529" t="s">
        <v>219</v>
      </c>
      <c r="C64" s="737"/>
      <c r="D64" s="736"/>
      <c r="E64" s="731"/>
      <c r="F64" s="737"/>
      <c r="G64" s="736"/>
      <c r="H64" s="731"/>
      <c r="I64" s="734"/>
      <c r="J64" s="731"/>
      <c r="K64" s="731"/>
      <c r="L64" s="734"/>
      <c r="M64" s="731"/>
      <c r="N64" s="731"/>
      <c r="O64" s="745">
        <f t="shared" si="4"/>
        <v>2.58</v>
      </c>
      <c r="P64" s="736">
        <v>5.0</v>
      </c>
      <c r="Q64" s="731">
        <f t="shared" si="1"/>
        <v>0</v>
      </c>
      <c r="R64" s="737">
        <v>3.0</v>
      </c>
      <c r="S64" s="736">
        <v>6.0</v>
      </c>
      <c r="T64" s="731"/>
      <c r="U64" s="737">
        <f t="shared" si="2"/>
        <v>2.26</v>
      </c>
      <c r="V64" s="736">
        <v>6.0</v>
      </c>
      <c r="W64" s="731">
        <f t="shared" si="3"/>
        <v>0</v>
      </c>
      <c r="X64" s="737">
        <v>3.0</v>
      </c>
      <c r="Y64" s="736">
        <v>6.0</v>
      </c>
      <c r="Z64" s="736"/>
    </row>
    <row r="65">
      <c r="A65" s="529" t="s">
        <v>38</v>
      </c>
      <c r="B65" s="529" t="s">
        <v>219</v>
      </c>
      <c r="C65" s="737"/>
      <c r="D65" s="736"/>
      <c r="E65" s="731"/>
      <c r="F65" s="737"/>
      <c r="G65" s="736"/>
      <c r="H65" s="731"/>
      <c r="I65" s="734"/>
      <c r="J65" s="731"/>
      <c r="K65" s="731"/>
      <c r="L65" s="734"/>
      <c r="M65" s="731"/>
      <c r="N65" s="731"/>
      <c r="O65" s="745">
        <f t="shared" si="4"/>
        <v>2.58</v>
      </c>
      <c r="P65" s="736">
        <v>5.0</v>
      </c>
      <c r="Q65" s="731">
        <f t="shared" si="1"/>
        <v>0</v>
      </c>
      <c r="R65" s="737">
        <v>3.0</v>
      </c>
      <c r="S65" s="736">
        <v>6.0</v>
      </c>
      <c r="T65" s="731"/>
      <c r="U65" s="737">
        <f t="shared" si="2"/>
        <v>2.26</v>
      </c>
      <c r="V65" s="736">
        <v>6.0</v>
      </c>
      <c r="W65" s="731">
        <f t="shared" si="3"/>
        <v>0</v>
      </c>
      <c r="X65" s="737">
        <v>3.0</v>
      </c>
      <c r="Y65" s="736">
        <v>6.0</v>
      </c>
      <c r="Z65" s="736"/>
    </row>
    <row r="66">
      <c r="A66" s="528"/>
      <c r="B66" s="529" t="s">
        <v>217</v>
      </c>
      <c r="C66" s="737"/>
      <c r="D66" s="736"/>
      <c r="E66" s="731"/>
      <c r="F66" s="737"/>
      <c r="G66" s="736"/>
      <c r="H66" s="731"/>
      <c r="I66" s="734"/>
      <c r="J66" s="731"/>
      <c r="K66" s="731"/>
      <c r="L66" s="734"/>
      <c r="M66" s="731"/>
      <c r="N66" s="731"/>
      <c r="O66" s="745">
        <f t="shared" si="4"/>
        <v>2.58</v>
      </c>
      <c r="P66" s="736">
        <v>5.0</v>
      </c>
      <c r="Q66" s="731">
        <f t="shared" si="1"/>
        <v>0</v>
      </c>
      <c r="R66" s="737">
        <v>3.0</v>
      </c>
      <c r="S66" s="736">
        <v>7.0</v>
      </c>
      <c r="T66" s="731"/>
      <c r="U66" s="737">
        <f t="shared" si="2"/>
        <v>2.26</v>
      </c>
      <c r="V66" s="736">
        <v>7.0</v>
      </c>
      <c r="W66" s="731">
        <f t="shared" si="3"/>
        <v>0</v>
      </c>
      <c r="X66" s="737">
        <v>3.0</v>
      </c>
      <c r="Y66" s="736">
        <v>7.0</v>
      </c>
      <c r="Z66" s="736"/>
    </row>
    <row r="67">
      <c r="A67" s="529" t="s">
        <v>378</v>
      </c>
      <c r="B67" s="529" t="s">
        <v>219</v>
      </c>
      <c r="C67" s="737"/>
      <c r="D67" s="736"/>
      <c r="E67" s="731"/>
      <c r="F67" s="737"/>
      <c r="G67" s="736"/>
      <c r="H67" s="731"/>
      <c r="I67" s="734"/>
      <c r="J67" s="731"/>
      <c r="K67" s="731"/>
      <c r="L67" s="734"/>
      <c r="M67" s="731"/>
      <c r="N67" s="731"/>
      <c r="O67" s="745">
        <f t="shared" si="4"/>
        <v>2.58</v>
      </c>
      <c r="P67" s="736">
        <v>6.0</v>
      </c>
      <c r="Q67" s="731">
        <f t="shared" si="1"/>
        <v>0</v>
      </c>
      <c r="R67" s="737">
        <v>3.0</v>
      </c>
      <c r="S67" s="736">
        <v>8.0</v>
      </c>
      <c r="T67" s="731"/>
      <c r="U67" s="737">
        <f t="shared" si="2"/>
        <v>2.26</v>
      </c>
      <c r="V67" s="736">
        <v>8.0</v>
      </c>
      <c r="W67" s="731">
        <f t="shared" si="3"/>
        <v>0</v>
      </c>
      <c r="X67" s="737">
        <v>4.0</v>
      </c>
      <c r="Y67" s="736">
        <v>8.0</v>
      </c>
      <c r="Z67" s="736"/>
    </row>
    <row r="68">
      <c r="A68" s="528"/>
      <c r="B68" s="529" t="s">
        <v>217</v>
      </c>
      <c r="C68" s="737"/>
      <c r="D68" s="736"/>
      <c r="E68" s="731"/>
      <c r="F68" s="737"/>
      <c r="G68" s="736"/>
      <c r="H68" s="731"/>
      <c r="I68" s="734"/>
      <c r="J68" s="731"/>
      <c r="K68" s="731"/>
      <c r="L68" s="734"/>
      <c r="M68" s="731"/>
      <c r="N68" s="731"/>
      <c r="O68" s="745">
        <f t="shared" si="4"/>
        <v>2.58</v>
      </c>
      <c r="P68" s="736">
        <v>7.0</v>
      </c>
      <c r="Q68" s="731">
        <f t="shared" si="1"/>
        <v>0</v>
      </c>
      <c r="R68" s="737">
        <v>4.0</v>
      </c>
      <c r="S68" s="736">
        <v>9.0</v>
      </c>
      <c r="T68" s="731"/>
      <c r="U68" s="737">
        <f t="shared" si="2"/>
        <v>2.26</v>
      </c>
      <c r="V68" s="736">
        <v>9.0</v>
      </c>
      <c r="W68" s="731">
        <f t="shared" si="3"/>
        <v>0</v>
      </c>
      <c r="X68" s="737">
        <v>4.0</v>
      </c>
      <c r="Y68" s="736">
        <v>9.0</v>
      </c>
      <c r="Z68" s="736"/>
    </row>
    <row r="69">
      <c r="A69" s="529" t="s">
        <v>47</v>
      </c>
      <c r="B69" s="529" t="s">
        <v>221</v>
      </c>
      <c r="C69" s="737"/>
      <c r="D69" s="736"/>
      <c r="E69" s="731"/>
      <c r="F69" s="737"/>
      <c r="G69" s="736"/>
      <c r="H69" s="731"/>
      <c r="I69" s="734"/>
      <c r="J69" s="731"/>
      <c r="K69" s="731"/>
      <c r="L69" s="734"/>
      <c r="M69" s="731"/>
      <c r="N69" s="731"/>
      <c r="O69" s="745">
        <f t="shared" si="4"/>
        <v>2.58</v>
      </c>
      <c r="P69" s="736">
        <v>5.0</v>
      </c>
      <c r="Q69" s="731">
        <f t="shared" si="1"/>
        <v>0</v>
      </c>
      <c r="R69" s="737">
        <v>3.0</v>
      </c>
      <c r="S69" s="736">
        <v>6.0</v>
      </c>
      <c r="T69" s="731"/>
      <c r="U69" s="737">
        <f t="shared" si="2"/>
        <v>2.26</v>
      </c>
      <c r="V69" s="736">
        <v>6.0</v>
      </c>
      <c r="W69" s="731">
        <f t="shared" si="3"/>
        <v>0</v>
      </c>
      <c r="X69" s="737">
        <v>3.0</v>
      </c>
      <c r="Y69" s="736">
        <v>6.0</v>
      </c>
      <c r="Z69" s="736"/>
    </row>
    <row r="70">
      <c r="A70" s="528"/>
      <c r="B70" s="529" t="s">
        <v>219</v>
      </c>
      <c r="C70" s="737"/>
      <c r="D70" s="736"/>
      <c r="E70" s="731"/>
      <c r="F70" s="737"/>
      <c r="G70" s="736"/>
      <c r="H70" s="731"/>
      <c r="I70" s="734"/>
      <c r="J70" s="731"/>
      <c r="K70" s="731"/>
      <c r="L70" s="734"/>
      <c r="M70" s="731"/>
      <c r="N70" s="731"/>
      <c r="O70" s="745">
        <f t="shared" si="4"/>
        <v>2.58</v>
      </c>
      <c r="P70" s="736">
        <v>5.0</v>
      </c>
      <c r="Q70" s="731">
        <f t="shared" si="1"/>
        <v>0</v>
      </c>
      <c r="R70" s="737">
        <v>3.0</v>
      </c>
      <c r="S70" s="736">
        <v>7.0</v>
      </c>
      <c r="T70" s="731"/>
      <c r="U70" s="737">
        <f t="shared" si="2"/>
        <v>2.26</v>
      </c>
      <c r="V70" s="736">
        <v>6.0</v>
      </c>
      <c r="W70" s="731">
        <f t="shared" si="3"/>
        <v>0</v>
      </c>
      <c r="X70" s="737">
        <v>3.0</v>
      </c>
      <c r="Y70" s="736">
        <v>7.0</v>
      </c>
      <c r="Z70" s="736"/>
    </row>
    <row r="71">
      <c r="A71" s="529" t="s">
        <v>379</v>
      </c>
      <c r="B71" s="529" t="s">
        <v>221</v>
      </c>
      <c r="C71" s="737"/>
      <c r="D71" s="736"/>
      <c r="E71" s="731"/>
      <c r="F71" s="737"/>
      <c r="G71" s="736"/>
      <c r="H71" s="731"/>
      <c r="I71" s="734"/>
      <c r="J71" s="731"/>
      <c r="K71" s="731"/>
      <c r="L71" s="734"/>
      <c r="M71" s="731"/>
      <c r="N71" s="731"/>
      <c r="O71" s="745">
        <f t="shared" si="4"/>
        <v>2.58</v>
      </c>
      <c r="P71" s="736">
        <v>6.0</v>
      </c>
      <c r="Q71" s="731">
        <f t="shared" si="1"/>
        <v>0</v>
      </c>
      <c r="R71" s="737">
        <v>3.0</v>
      </c>
      <c r="S71" s="736">
        <v>7.0</v>
      </c>
      <c r="T71" s="731"/>
      <c r="U71" s="737">
        <f t="shared" si="2"/>
        <v>2.26</v>
      </c>
      <c r="V71" s="736">
        <v>7.0</v>
      </c>
      <c r="W71" s="731">
        <f t="shared" si="3"/>
        <v>0</v>
      </c>
      <c r="X71" s="737">
        <v>3.0</v>
      </c>
      <c r="Y71" s="736">
        <v>7.0</v>
      </c>
      <c r="Z71" s="736"/>
    </row>
    <row r="72">
      <c r="A72" s="528"/>
      <c r="B72" s="529" t="s">
        <v>219</v>
      </c>
      <c r="C72" s="737"/>
      <c r="D72" s="736"/>
      <c r="E72" s="731"/>
      <c r="F72" s="737"/>
      <c r="G72" s="736"/>
      <c r="H72" s="731"/>
      <c r="I72" s="734"/>
      <c r="J72" s="731"/>
      <c r="K72" s="731"/>
      <c r="L72" s="734"/>
      <c r="M72" s="731"/>
      <c r="N72" s="731"/>
      <c r="O72" s="745">
        <f t="shared" si="4"/>
        <v>2.58</v>
      </c>
      <c r="P72" s="736">
        <v>6.0</v>
      </c>
      <c r="Q72" s="731">
        <f t="shared" si="1"/>
        <v>0</v>
      </c>
      <c r="R72" s="737">
        <v>3.0</v>
      </c>
      <c r="S72" s="736">
        <v>8.0</v>
      </c>
      <c r="T72" s="731"/>
      <c r="U72" s="737">
        <f t="shared" si="2"/>
        <v>2.26</v>
      </c>
      <c r="V72" s="736">
        <v>8.0</v>
      </c>
      <c r="W72" s="731">
        <f t="shared" si="3"/>
        <v>0</v>
      </c>
      <c r="X72" s="737">
        <v>4.0</v>
      </c>
      <c r="Y72" s="736">
        <v>8.0</v>
      </c>
      <c r="Z72" s="736"/>
    </row>
    <row r="73">
      <c r="A73" s="529" t="s">
        <v>59</v>
      </c>
      <c r="B73" s="529" t="s">
        <v>221</v>
      </c>
      <c r="C73" s="737"/>
      <c r="D73" s="736"/>
      <c r="E73" s="731"/>
      <c r="F73" s="737"/>
      <c r="G73" s="736"/>
      <c r="H73" s="731"/>
      <c r="I73" s="734"/>
      <c r="J73" s="731"/>
      <c r="K73" s="731"/>
      <c r="L73" s="734"/>
      <c r="M73" s="731"/>
      <c r="N73" s="731"/>
      <c r="O73" s="745">
        <f t="shared" si="4"/>
        <v>2.58</v>
      </c>
      <c r="P73" s="736">
        <v>4.0</v>
      </c>
      <c r="Q73" s="731">
        <f t="shared" si="1"/>
        <v>0</v>
      </c>
      <c r="R73" s="737">
        <v>2.0</v>
      </c>
      <c r="S73" s="736">
        <v>5.0</v>
      </c>
      <c r="T73" s="731"/>
      <c r="U73" s="737">
        <f t="shared" si="2"/>
        <v>2.26</v>
      </c>
      <c r="V73" s="736">
        <v>5.0</v>
      </c>
      <c r="W73" s="731">
        <f t="shared" si="3"/>
        <v>0</v>
      </c>
      <c r="X73" s="737">
        <v>2.0</v>
      </c>
      <c r="Y73" s="736">
        <v>5.0</v>
      </c>
      <c r="Z73" s="736"/>
    </row>
    <row r="74">
      <c r="A74" s="528"/>
      <c r="B74" s="529" t="s">
        <v>219</v>
      </c>
      <c r="C74" s="737"/>
      <c r="D74" s="736"/>
      <c r="E74" s="731"/>
      <c r="F74" s="737"/>
      <c r="G74" s="736"/>
      <c r="H74" s="731"/>
      <c r="I74" s="734"/>
      <c r="J74" s="731"/>
      <c r="K74" s="731"/>
      <c r="L74" s="734"/>
      <c r="M74" s="731"/>
      <c r="N74" s="731"/>
      <c r="O74" s="745">
        <f t="shared" si="4"/>
        <v>2.58</v>
      </c>
      <c r="P74" s="736">
        <v>4.0</v>
      </c>
      <c r="Q74" s="731">
        <f t="shared" si="1"/>
        <v>0</v>
      </c>
      <c r="R74" s="737">
        <v>2.0</v>
      </c>
      <c r="S74" s="736">
        <v>5.0</v>
      </c>
      <c r="T74" s="731"/>
      <c r="U74" s="737">
        <f t="shared" si="2"/>
        <v>2.26</v>
      </c>
      <c r="V74" s="736">
        <v>5.0</v>
      </c>
      <c r="W74" s="731">
        <f t="shared" si="3"/>
        <v>0</v>
      </c>
      <c r="X74" s="737">
        <v>3.0</v>
      </c>
      <c r="Y74" s="736">
        <v>5.0</v>
      </c>
      <c r="Z74" s="736"/>
    </row>
    <row r="75">
      <c r="A75" s="529" t="s">
        <v>380</v>
      </c>
      <c r="B75" s="529" t="s">
        <v>221</v>
      </c>
      <c r="C75" s="737"/>
      <c r="D75" s="736"/>
      <c r="E75" s="731"/>
      <c r="F75" s="737"/>
      <c r="G75" s="736"/>
      <c r="H75" s="731"/>
      <c r="I75" s="734"/>
      <c r="J75" s="731"/>
      <c r="K75" s="731"/>
      <c r="L75" s="734"/>
      <c r="M75" s="731"/>
      <c r="N75" s="731"/>
      <c r="O75" s="745">
        <f t="shared" si="4"/>
        <v>2.58</v>
      </c>
      <c r="P75" s="736">
        <v>5.0</v>
      </c>
      <c r="Q75" s="731">
        <f t="shared" si="1"/>
        <v>0</v>
      </c>
      <c r="R75" s="737">
        <v>3.0</v>
      </c>
      <c r="S75" s="736">
        <v>6.0</v>
      </c>
      <c r="T75" s="731"/>
      <c r="U75" s="737">
        <f t="shared" si="2"/>
        <v>2.26</v>
      </c>
      <c r="V75" s="736">
        <v>6.0</v>
      </c>
      <c r="W75" s="731">
        <f t="shared" si="3"/>
        <v>0</v>
      </c>
      <c r="X75" s="737">
        <v>3.0</v>
      </c>
      <c r="Y75" s="736">
        <v>6.0</v>
      </c>
      <c r="Z75" s="736"/>
    </row>
    <row r="76">
      <c r="A76" s="528"/>
      <c r="B76" s="529" t="s">
        <v>219</v>
      </c>
      <c r="C76" s="737"/>
      <c r="D76" s="736"/>
      <c r="E76" s="731"/>
      <c r="F76" s="737"/>
      <c r="G76" s="736"/>
      <c r="H76" s="731"/>
      <c r="I76" s="734"/>
      <c r="J76" s="731"/>
      <c r="K76" s="731"/>
      <c r="L76" s="734"/>
      <c r="M76" s="731"/>
      <c r="N76" s="731"/>
      <c r="O76" s="745">
        <f t="shared" si="4"/>
        <v>2.58</v>
      </c>
      <c r="P76" s="736">
        <v>5.0</v>
      </c>
      <c r="Q76" s="731">
        <f t="shared" si="1"/>
        <v>0</v>
      </c>
      <c r="R76" s="737">
        <v>3.0</v>
      </c>
      <c r="S76" s="736">
        <v>7.0</v>
      </c>
      <c r="T76" s="731"/>
      <c r="U76" s="737">
        <f t="shared" si="2"/>
        <v>2.26</v>
      </c>
      <c r="V76" s="736">
        <v>6.0</v>
      </c>
      <c r="W76" s="731">
        <f t="shared" si="3"/>
        <v>0</v>
      </c>
      <c r="X76" s="737">
        <v>3.0</v>
      </c>
      <c r="Y76" s="736">
        <v>7.0</v>
      </c>
      <c r="Z76" s="736"/>
    </row>
    <row r="77">
      <c r="A77" s="529"/>
      <c r="B77" s="529" t="s">
        <v>221</v>
      </c>
      <c r="C77" s="737"/>
      <c r="D77" s="736"/>
      <c r="E77" s="731"/>
      <c r="F77" s="737"/>
      <c r="G77" s="736"/>
      <c r="H77" s="731"/>
      <c r="I77" s="734"/>
      <c r="J77" s="731"/>
      <c r="K77" s="731"/>
      <c r="L77" s="734"/>
      <c r="M77" s="731"/>
      <c r="N77" s="731"/>
      <c r="O77" s="745">
        <f t="shared" si="4"/>
        <v>2.58</v>
      </c>
      <c r="P77" s="736">
        <v>4.0</v>
      </c>
      <c r="Q77" s="731">
        <f t="shared" si="1"/>
        <v>0</v>
      </c>
      <c r="R77" s="737">
        <v>3.0</v>
      </c>
      <c r="S77" s="736">
        <v>6.0</v>
      </c>
      <c r="T77" s="731"/>
      <c r="U77" s="737">
        <f t="shared" si="2"/>
        <v>2.26</v>
      </c>
      <c r="V77" s="736">
        <v>6.0</v>
      </c>
      <c r="W77" s="731">
        <f t="shared" si="3"/>
        <v>0</v>
      </c>
      <c r="X77" s="737">
        <v>3.0</v>
      </c>
      <c r="Y77" s="736">
        <v>6.0</v>
      </c>
      <c r="Z77" s="736"/>
    </row>
    <row r="78">
      <c r="A78" s="529" t="s">
        <v>79</v>
      </c>
      <c r="B78" s="529" t="s">
        <v>219</v>
      </c>
      <c r="C78" s="737"/>
      <c r="D78" s="736"/>
      <c r="E78" s="731"/>
      <c r="F78" s="737"/>
      <c r="G78" s="736"/>
      <c r="H78" s="731"/>
      <c r="I78" s="734"/>
      <c r="J78" s="731"/>
      <c r="K78" s="731"/>
      <c r="L78" s="734"/>
      <c r="M78" s="731"/>
      <c r="N78" s="731"/>
      <c r="O78" s="745">
        <f t="shared" si="4"/>
        <v>2.58</v>
      </c>
      <c r="P78" s="736">
        <v>5.0</v>
      </c>
      <c r="Q78" s="731">
        <f t="shared" si="1"/>
        <v>0</v>
      </c>
      <c r="R78" s="737">
        <v>3.0</v>
      </c>
      <c r="S78" s="736">
        <v>6.0</v>
      </c>
      <c r="T78" s="731"/>
      <c r="U78" s="737">
        <f t="shared" si="2"/>
        <v>2.26</v>
      </c>
      <c r="V78" s="736">
        <v>6.0</v>
      </c>
      <c r="W78" s="731">
        <f t="shared" si="3"/>
        <v>0</v>
      </c>
      <c r="X78" s="737">
        <v>3.0</v>
      </c>
      <c r="Y78" s="736">
        <v>6.0</v>
      </c>
      <c r="Z78" s="736"/>
    </row>
    <row r="79">
      <c r="A79" s="529"/>
      <c r="B79" s="529" t="s">
        <v>217</v>
      </c>
      <c r="C79" s="737"/>
      <c r="D79" s="736"/>
      <c r="E79" s="731"/>
      <c r="F79" s="737"/>
      <c r="G79" s="736"/>
      <c r="H79" s="731"/>
      <c r="I79" s="734"/>
      <c r="J79" s="731"/>
      <c r="K79" s="731"/>
      <c r="L79" s="734"/>
      <c r="M79" s="731"/>
      <c r="N79" s="731"/>
      <c r="O79" s="745">
        <f t="shared" si="4"/>
        <v>2.58</v>
      </c>
      <c r="P79" s="736">
        <v>5.0</v>
      </c>
      <c r="Q79" s="731">
        <f t="shared" si="1"/>
        <v>0</v>
      </c>
      <c r="R79" s="737">
        <v>3.0</v>
      </c>
      <c r="S79" s="736">
        <v>7.0</v>
      </c>
      <c r="T79" s="731"/>
      <c r="U79" s="737">
        <f t="shared" si="2"/>
        <v>2.26</v>
      </c>
      <c r="V79" s="736">
        <v>7.0</v>
      </c>
      <c r="W79" s="731">
        <f t="shared" si="3"/>
        <v>0</v>
      </c>
      <c r="X79" s="737">
        <v>3.0</v>
      </c>
      <c r="Y79" s="736">
        <v>7.0</v>
      </c>
      <c r="Z79" s="736"/>
    </row>
    <row r="80">
      <c r="B80" s="529" t="s">
        <v>221</v>
      </c>
      <c r="C80" s="737"/>
      <c r="D80" s="736"/>
      <c r="E80" s="731"/>
      <c r="F80" s="737"/>
      <c r="G80" s="736"/>
      <c r="H80" s="731"/>
      <c r="I80" s="734"/>
      <c r="J80" s="731"/>
      <c r="K80" s="731"/>
      <c r="L80" s="734"/>
      <c r="M80" s="731"/>
      <c r="N80" s="731"/>
      <c r="O80" s="745">
        <f t="shared" si="4"/>
        <v>2.58</v>
      </c>
      <c r="P80" s="736">
        <v>5.0</v>
      </c>
      <c r="Q80" s="731">
        <f t="shared" si="1"/>
        <v>0</v>
      </c>
      <c r="R80" s="737">
        <v>3.0</v>
      </c>
      <c r="S80" s="736">
        <v>7.0</v>
      </c>
      <c r="T80" s="731"/>
      <c r="U80" s="737">
        <f t="shared" si="2"/>
        <v>2.26</v>
      </c>
      <c r="V80" s="736">
        <v>7.0</v>
      </c>
      <c r="W80" s="731">
        <f t="shared" si="3"/>
        <v>0</v>
      </c>
      <c r="X80" s="737">
        <v>3.0</v>
      </c>
      <c r="Y80" s="736">
        <v>7.0</v>
      </c>
      <c r="Z80" s="736"/>
    </row>
    <row r="81">
      <c r="A81" s="529" t="s">
        <v>381</v>
      </c>
      <c r="B81" s="529" t="s">
        <v>219</v>
      </c>
      <c r="C81" s="737"/>
      <c r="D81" s="736"/>
      <c r="E81" s="731"/>
      <c r="F81" s="737"/>
      <c r="G81" s="736"/>
      <c r="H81" s="731"/>
      <c r="I81" s="734"/>
      <c r="J81" s="731"/>
      <c r="K81" s="731"/>
      <c r="L81" s="734"/>
      <c r="M81" s="731"/>
      <c r="N81" s="731"/>
      <c r="O81" s="745">
        <f t="shared" si="4"/>
        <v>2.58</v>
      </c>
      <c r="P81" s="736">
        <v>6.0</v>
      </c>
      <c r="Q81" s="731">
        <f t="shared" si="1"/>
        <v>0</v>
      </c>
      <c r="R81" s="737">
        <v>3.0</v>
      </c>
      <c r="S81" s="736">
        <v>7.0</v>
      </c>
      <c r="T81" s="731"/>
      <c r="U81" s="737">
        <f t="shared" si="2"/>
        <v>2.26</v>
      </c>
      <c r="V81" s="736">
        <v>7.0</v>
      </c>
      <c r="W81" s="731">
        <f t="shared" si="3"/>
        <v>0</v>
      </c>
      <c r="X81" s="737">
        <v>3.0</v>
      </c>
      <c r="Y81" s="736">
        <v>7.0</v>
      </c>
      <c r="Z81" s="736"/>
    </row>
    <row r="82">
      <c r="A82" s="528"/>
      <c r="B82" s="529" t="s">
        <v>217</v>
      </c>
      <c r="C82" s="737"/>
      <c r="D82" s="736"/>
      <c r="E82" s="731"/>
      <c r="F82" s="737"/>
      <c r="G82" s="736"/>
      <c r="H82" s="731"/>
      <c r="I82" s="734"/>
      <c r="J82" s="731"/>
      <c r="K82" s="731"/>
      <c r="L82" s="734"/>
      <c r="M82" s="731"/>
      <c r="N82" s="731"/>
      <c r="O82" s="745">
        <f t="shared" si="4"/>
        <v>2.58</v>
      </c>
      <c r="P82" s="736">
        <v>7.0</v>
      </c>
      <c r="Q82" s="731">
        <f t="shared" si="1"/>
        <v>0</v>
      </c>
      <c r="R82" s="737">
        <v>4.0</v>
      </c>
      <c r="S82" s="736">
        <v>8.0</v>
      </c>
      <c r="T82" s="731"/>
      <c r="U82" s="737">
        <f t="shared" si="2"/>
        <v>2.26</v>
      </c>
      <c r="V82" s="736">
        <v>8.0</v>
      </c>
      <c r="W82" s="731">
        <f t="shared" si="3"/>
        <v>0</v>
      </c>
      <c r="X82" s="737">
        <v>4.0</v>
      </c>
      <c r="Y82" s="736">
        <v>8.0</v>
      </c>
      <c r="Z82" s="736"/>
    </row>
    <row r="83">
      <c r="A83" s="529" t="s">
        <v>169</v>
      </c>
      <c r="B83" s="529" t="s">
        <v>221</v>
      </c>
      <c r="C83" s="737"/>
      <c r="D83" s="736"/>
      <c r="E83" s="731"/>
      <c r="F83" s="737"/>
      <c r="G83" s="736"/>
      <c r="H83" s="731"/>
      <c r="I83" s="734"/>
      <c r="J83" s="731"/>
      <c r="K83" s="731"/>
      <c r="L83" s="734"/>
      <c r="M83" s="731"/>
      <c r="N83" s="731"/>
      <c r="O83" s="745">
        <f t="shared" si="4"/>
        <v>2.58</v>
      </c>
      <c r="P83" s="736">
        <v>4.0</v>
      </c>
      <c r="Q83" s="731">
        <f t="shared" si="1"/>
        <v>0</v>
      </c>
      <c r="R83" s="737">
        <v>2.0</v>
      </c>
      <c r="S83" s="736">
        <v>5.0</v>
      </c>
      <c r="T83" s="731"/>
      <c r="U83" s="737">
        <f t="shared" si="2"/>
        <v>2.26</v>
      </c>
      <c r="V83" s="736">
        <v>5.0</v>
      </c>
      <c r="W83" s="731">
        <f t="shared" si="3"/>
        <v>0</v>
      </c>
      <c r="X83" s="737">
        <v>2.0</v>
      </c>
      <c r="Y83" s="736">
        <v>5.0</v>
      </c>
      <c r="Z83" s="736"/>
    </row>
    <row r="84">
      <c r="A84" s="528"/>
      <c r="B84" s="529" t="s">
        <v>219</v>
      </c>
      <c r="C84" s="737"/>
      <c r="D84" s="736"/>
      <c r="E84" s="731"/>
      <c r="F84" s="737"/>
      <c r="G84" s="736"/>
      <c r="H84" s="731"/>
      <c r="I84" s="734"/>
      <c r="J84" s="731"/>
      <c r="K84" s="731"/>
      <c r="L84" s="734"/>
      <c r="M84" s="731"/>
      <c r="N84" s="731"/>
      <c r="O84" s="745">
        <f t="shared" si="4"/>
        <v>2.58</v>
      </c>
      <c r="P84" s="736">
        <v>4.0</v>
      </c>
      <c r="Q84" s="731">
        <f t="shared" si="1"/>
        <v>0</v>
      </c>
      <c r="R84" s="737">
        <v>2.0</v>
      </c>
      <c r="S84" s="736">
        <v>5.0</v>
      </c>
      <c r="T84" s="731"/>
      <c r="U84" s="737">
        <f t="shared" si="2"/>
        <v>2.26</v>
      </c>
      <c r="V84" s="736">
        <v>5.0</v>
      </c>
      <c r="W84" s="731">
        <f t="shared" si="3"/>
        <v>0</v>
      </c>
      <c r="X84" s="737">
        <v>3.0</v>
      </c>
      <c r="Y84" s="736">
        <v>5.0</v>
      </c>
      <c r="Z84" s="736"/>
    </row>
    <row r="85">
      <c r="A85" s="529" t="s">
        <v>382</v>
      </c>
      <c r="B85" s="529" t="s">
        <v>221</v>
      </c>
      <c r="C85" s="737"/>
      <c r="D85" s="736"/>
      <c r="E85" s="731"/>
      <c r="F85" s="737"/>
      <c r="G85" s="736"/>
      <c r="H85" s="731"/>
      <c r="I85" s="734"/>
      <c r="J85" s="731"/>
      <c r="K85" s="731"/>
      <c r="L85" s="734"/>
      <c r="M85" s="731"/>
      <c r="N85" s="731"/>
      <c r="O85" s="745">
        <f t="shared" si="4"/>
        <v>2.58</v>
      </c>
      <c r="P85" s="736">
        <v>5.0</v>
      </c>
      <c r="Q85" s="731">
        <f t="shared" si="1"/>
        <v>0</v>
      </c>
      <c r="R85" s="737">
        <v>3.0</v>
      </c>
      <c r="S85" s="736">
        <v>6.0</v>
      </c>
      <c r="T85" s="731"/>
      <c r="U85" s="737">
        <f t="shared" si="2"/>
        <v>2.26</v>
      </c>
      <c r="V85" s="736">
        <v>6.0</v>
      </c>
      <c r="W85" s="731">
        <f t="shared" si="3"/>
        <v>0</v>
      </c>
      <c r="X85" s="737">
        <v>3.0</v>
      </c>
      <c r="Y85" s="736">
        <v>6.0</v>
      </c>
      <c r="Z85" s="736"/>
    </row>
    <row r="86">
      <c r="A86" s="528"/>
      <c r="B86" s="529" t="s">
        <v>219</v>
      </c>
      <c r="C86" s="737"/>
      <c r="D86" s="736"/>
      <c r="E86" s="731"/>
      <c r="F86" s="737"/>
      <c r="G86" s="736"/>
      <c r="H86" s="731"/>
      <c r="I86" s="734"/>
      <c r="J86" s="731"/>
      <c r="K86" s="731"/>
      <c r="L86" s="734"/>
      <c r="M86" s="731"/>
      <c r="N86" s="731"/>
      <c r="O86" s="745">
        <f t="shared" si="4"/>
        <v>2.58</v>
      </c>
      <c r="P86" s="736">
        <v>5.0</v>
      </c>
      <c r="Q86" s="731">
        <f t="shared" si="1"/>
        <v>0</v>
      </c>
      <c r="R86" s="737">
        <v>3.0</v>
      </c>
      <c r="S86" s="736">
        <v>7.0</v>
      </c>
      <c r="T86" s="731"/>
      <c r="U86" s="737">
        <f t="shared" si="2"/>
        <v>2.26</v>
      </c>
      <c r="V86" s="736">
        <v>6.0</v>
      </c>
      <c r="W86" s="731">
        <f t="shared" si="3"/>
        <v>0</v>
      </c>
      <c r="X86" s="737">
        <v>3.0</v>
      </c>
      <c r="Y86" s="736">
        <v>7.0</v>
      </c>
      <c r="Z86" s="736"/>
    </row>
    <row r="87">
      <c r="A87" s="528"/>
      <c r="B87" s="529" t="s">
        <v>221</v>
      </c>
      <c r="C87" s="737"/>
      <c r="D87" s="736"/>
      <c r="E87" s="731"/>
      <c r="F87" s="737"/>
      <c r="G87" s="736"/>
      <c r="H87" s="731"/>
      <c r="I87" s="734"/>
      <c r="J87" s="731"/>
      <c r="K87" s="731"/>
      <c r="L87" s="734"/>
      <c r="M87" s="731"/>
      <c r="N87" s="731"/>
      <c r="O87" s="745">
        <f t="shared" si="4"/>
        <v>2.58</v>
      </c>
      <c r="P87" s="736">
        <v>4.0</v>
      </c>
      <c r="Q87" s="731">
        <f t="shared" si="1"/>
        <v>0</v>
      </c>
      <c r="R87" s="737">
        <v>2.0</v>
      </c>
      <c r="S87" s="736">
        <v>5.0</v>
      </c>
      <c r="T87" s="731"/>
      <c r="U87" s="737">
        <f t="shared" si="2"/>
        <v>2.26</v>
      </c>
      <c r="V87" s="736">
        <v>5.0</v>
      </c>
      <c r="W87" s="731">
        <f t="shared" si="3"/>
        <v>0</v>
      </c>
      <c r="X87" s="737">
        <v>2.0</v>
      </c>
      <c r="Y87" s="736">
        <v>5.0</v>
      </c>
      <c r="Z87" s="736"/>
    </row>
    <row r="88">
      <c r="A88" s="529" t="s">
        <v>102</v>
      </c>
      <c r="B88" s="529" t="s">
        <v>219</v>
      </c>
      <c r="C88" s="737"/>
      <c r="D88" s="736"/>
      <c r="E88" s="731"/>
      <c r="F88" s="737"/>
      <c r="G88" s="736"/>
      <c r="H88" s="731"/>
      <c r="I88" s="734"/>
      <c r="J88" s="731"/>
      <c r="K88" s="731"/>
      <c r="L88" s="734"/>
      <c r="M88" s="731"/>
      <c r="N88" s="731"/>
      <c r="O88" s="745">
        <f t="shared" si="4"/>
        <v>2.58</v>
      </c>
      <c r="P88" s="736">
        <v>4.0</v>
      </c>
      <c r="Q88" s="731">
        <f t="shared" si="1"/>
        <v>0</v>
      </c>
      <c r="R88" s="737">
        <v>2.0</v>
      </c>
      <c r="S88" s="736">
        <v>5.0</v>
      </c>
      <c r="T88" s="731"/>
      <c r="U88" s="737">
        <f t="shared" si="2"/>
        <v>2.26</v>
      </c>
      <c r="V88" s="736">
        <v>5.0</v>
      </c>
      <c r="W88" s="731">
        <f t="shared" si="3"/>
        <v>0</v>
      </c>
      <c r="X88" s="737">
        <v>3.0</v>
      </c>
      <c r="Y88" s="736">
        <v>5.0</v>
      </c>
      <c r="Z88" s="736"/>
    </row>
    <row r="89">
      <c r="A89" s="528"/>
      <c r="B89" s="529" t="s">
        <v>217</v>
      </c>
      <c r="C89" s="737"/>
      <c r="D89" s="736"/>
      <c r="E89" s="731"/>
      <c r="F89" s="737"/>
      <c r="G89" s="736"/>
      <c r="H89" s="731"/>
      <c r="I89" s="737"/>
      <c r="J89" s="731"/>
      <c r="K89" s="731"/>
      <c r="L89" s="734"/>
      <c r="M89" s="731"/>
      <c r="N89" s="731"/>
      <c r="O89" s="745">
        <f t="shared" si="4"/>
        <v>2.58</v>
      </c>
      <c r="P89" s="736">
        <v>4.0</v>
      </c>
      <c r="Q89" s="731">
        <f t="shared" si="1"/>
        <v>0</v>
      </c>
      <c r="R89" s="737">
        <v>3.0</v>
      </c>
      <c r="S89" s="736">
        <v>6.0</v>
      </c>
      <c r="T89" s="731"/>
      <c r="U89" s="737">
        <f t="shared" si="2"/>
        <v>2.26</v>
      </c>
      <c r="V89" s="736">
        <v>6.0</v>
      </c>
      <c r="W89" s="731">
        <f t="shared" si="3"/>
        <v>0</v>
      </c>
      <c r="X89" s="737">
        <v>3.0</v>
      </c>
      <c r="Y89" s="736">
        <v>6.0</v>
      </c>
      <c r="Z89" s="736"/>
    </row>
    <row r="90">
      <c r="A90" s="528"/>
      <c r="B90" s="529" t="s">
        <v>221</v>
      </c>
      <c r="C90" s="737"/>
      <c r="D90" s="736"/>
      <c r="E90" s="731"/>
      <c r="F90" s="737"/>
      <c r="G90" s="736"/>
      <c r="H90" s="731"/>
      <c r="I90" s="737"/>
      <c r="J90" s="731"/>
      <c r="K90" s="731"/>
      <c r="L90" s="734"/>
      <c r="M90" s="731"/>
      <c r="N90" s="731"/>
      <c r="O90" s="745">
        <f t="shared" si="4"/>
        <v>2.58</v>
      </c>
      <c r="P90" s="736">
        <v>5.0</v>
      </c>
      <c r="Q90" s="731">
        <f t="shared" si="1"/>
        <v>0</v>
      </c>
      <c r="R90" s="737">
        <v>3.0</v>
      </c>
      <c r="S90" s="736">
        <v>6.0</v>
      </c>
      <c r="T90" s="731"/>
      <c r="U90" s="737">
        <f t="shared" si="2"/>
        <v>2.26</v>
      </c>
      <c r="V90" s="736">
        <v>6.0</v>
      </c>
      <c r="W90" s="731">
        <f t="shared" si="3"/>
        <v>0</v>
      </c>
      <c r="X90" s="737">
        <v>3.0</v>
      </c>
      <c r="Y90" s="736">
        <v>6.0</v>
      </c>
      <c r="Z90" s="736"/>
    </row>
    <row r="91">
      <c r="A91" s="529" t="s">
        <v>383</v>
      </c>
      <c r="B91" s="529" t="s">
        <v>219</v>
      </c>
      <c r="C91" s="737"/>
      <c r="D91" s="736"/>
      <c r="E91" s="731"/>
      <c r="F91" s="737"/>
      <c r="G91" s="736"/>
      <c r="H91" s="731"/>
      <c r="I91" s="775">
        <f>41/38</f>
        <v>1.078947368</v>
      </c>
      <c r="J91" s="776">
        <f>42/37</f>
        <v>1.135135135</v>
      </c>
      <c r="K91" s="731"/>
      <c r="L91" s="734"/>
      <c r="M91" s="731"/>
      <c r="N91" s="731"/>
      <c r="O91" s="745">
        <f t="shared" si="4"/>
        <v>2.58</v>
      </c>
      <c r="P91" s="736">
        <v>5.0</v>
      </c>
      <c r="Q91" s="731">
        <f t="shared" si="1"/>
        <v>0</v>
      </c>
      <c r="R91" s="737">
        <v>3.0</v>
      </c>
      <c r="S91" s="736">
        <v>6.0</v>
      </c>
      <c r="T91" s="731"/>
      <c r="U91" s="737">
        <f t="shared" si="2"/>
        <v>2.26</v>
      </c>
      <c r="V91" s="736">
        <v>6.0</v>
      </c>
      <c r="W91" s="731">
        <f t="shared" si="3"/>
        <v>0</v>
      </c>
      <c r="X91" s="737">
        <v>3.0</v>
      </c>
      <c r="Y91" s="736">
        <v>6.0</v>
      </c>
      <c r="Z91" s="736"/>
    </row>
    <row r="92">
      <c r="A92" s="528"/>
      <c r="B92" s="529" t="s">
        <v>217</v>
      </c>
      <c r="C92" s="737"/>
      <c r="D92" s="736"/>
      <c r="E92" s="731"/>
      <c r="F92" s="737"/>
      <c r="G92" s="736"/>
      <c r="H92" s="731"/>
      <c r="I92" s="777">
        <f>34/32</f>
        <v>1.0625</v>
      </c>
      <c r="J92" s="776">
        <f>35/31</f>
        <v>1.129032258</v>
      </c>
      <c r="K92" s="731"/>
      <c r="L92" s="734"/>
      <c r="M92" s="731"/>
      <c r="N92" s="731"/>
      <c r="O92" s="745">
        <f t="shared" si="4"/>
        <v>2.58</v>
      </c>
      <c r="P92" s="736">
        <v>5.0</v>
      </c>
      <c r="Q92" s="731">
        <f t="shared" si="1"/>
        <v>0</v>
      </c>
      <c r="R92" s="737">
        <v>3.0</v>
      </c>
      <c r="S92" s="736">
        <v>7.0</v>
      </c>
      <c r="T92" s="731"/>
      <c r="U92" s="737">
        <f t="shared" si="2"/>
        <v>2.26</v>
      </c>
      <c r="V92" s="736">
        <v>7.0</v>
      </c>
      <c r="W92" s="731">
        <f t="shared" si="3"/>
        <v>0</v>
      </c>
      <c r="X92" s="737">
        <v>3.0</v>
      </c>
      <c r="Y92" s="736">
        <v>7.0</v>
      </c>
      <c r="Z92" s="736"/>
    </row>
    <row r="93">
      <c r="A93" s="529" t="s">
        <v>128</v>
      </c>
      <c r="B93" s="529" t="s">
        <v>219</v>
      </c>
      <c r="C93" s="737"/>
      <c r="D93" s="736"/>
      <c r="E93" s="731"/>
      <c r="F93" s="737"/>
      <c r="G93" s="736"/>
      <c r="H93" s="731"/>
      <c r="I93" s="778">
        <f>1000/9</f>
        <v>111.1111111</v>
      </c>
      <c r="J93" s="779">
        <f>1000/7</f>
        <v>142.8571429</v>
      </c>
      <c r="K93" s="780">
        <f>J93/I93</f>
        <v>1.285714286</v>
      </c>
      <c r="L93" s="734"/>
      <c r="M93" s="731"/>
      <c r="N93" s="731"/>
      <c r="O93" s="745">
        <f t="shared" si="4"/>
        <v>2.58</v>
      </c>
      <c r="P93" s="736">
        <v>5.0</v>
      </c>
      <c r="Q93" s="731">
        <f t="shared" si="1"/>
        <v>0</v>
      </c>
      <c r="R93" s="737">
        <v>3.0</v>
      </c>
      <c r="S93" s="736">
        <v>6.0</v>
      </c>
      <c r="T93" s="731"/>
      <c r="U93" s="737">
        <f t="shared" si="2"/>
        <v>2.26</v>
      </c>
      <c r="V93" s="736">
        <v>6.0</v>
      </c>
      <c r="W93" s="731">
        <f t="shared" si="3"/>
        <v>0</v>
      </c>
      <c r="X93" s="737">
        <v>3.0</v>
      </c>
      <c r="Y93" s="736">
        <v>6.0</v>
      </c>
      <c r="Z93" s="736"/>
    </row>
    <row r="94">
      <c r="A94" s="528"/>
      <c r="B94" s="529" t="s">
        <v>217</v>
      </c>
      <c r="C94" s="737"/>
      <c r="D94" s="736"/>
      <c r="E94" s="731"/>
      <c r="F94" s="737"/>
      <c r="G94" s="736"/>
      <c r="H94" s="731"/>
      <c r="I94" s="777">
        <f>9/7</f>
        <v>1.285714286</v>
      </c>
      <c r="J94" s="731"/>
      <c r="K94" s="731"/>
      <c r="L94" s="734"/>
      <c r="M94" s="731"/>
      <c r="N94" s="731"/>
      <c r="O94" s="745">
        <f t="shared" si="4"/>
        <v>2.58</v>
      </c>
      <c r="P94" s="736">
        <v>5.0</v>
      </c>
      <c r="Q94" s="731">
        <f t="shared" si="1"/>
        <v>0</v>
      </c>
      <c r="R94" s="737">
        <v>3.0</v>
      </c>
      <c r="S94" s="736">
        <v>7.0</v>
      </c>
      <c r="T94" s="731"/>
      <c r="U94" s="737">
        <f t="shared" si="2"/>
        <v>2.26</v>
      </c>
      <c r="V94" s="736">
        <v>7.0</v>
      </c>
      <c r="W94" s="731">
        <f t="shared" si="3"/>
        <v>0</v>
      </c>
      <c r="X94" s="737">
        <v>3.0</v>
      </c>
      <c r="Y94" s="736">
        <v>7.0</v>
      </c>
      <c r="Z94" s="736"/>
    </row>
    <row r="95">
      <c r="A95" s="529" t="s">
        <v>384</v>
      </c>
      <c r="B95" s="529" t="s">
        <v>219</v>
      </c>
      <c r="C95" s="737"/>
      <c r="D95" s="736"/>
      <c r="E95" s="731"/>
      <c r="F95" s="737"/>
      <c r="G95" s="736"/>
      <c r="H95" s="731"/>
      <c r="I95" s="734">
        <f>18/15</f>
        <v>1.2</v>
      </c>
      <c r="J95" s="731">
        <f>19/15</f>
        <v>1.266666667</v>
      </c>
      <c r="K95" s="731"/>
      <c r="L95" s="734"/>
      <c r="M95" s="731"/>
      <c r="N95" s="731"/>
      <c r="O95" s="745">
        <f t="shared" si="4"/>
        <v>2.58</v>
      </c>
      <c r="P95" s="736">
        <v>6.0</v>
      </c>
      <c r="Q95" s="731">
        <f t="shared" si="1"/>
        <v>0</v>
      </c>
      <c r="R95" s="737">
        <v>3.0</v>
      </c>
      <c r="S95" s="736">
        <v>8.0</v>
      </c>
      <c r="T95" s="731"/>
      <c r="U95" s="737">
        <f t="shared" si="2"/>
        <v>2.26</v>
      </c>
      <c r="V95" s="736">
        <v>8.0</v>
      </c>
      <c r="W95" s="731">
        <f t="shared" si="3"/>
        <v>0</v>
      </c>
      <c r="X95" s="737">
        <v>4.0</v>
      </c>
      <c r="Y95" s="736">
        <v>8.0</v>
      </c>
      <c r="Z95" s="736"/>
    </row>
    <row r="96">
      <c r="A96" s="528"/>
      <c r="B96" s="529" t="s">
        <v>217</v>
      </c>
      <c r="C96" s="737"/>
      <c r="D96" s="736"/>
      <c r="E96" s="731"/>
      <c r="F96" s="737"/>
      <c r="G96" s="736"/>
      <c r="H96" s="731"/>
      <c r="I96" s="731">
        <f t="shared" ref="I96:J96" si="86">(1-I97)*100</f>
        <v>12.5</v>
      </c>
      <c r="J96" s="771">
        <f t="shared" si="86"/>
        <v>11.11111111</v>
      </c>
      <c r="K96" s="731"/>
      <c r="L96" s="734"/>
      <c r="M96" s="731"/>
      <c r="N96" s="731"/>
      <c r="O96" s="745">
        <f t="shared" si="4"/>
        <v>2.58</v>
      </c>
      <c r="P96" s="736">
        <v>7.0</v>
      </c>
      <c r="Q96" s="731">
        <f t="shared" si="1"/>
        <v>0</v>
      </c>
      <c r="R96" s="737">
        <v>4.0</v>
      </c>
      <c r="S96" s="736">
        <v>9.0</v>
      </c>
      <c r="T96" s="731"/>
      <c r="U96" s="737">
        <f t="shared" si="2"/>
        <v>2.26</v>
      </c>
      <c r="V96" s="736">
        <v>9.0</v>
      </c>
      <c r="W96" s="731">
        <f t="shared" si="3"/>
        <v>0</v>
      </c>
      <c r="X96" s="737">
        <v>4.0</v>
      </c>
      <c r="Y96" s="736">
        <v>9.0</v>
      </c>
      <c r="Z96" s="736"/>
    </row>
    <row r="97">
      <c r="A97" s="529" t="s">
        <v>138</v>
      </c>
      <c r="B97" s="529" t="s">
        <v>219</v>
      </c>
      <c r="C97" s="737"/>
      <c r="D97" s="736"/>
      <c r="E97" s="731"/>
      <c r="F97" s="737"/>
      <c r="G97" s="736"/>
      <c r="H97" s="731"/>
      <c r="I97" s="734">
        <f>7/8</f>
        <v>0.875</v>
      </c>
      <c r="J97" s="776">
        <f>16/18</f>
        <v>0.8888888889</v>
      </c>
      <c r="K97" s="731"/>
      <c r="L97" s="734"/>
      <c r="M97" s="731"/>
      <c r="N97" s="731"/>
      <c r="O97" s="745">
        <f t="shared" si="4"/>
        <v>2.58</v>
      </c>
      <c r="P97" s="736">
        <v>4.0</v>
      </c>
      <c r="Q97" s="731">
        <f t="shared" si="1"/>
        <v>0</v>
      </c>
      <c r="R97" s="737">
        <v>2.0</v>
      </c>
      <c r="S97" s="736">
        <v>5.0</v>
      </c>
      <c r="T97" s="731"/>
      <c r="U97" s="737">
        <f t="shared" si="2"/>
        <v>2.26</v>
      </c>
      <c r="V97" s="736">
        <v>5.0</v>
      </c>
      <c r="W97" s="731">
        <f t="shared" si="3"/>
        <v>0</v>
      </c>
      <c r="X97" s="737">
        <v>2.0</v>
      </c>
      <c r="Y97" s="736">
        <v>5.0</v>
      </c>
      <c r="Z97" s="736"/>
    </row>
    <row r="98">
      <c r="A98" s="528"/>
      <c r="B98" s="529" t="s">
        <v>217</v>
      </c>
      <c r="C98" s="737"/>
      <c r="D98" s="736"/>
      <c r="E98" s="731"/>
      <c r="F98" s="737"/>
      <c r="G98" s="736"/>
      <c r="H98" s="731"/>
      <c r="I98" s="731">
        <f t="shared" ref="I98:J98" si="87">(I99-1)*100</f>
        <v>10</v>
      </c>
      <c r="J98" s="771">
        <f t="shared" si="87"/>
        <v>11.11111111</v>
      </c>
      <c r="K98" s="731"/>
      <c r="L98" s="734"/>
      <c r="M98" s="731"/>
      <c r="N98" s="731"/>
      <c r="O98" s="745">
        <f t="shared" si="4"/>
        <v>2.58</v>
      </c>
      <c r="P98" s="736">
        <v>4.0</v>
      </c>
      <c r="Q98" s="731">
        <f t="shared" si="1"/>
        <v>0</v>
      </c>
      <c r="R98" s="737">
        <v>3.0</v>
      </c>
      <c r="S98" s="736">
        <v>6.0</v>
      </c>
      <c r="T98" s="731"/>
      <c r="U98" s="737">
        <f t="shared" si="2"/>
        <v>2.26</v>
      </c>
      <c r="V98" s="736">
        <v>5.0</v>
      </c>
      <c r="W98" s="731">
        <f t="shared" si="3"/>
        <v>0</v>
      </c>
      <c r="X98" s="737">
        <v>3.0</v>
      </c>
      <c r="Y98" s="736">
        <v>6.0</v>
      </c>
      <c r="Z98" s="736"/>
    </row>
    <row r="99">
      <c r="A99" s="529" t="s">
        <v>385</v>
      </c>
      <c r="B99" s="529" t="s">
        <v>219</v>
      </c>
      <c r="C99" s="737"/>
      <c r="D99" s="736"/>
      <c r="E99" s="731"/>
      <c r="F99" s="737"/>
      <c r="G99" s="736"/>
      <c r="H99" s="731"/>
      <c r="I99" s="734">
        <f>11/10</f>
        <v>1.1</v>
      </c>
      <c r="J99" s="776">
        <f>10/9</f>
        <v>1.111111111</v>
      </c>
      <c r="K99" s="731"/>
      <c r="L99" s="734"/>
      <c r="M99" s="731"/>
      <c r="N99" s="731"/>
      <c r="O99" s="745">
        <f t="shared" si="4"/>
        <v>2.58</v>
      </c>
      <c r="P99" s="736">
        <v>5.0</v>
      </c>
      <c r="Q99" s="731">
        <f t="shared" si="1"/>
        <v>0</v>
      </c>
      <c r="R99" s="737">
        <v>3.0</v>
      </c>
      <c r="S99" s="736">
        <v>6.0</v>
      </c>
      <c r="T99" s="731"/>
      <c r="U99" s="737">
        <f t="shared" si="2"/>
        <v>2.26</v>
      </c>
      <c r="V99" s="736">
        <v>6.0</v>
      </c>
      <c r="W99" s="731">
        <f t="shared" si="3"/>
        <v>0</v>
      </c>
      <c r="X99" s="737">
        <v>3.0</v>
      </c>
      <c r="Y99" s="736">
        <v>6.0</v>
      </c>
      <c r="Z99" s="736"/>
    </row>
    <row r="100">
      <c r="A100" s="528"/>
      <c r="B100" s="529" t="s">
        <v>217</v>
      </c>
      <c r="C100" s="737"/>
      <c r="D100" s="736"/>
      <c r="E100" s="731"/>
      <c r="F100" s="737"/>
      <c r="G100" s="736"/>
      <c r="H100" s="731"/>
      <c r="I100" s="734"/>
      <c r="J100" s="731"/>
      <c r="K100" s="731"/>
      <c r="L100" s="734"/>
      <c r="M100" s="731"/>
      <c r="N100" s="731"/>
      <c r="O100" s="745">
        <f t="shared" si="4"/>
        <v>2.58</v>
      </c>
      <c r="P100" s="736">
        <v>5.0</v>
      </c>
      <c r="Q100" s="731">
        <f t="shared" si="1"/>
        <v>0</v>
      </c>
      <c r="R100" s="737">
        <v>3.0</v>
      </c>
      <c r="S100" s="736">
        <v>7.0</v>
      </c>
      <c r="T100" s="731"/>
      <c r="U100" s="737">
        <f t="shared" si="2"/>
        <v>2.26</v>
      </c>
      <c r="V100" s="736">
        <v>7.0</v>
      </c>
      <c r="W100" s="731">
        <f t="shared" si="3"/>
        <v>0</v>
      </c>
      <c r="X100" s="737">
        <v>3.0</v>
      </c>
      <c r="Y100" s="736">
        <v>7.0</v>
      </c>
      <c r="Z100" s="736"/>
    </row>
    <row r="101">
      <c r="A101" s="529" t="s">
        <v>140</v>
      </c>
      <c r="B101" s="529" t="s">
        <v>221</v>
      </c>
      <c r="C101" s="737"/>
      <c r="D101" s="736"/>
      <c r="E101" s="731"/>
      <c r="F101" s="737"/>
      <c r="G101" s="736"/>
      <c r="H101" s="731"/>
      <c r="I101" s="778">
        <f>1000/11</f>
        <v>90.90909091</v>
      </c>
      <c r="J101" s="731">
        <f>100/I101</f>
        <v>1.1</v>
      </c>
      <c r="K101" s="731"/>
      <c r="L101" s="734"/>
      <c r="M101" s="731"/>
      <c r="N101" s="731"/>
      <c r="O101" s="745">
        <f t="shared" si="4"/>
        <v>2.58</v>
      </c>
      <c r="P101" s="736">
        <v>4.0</v>
      </c>
      <c r="Q101" s="731">
        <f t="shared" si="1"/>
        <v>0</v>
      </c>
      <c r="R101" s="737">
        <v>2.0</v>
      </c>
      <c r="S101" s="736">
        <v>5.0</v>
      </c>
      <c r="T101" s="731"/>
      <c r="U101" s="737">
        <f t="shared" si="2"/>
        <v>2.26</v>
      </c>
      <c r="V101" s="736">
        <v>5.0</v>
      </c>
      <c r="W101" s="731">
        <f t="shared" si="3"/>
        <v>0</v>
      </c>
      <c r="X101" s="737">
        <v>3.0</v>
      </c>
      <c r="Y101" s="736">
        <v>5.0</v>
      </c>
      <c r="Z101" s="736"/>
    </row>
    <row r="102">
      <c r="A102" s="528"/>
      <c r="B102" s="529" t="s">
        <v>219</v>
      </c>
      <c r="C102" s="737"/>
      <c r="D102" s="736"/>
      <c r="E102" s="731"/>
      <c r="F102" s="737"/>
      <c r="G102" s="736"/>
      <c r="H102" s="731"/>
      <c r="I102" s="734"/>
      <c r="J102" s="731"/>
      <c r="K102" s="731"/>
      <c r="L102" s="734"/>
      <c r="M102" s="731"/>
      <c r="N102" s="731"/>
      <c r="O102" s="745">
        <f t="shared" si="4"/>
        <v>2.58</v>
      </c>
      <c r="P102" s="736">
        <v>5.0</v>
      </c>
      <c r="Q102" s="731">
        <f t="shared" si="1"/>
        <v>0</v>
      </c>
      <c r="R102" s="737">
        <v>3.0</v>
      </c>
      <c r="S102" s="736">
        <v>6.0</v>
      </c>
      <c r="T102" s="731"/>
      <c r="U102" s="737">
        <f t="shared" si="2"/>
        <v>2.26</v>
      </c>
      <c r="V102" s="736">
        <v>6.0</v>
      </c>
      <c r="W102" s="731">
        <f t="shared" si="3"/>
        <v>0</v>
      </c>
      <c r="X102" s="737">
        <v>3.0</v>
      </c>
      <c r="Y102" s="736">
        <v>6.0</v>
      </c>
      <c r="Z102" s="736"/>
    </row>
    <row r="103">
      <c r="A103" s="528"/>
      <c r="B103" s="529" t="s">
        <v>221</v>
      </c>
      <c r="C103" s="737"/>
      <c r="D103" s="736"/>
      <c r="E103" s="731"/>
      <c r="F103" s="737"/>
      <c r="G103" s="736"/>
      <c r="H103" s="731"/>
      <c r="I103" s="777">
        <f>I99/J97</f>
        <v>1.2375</v>
      </c>
      <c r="J103" s="776">
        <f>J99/I97</f>
        <v>1.26984127</v>
      </c>
      <c r="K103" s="731"/>
      <c r="L103" s="734"/>
      <c r="M103" s="731"/>
      <c r="N103" s="731"/>
      <c r="O103" s="745">
        <f t="shared" si="4"/>
        <v>2.58</v>
      </c>
      <c r="P103" s="736">
        <v>4.0</v>
      </c>
      <c r="Q103" s="731">
        <f t="shared" si="1"/>
        <v>0</v>
      </c>
      <c r="R103" s="737">
        <v>2.0</v>
      </c>
      <c r="S103" s="736">
        <v>5.0</v>
      </c>
      <c r="T103" s="731"/>
      <c r="U103" s="737">
        <f t="shared" si="2"/>
        <v>2.26</v>
      </c>
      <c r="V103" s="736">
        <v>5.0</v>
      </c>
      <c r="W103" s="731">
        <f t="shared" si="3"/>
        <v>0</v>
      </c>
      <c r="X103" s="737">
        <v>2.0</v>
      </c>
      <c r="Y103" s="736">
        <v>5.0</v>
      </c>
      <c r="Z103" s="736"/>
    </row>
    <row r="104">
      <c r="A104" s="529" t="s">
        <v>148</v>
      </c>
      <c r="B104" s="529" t="s">
        <v>219</v>
      </c>
      <c r="C104" s="737"/>
      <c r="D104" s="736"/>
      <c r="E104" s="731"/>
      <c r="F104" s="737"/>
      <c r="G104" s="736"/>
      <c r="H104" s="731"/>
      <c r="I104" s="734"/>
      <c r="J104" s="731"/>
      <c r="K104" s="731"/>
      <c r="L104" s="734"/>
      <c r="M104" s="731"/>
      <c r="N104" s="731"/>
      <c r="O104" s="745">
        <f t="shared" si="4"/>
        <v>2.58</v>
      </c>
      <c r="P104" s="736">
        <v>4.0</v>
      </c>
      <c r="Q104" s="731">
        <f t="shared" si="1"/>
        <v>0</v>
      </c>
      <c r="R104" s="737">
        <v>2.0</v>
      </c>
      <c r="S104" s="736">
        <v>5.0</v>
      </c>
      <c r="T104" s="731"/>
      <c r="U104" s="737">
        <f t="shared" si="2"/>
        <v>2.26</v>
      </c>
      <c r="V104" s="736">
        <v>5.0</v>
      </c>
      <c r="W104" s="731">
        <f t="shared" si="3"/>
        <v>0</v>
      </c>
      <c r="X104" s="737">
        <v>2.0</v>
      </c>
      <c r="Y104" s="736">
        <v>5.0</v>
      </c>
      <c r="Z104" s="736"/>
    </row>
    <row r="105">
      <c r="A105" s="528"/>
      <c r="B105" s="529" t="s">
        <v>217</v>
      </c>
      <c r="C105" s="737"/>
      <c r="D105" s="736"/>
      <c r="E105" s="731"/>
      <c r="F105" s="737"/>
      <c r="G105" s="736"/>
      <c r="H105" s="731"/>
      <c r="I105" s="734">
        <f>18/16</f>
        <v>1.125</v>
      </c>
      <c r="J105" s="776">
        <f>8/7</f>
        <v>1.142857143</v>
      </c>
      <c r="K105" s="731"/>
      <c r="L105" s="734"/>
      <c r="M105" s="731"/>
      <c r="N105" s="731"/>
      <c r="O105" s="745">
        <f t="shared" si="4"/>
        <v>2.58</v>
      </c>
      <c r="P105" s="736">
        <v>4.0</v>
      </c>
      <c r="Q105" s="731">
        <f t="shared" si="1"/>
        <v>0</v>
      </c>
      <c r="R105" s="737">
        <v>2.0</v>
      </c>
      <c r="S105" s="736">
        <v>5.0</v>
      </c>
      <c r="T105" s="731"/>
      <c r="U105" s="737">
        <f t="shared" si="2"/>
        <v>2.26</v>
      </c>
      <c r="V105" s="736">
        <v>5.0</v>
      </c>
      <c r="W105" s="731">
        <f t="shared" si="3"/>
        <v>0</v>
      </c>
      <c r="X105" s="737">
        <v>3.0</v>
      </c>
      <c r="Y105" s="736">
        <v>5.0</v>
      </c>
      <c r="Z105" s="736"/>
    </row>
    <row r="106">
      <c r="A106" s="528"/>
      <c r="B106" s="529" t="s">
        <v>221</v>
      </c>
      <c r="C106" s="737"/>
      <c r="D106" s="736"/>
      <c r="E106" s="731"/>
      <c r="F106" s="737"/>
      <c r="G106" s="736"/>
      <c r="H106" s="731"/>
      <c r="I106" s="734"/>
      <c r="J106" s="731"/>
      <c r="K106" s="731"/>
      <c r="L106" s="734"/>
      <c r="M106" s="731"/>
      <c r="N106" s="731"/>
      <c r="O106" s="745">
        <f t="shared" si="4"/>
        <v>2.58</v>
      </c>
      <c r="P106" s="736">
        <v>4.0</v>
      </c>
      <c r="Q106" s="731">
        <f t="shared" si="1"/>
        <v>0</v>
      </c>
      <c r="R106" s="737">
        <v>3.0</v>
      </c>
      <c r="S106" s="736">
        <v>6.0</v>
      </c>
      <c r="T106" s="731"/>
      <c r="U106" s="737">
        <f t="shared" si="2"/>
        <v>2.26</v>
      </c>
      <c r="V106" s="736">
        <v>5.0</v>
      </c>
      <c r="W106" s="731">
        <f t="shared" si="3"/>
        <v>0</v>
      </c>
      <c r="X106" s="737">
        <v>3.0</v>
      </c>
      <c r="Y106" s="736">
        <v>6.0</v>
      </c>
      <c r="Z106" s="736"/>
    </row>
    <row r="107">
      <c r="A107" s="529" t="s">
        <v>386</v>
      </c>
      <c r="B107" s="529" t="s">
        <v>219</v>
      </c>
      <c r="C107" s="737"/>
      <c r="D107" s="736"/>
      <c r="E107" s="731"/>
      <c r="F107" s="737"/>
      <c r="G107" s="736"/>
      <c r="H107" s="731"/>
      <c r="I107" s="734"/>
      <c r="J107" s="731"/>
      <c r="K107" s="731"/>
      <c r="L107" s="734"/>
      <c r="M107" s="731"/>
      <c r="N107" s="731"/>
      <c r="O107" s="745">
        <f t="shared" si="4"/>
        <v>2.58</v>
      </c>
      <c r="P107" s="736">
        <v>5.0</v>
      </c>
      <c r="Q107" s="731">
        <f t="shared" si="1"/>
        <v>0</v>
      </c>
      <c r="R107" s="737">
        <v>3.0</v>
      </c>
      <c r="S107" s="736">
        <v>6.0</v>
      </c>
      <c r="T107" s="731"/>
      <c r="U107" s="737">
        <f t="shared" si="2"/>
        <v>2.26</v>
      </c>
      <c r="V107" s="736">
        <v>6.0</v>
      </c>
      <c r="W107" s="731">
        <f t="shared" si="3"/>
        <v>0</v>
      </c>
      <c r="X107" s="737">
        <v>3.0</v>
      </c>
      <c r="Y107" s="736">
        <v>6.0</v>
      </c>
      <c r="Z107" s="736"/>
    </row>
    <row r="108">
      <c r="A108" s="528"/>
      <c r="B108" s="529" t="s">
        <v>217</v>
      </c>
      <c r="C108" s="737"/>
      <c r="D108" s="736"/>
      <c r="E108" s="731"/>
      <c r="F108" s="737"/>
      <c r="G108" s="736"/>
      <c r="H108" s="731"/>
      <c r="I108" s="734"/>
      <c r="J108" s="731"/>
      <c r="K108" s="731"/>
      <c r="L108" s="734"/>
      <c r="M108" s="731"/>
      <c r="N108" s="731"/>
      <c r="O108" s="745">
        <f t="shared" si="4"/>
        <v>2.58</v>
      </c>
      <c r="P108" s="736">
        <v>5.0</v>
      </c>
      <c r="Q108" s="731">
        <f t="shared" si="1"/>
        <v>0</v>
      </c>
      <c r="R108" s="737">
        <v>3.0</v>
      </c>
      <c r="S108" s="736">
        <v>7.0</v>
      </c>
      <c r="T108" s="731"/>
      <c r="U108" s="737">
        <f t="shared" si="2"/>
        <v>2.26</v>
      </c>
      <c r="V108" s="736">
        <v>7.0</v>
      </c>
      <c r="W108" s="731">
        <f t="shared" si="3"/>
        <v>0</v>
      </c>
      <c r="X108" s="737">
        <v>3.0</v>
      </c>
      <c r="Y108" s="736">
        <v>7.0</v>
      </c>
      <c r="Z108" s="736"/>
    </row>
    <row r="109">
      <c r="A109" s="528"/>
      <c r="B109" s="529" t="s">
        <v>221</v>
      </c>
      <c r="C109" s="737"/>
      <c r="D109" s="736"/>
      <c r="E109" s="731"/>
      <c r="F109" s="737"/>
      <c r="G109" s="736"/>
      <c r="H109" s="731"/>
      <c r="I109" s="734"/>
      <c r="J109" s="731"/>
      <c r="K109" s="731"/>
      <c r="L109" s="734"/>
      <c r="M109" s="731"/>
      <c r="N109" s="731"/>
      <c r="O109" s="745">
        <f t="shared" si="4"/>
        <v>2.58</v>
      </c>
      <c r="P109" s="736">
        <v>9.0</v>
      </c>
      <c r="Q109" s="731">
        <f t="shared" si="1"/>
        <v>0</v>
      </c>
      <c r="R109" s="737">
        <v>5.0</v>
      </c>
      <c r="S109" s="736">
        <v>12.0</v>
      </c>
      <c r="T109" s="731"/>
      <c r="U109" s="737">
        <f t="shared" si="2"/>
        <v>2.26</v>
      </c>
      <c r="V109" s="736">
        <v>12.0</v>
      </c>
      <c r="W109" s="731">
        <f t="shared" si="3"/>
        <v>0</v>
      </c>
      <c r="X109" s="737">
        <v>5.0</v>
      </c>
      <c r="Y109" s="736">
        <v>12.0</v>
      </c>
      <c r="Z109" s="736"/>
    </row>
    <row r="110">
      <c r="A110" s="529" t="s">
        <v>387</v>
      </c>
      <c r="B110" s="529" t="s">
        <v>219</v>
      </c>
      <c r="C110" s="737"/>
      <c r="D110" s="736"/>
      <c r="E110" s="731"/>
      <c r="F110" s="737"/>
      <c r="G110" s="736"/>
      <c r="H110" s="731"/>
      <c r="I110" s="734"/>
      <c r="J110" s="731"/>
      <c r="K110" s="731"/>
      <c r="L110" s="734"/>
      <c r="M110" s="731"/>
      <c r="N110" s="731"/>
      <c r="O110" s="745">
        <f t="shared" si="4"/>
        <v>2.58</v>
      </c>
      <c r="P110" s="736">
        <v>10.0</v>
      </c>
      <c r="Q110" s="731">
        <f t="shared" si="1"/>
        <v>0</v>
      </c>
      <c r="R110" s="737">
        <v>6.0</v>
      </c>
      <c r="S110" s="736">
        <v>13.0</v>
      </c>
      <c r="T110" s="731"/>
      <c r="U110" s="737">
        <f t="shared" si="2"/>
        <v>2.26</v>
      </c>
      <c r="V110" s="736">
        <v>13.0</v>
      </c>
      <c r="W110" s="731">
        <f t="shared" si="3"/>
        <v>0</v>
      </c>
      <c r="X110" s="737">
        <v>6.0</v>
      </c>
      <c r="Y110" s="736">
        <v>13.0</v>
      </c>
      <c r="Z110" s="736"/>
    </row>
    <row r="111">
      <c r="A111" s="528"/>
      <c r="B111" s="529" t="s">
        <v>217</v>
      </c>
      <c r="C111" s="737"/>
      <c r="D111" s="736"/>
      <c r="E111" s="731"/>
      <c r="F111" s="737"/>
      <c r="G111" s="736"/>
      <c r="H111" s="731"/>
      <c r="I111" s="734"/>
      <c r="J111" s="731"/>
      <c r="K111" s="731"/>
      <c r="L111" s="734"/>
      <c r="M111" s="731"/>
      <c r="N111" s="731"/>
      <c r="O111" s="745">
        <f t="shared" si="4"/>
        <v>2.58</v>
      </c>
      <c r="P111" s="736">
        <v>11.0</v>
      </c>
      <c r="Q111" s="731">
        <f t="shared" si="1"/>
        <v>0</v>
      </c>
      <c r="R111" s="737">
        <v>6.0</v>
      </c>
      <c r="S111" s="736">
        <v>14.0</v>
      </c>
      <c r="T111" s="731"/>
      <c r="U111" s="737">
        <f t="shared" si="2"/>
        <v>2.26</v>
      </c>
      <c r="V111" s="736">
        <v>14.0</v>
      </c>
      <c r="W111" s="731">
        <f t="shared" si="3"/>
        <v>0</v>
      </c>
      <c r="X111" s="737">
        <v>6.0</v>
      </c>
      <c r="Y111" s="736">
        <v>14.0</v>
      </c>
      <c r="Z111" s="736"/>
    </row>
    <row r="112">
      <c r="A112" s="528"/>
      <c r="B112" s="529" t="s">
        <v>221</v>
      </c>
      <c r="C112" s="737"/>
      <c r="D112" s="736"/>
      <c r="E112" s="731"/>
      <c r="F112" s="737"/>
      <c r="G112" s="736"/>
      <c r="H112" s="731"/>
      <c r="I112" s="734"/>
      <c r="J112" s="731"/>
      <c r="K112" s="731"/>
      <c r="L112" s="734"/>
      <c r="M112" s="731"/>
      <c r="N112" s="731"/>
      <c r="O112" s="745">
        <f t="shared" si="4"/>
        <v>2.58</v>
      </c>
      <c r="P112" s="736">
        <v>11.0</v>
      </c>
      <c r="Q112" s="731">
        <f t="shared" si="1"/>
        <v>0</v>
      </c>
      <c r="R112" s="737">
        <v>6.0</v>
      </c>
      <c r="S112" s="736">
        <v>15.0</v>
      </c>
      <c r="T112" s="731"/>
      <c r="U112" s="737">
        <f t="shared" si="2"/>
        <v>2.26</v>
      </c>
      <c r="V112" s="736">
        <v>15.0</v>
      </c>
      <c r="W112" s="731">
        <f t="shared" si="3"/>
        <v>0</v>
      </c>
      <c r="X112" s="737">
        <v>7.0</v>
      </c>
      <c r="Y112" s="736">
        <v>15.0</v>
      </c>
      <c r="Z112" s="736"/>
    </row>
    <row r="113">
      <c r="A113" s="529" t="s">
        <v>388</v>
      </c>
      <c r="B113" s="529" t="s">
        <v>219</v>
      </c>
      <c r="C113" s="737"/>
      <c r="D113" s="736"/>
      <c r="E113" s="731"/>
      <c r="F113" s="737"/>
      <c r="G113" s="736"/>
      <c r="H113" s="731"/>
      <c r="I113" s="734"/>
      <c r="J113" s="731"/>
      <c r="K113" s="731"/>
      <c r="L113" s="734"/>
      <c r="M113" s="731"/>
      <c r="N113" s="731"/>
      <c r="O113" s="745">
        <f t="shared" si="4"/>
        <v>2.58</v>
      </c>
      <c r="P113" s="736">
        <v>13.0</v>
      </c>
      <c r="Q113" s="731">
        <f t="shared" si="1"/>
        <v>0</v>
      </c>
      <c r="R113" s="737">
        <v>7.0</v>
      </c>
      <c r="S113" s="736">
        <v>16.0</v>
      </c>
      <c r="T113" s="731"/>
      <c r="U113" s="737">
        <f t="shared" si="2"/>
        <v>2.26</v>
      </c>
      <c r="V113" s="736">
        <v>16.0</v>
      </c>
      <c r="W113" s="731">
        <f t="shared" si="3"/>
        <v>0</v>
      </c>
      <c r="X113" s="737">
        <v>7.0</v>
      </c>
      <c r="Y113" s="736">
        <v>16.0</v>
      </c>
      <c r="Z113" s="736"/>
    </row>
    <row r="114">
      <c r="A114" s="528"/>
      <c r="B114" s="529" t="s">
        <v>217</v>
      </c>
      <c r="C114" s="737"/>
      <c r="D114" s="736"/>
      <c r="E114" s="731"/>
      <c r="F114" s="737"/>
      <c r="G114" s="736"/>
      <c r="H114" s="731"/>
      <c r="I114" s="734"/>
      <c r="J114" s="731"/>
      <c r="K114" s="731"/>
      <c r="L114" s="734"/>
      <c r="M114" s="731"/>
      <c r="N114" s="731"/>
      <c r="O114" s="745">
        <f t="shared" si="4"/>
        <v>2.58</v>
      </c>
      <c r="P114" s="736">
        <v>14.0</v>
      </c>
      <c r="Q114" s="731">
        <f t="shared" si="1"/>
        <v>0</v>
      </c>
      <c r="R114" s="737">
        <v>7.0</v>
      </c>
      <c r="S114" s="736">
        <v>19.0</v>
      </c>
      <c r="T114" s="731"/>
      <c r="U114" s="737">
        <f t="shared" si="2"/>
        <v>2.26</v>
      </c>
      <c r="V114" s="736">
        <v>18.0</v>
      </c>
      <c r="W114" s="731">
        <f t="shared" si="3"/>
        <v>0</v>
      </c>
      <c r="X114" s="737">
        <v>8.0</v>
      </c>
      <c r="Y114" s="736">
        <v>19.0</v>
      </c>
      <c r="Z114" s="731"/>
    </row>
    <row r="115">
      <c r="A115" s="529" t="s">
        <v>167</v>
      </c>
      <c r="B115" s="529" t="s">
        <v>221</v>
      </c>
      <c r="C115" s="737"/>
      <c r="D115" s="736"/>
      <c r="E115" s="731"/>
      <c r="F115" s="737"/>
      <c r="G115" s="736"/>
      <c r="H115" s="731"/>
      <c r="I115" s="734"/>
      <c r="J115" s="731"/>
      <c r="K115" s="731"/>
      <c r="L115" s="734"/>
      <c r="M115" s="731"/>
      <c r="N115" s="731"/>
      <c r="O115" s="745">
        <f t="shared" si="4"/>
        <v>2.58</v>
      </c>
      <c r="P115" s="736">
        <v>4.0</v>
      </c>
      <c r="Q115" s="731">
        <f t="shared" si="1"/>
        <v>0</v>
      </c>
      <c r="R115" s="737">
        <v>2.0</v>
      </c>
      <c r="S115" s="736">
        <v>5.0</v>
      </c>
      <c r="T115" s="731"/>
      <c r="U115" s="737">
        <f t="shared" si="2"/>
        <v>2.26</v>
      </c>
      <c r="V115" s="736">
        <v>5.0</v>
      </c>
      <c r="W115" s="731">
        <f t="shared" si="3"/>
        <v>0</v>
      </c>
      <c r="X115" s="737">
        <v>3.0</v>
      </c>
      <c r="Y115" s="736">
        <v>5.0</v>
      </c>
      <c r="Z115" s="731"/>
    </row>
    <row r="116">
      <c r="A116" s="528"/>
      <c r="B116" s="529" t="s">
        <v>219</v>
      </c>
      <c r="C116" s="737"/>
      <c r="D116" s="736"/>
      <c r="E116" s="731"/>
      <c r="F116" s="737"/>
      <c r="G116" s="736"/>
      <c r="H116" s="731"/>
      <c r="I116" s="734"/>
      <c r="J116" s="731"/>
      <c r="K116" s="731"/>
      <c r="L116" s="734"/>
      <c r="M116" s="731"/>
      <c r="N116" s="731"/>
      <c r="O116" s="745">
        <f t="shared" si="4"/>
        <v>2.58</v>
      </c>
      <c r="P116" s="736">
        <v>5.0</v>
      </c>
      <c r="Q116" s="731">
        <f t="shared" si="1"/>
        <v>0</v>
      </c>
      <c r="R116" s="737">
        <v>3.0</v>
      </c>
      <c r="S116" s="736">
        <v>6.0</v>
      </c>
      <c r="T116" s="731"/>
      <c r="U116" s="737">
        <f t="shared" si="2"/>
        <v>2.26</v>
      </c>
      <c r="V116" s="736">
        <v>6.0</v>
      </c>
      <c r="W116" s="731">
        <f t="shared" si="3"/>
        <v>0</v>
      </c>
      <c r="X116" s="737">
        <v>3.0</v>
      </c>
      <c r="Y116" s="736">
        <v>6.0</v>
      </c>
      <c r="Z116" s="731"/>
    </row>
    <row r="117">
      <c r="A117" s="529" t="s">
        <v>389</v>
      </c>
      <c r="B117" s="529" t="s">
        <v>221</v>
      </c>
      <c r="C117" s="737"/>
      <c r="D117" s="736"/>
      <c r="E117" s="731"/>
      <c r="F117" s="737"/>
      <c r="G117" s="736"/>
      <c r="H117" s="731"/>
      <c r="I117" s="734"/>
      <c r="J117" s="731"/>
      <c r="K117" s="731"/>
      <c r="L117" s="734"/>
      <c r="M117" s="731"/>
      <c r="N117" s="731"/>
      <c r="O117" s="745">
        <f t="shared" si="4"/>
        <v>2.58</v>
      </c>
      <c r="P117" s="736">
        <v>5.0</v>
      </c>
      <c r="Q117" s="731">
        <f t="shared" si="1"/>
        <v>0</v>
      </c>
      <c r="R117" s="737">
        <v>3.0</v>
      </c>
      <c r="S117" s="736">
        <v>7.0</v>
      </c>
      <c r="T117" s="731"/>
      <c r="U117" s="737">
        <f t="shared" si="2"/>
        <v>2.26</v>
      </c>
      <c r="V117" s="736">
        <v>6.0</v>
      </c>
      <c r="W117" s="731">
        <f t="shared" si="3"/>
        <v>0</v>
      </c>
      <c r="X117" s="737">
        <v>3.0</v>
      </c>
      <c r="Y117" s="736">
        <v>7.0</v>
      </c>
      <c r="Z117" s="731"/>
    </row>
    <row r="118">
      <c r="A118" s="528"/>
      <c r="B118" s="529" t="s">
        <v>219</v>
      </c>
      <c r="C118" s="737"/>
      <c r="D118" s="736"/>
      <c r="E118" s="731"/>
      <c r="F118" s="737"/>
      <c r="G118" s="736"/>
      <c r="H118" s="731"/>
      <c r="I118" s="734"/>
      <c r="J118" s="731"/>
      <c r="K118" s="731"/>
      <c r="L118" s="734"/>
      <c r="M118" s="731"/>
      <c r="N118" s="731"/>
      <c r="O118" s="745">
        <f t="shared" si="4"/>
        <v>2.58</v>
      </c>
      <c r="P118" s="736">
        <v>5.0</v>
      </c>
      <c r="Q118" s="731">
        <f t="shared" si="1"/>
        <v>0</v>
      </c>
      <c r="R118" s="737">
        <v>3.0</v>
      </c>
      <c r="S118" s="736">
        <v>7.0</v>
      </c>
      <c r="T118" s="731"/>
      <c r="U118" s="737">
        <f t="shared" si="2"/>
        <v>2.26</v>
      </c>
      <c r="V118" s="736">
        <v>7.0</v>
      </c>
      <c r="W118" s="731">
        <f t="shared" si="3"/>
        <v>0</v>
      </c>
      <c r="X118" s="737">
        <v>3.0</v>
      </c>
      <c r="Y118" s="736">
        <v>7.0</v>
      </c>
      <c r="Z118" s="731"/>
    </row>
    <row r="119">
      <c r="A119" s="529" t="s">
        <v>294</v>
      </c>
      <c r="B119" s="529" t="s">
        <v>221</v>
      </c>
      <c r="C119" s="737"/>
      <c r="D119" s="736"/>
      <c r="E119" s="731"/>
      <c r="F119" s="737"/>
      <c r="G119" s="736"/>
      <c r="H119" s="731"/>
      <c r="I119" s="734"/>
      <c r="J119" s="731"/>
      <c r="K119" s="731"/>
      <c r="L119" s="734"/>
      <c r="M119" s="731"/>
      <c r="N119" s="731"/>
      <c r="O119" s="745">
        <f t="shared" si="4"/>
        <v>2.58</v>
      </c>
      <c r="P119" s="736">
        <v>4.0</v>
      </c>
      <c r="Q119" s="731">
        <f t="shared" si="1"/>
        <v>0</v>
      </c>
      <c r="R119" s="737">
        <v>2.0</v>
      </c>
      <c r="S119" s="736">
        <v>5.0</v>
      </c>
      <c r="T119" s="731"/>
      <c r="U119" s="737">
        <f t="shared" si="2"/>
        <v>2.26</v>
      </c>
      <c r="V119" s="736">
        <v>5.0</v>
      </c>
      <c r="W119" s="731">
        <f t="shared" si="3"/>
        <v>0</v>
      </c>
      <c r="X119" s="737">
        <v>3.0</v>
      </c>
      <c r="Y119" s="736">
        <v>5.0</v>
      </c>
      <c r="Z119" s="731"/>
    </row>
    <row r="120">
      <c r="A120" s="528"/>
      <c r="B120" s="529" t="s">
        <v>219</v>
      </c>
      <c r="C120" s="737"/>
      <c r="D120" s="736"/>
      <c r="E120" s="731"/>
      <c r="F120" s="737"/>
      <c r="G120" s="736"/>
      <c r="H120" s="731"/>
      <c r="I120" s="734"/>
      <c r="J120" s="731"/>
      <c r="K120" s="731"/>
      <c r="L120" s="734"/>
      <c r="M120" s="731"/>
      <c r="N120" s="731"/>
      <c r="O120" s="745">
        <f t="shared" si="4"/>
        <v>2.58</v>
      </c>
      <c r="P120" s="736">
        <v>4.0</v>
      </c>
      <c r="Q120" s="731">
        <f t="shared" si="1"/>
        <v>0</v>
      </c>
      <c r="R120" s="737">
        <v>3.0</v>
      </c>
      <c r="S120" s="736">
        <v>6.0</v>
      </c>
      <c r="T120" s="731"/>
      <c r="U120" s="737">
        <f t="shared" si="2"/>
        <v>2.26</v>
      </c>
      <c r="V120" s="736">
        <v>6.0</v>
      </c>
      <c r="W120" s="731">
        <f t="shared" si="3"/>
        <v>0</v>
      </c>
      <c r="X120" s="737">
        <v>3.0</v>
      </c>
      <c r="Y120" s="736">
        <v>6.0</v>
      </c>
      <c r="Z120" s="731"/>
    </row>
    <row r="121">
      <c r="A121" s="529" t="s">
        <v>390</v>
      </c>
      <c r="B121" s="529" t="s">
        <v>221</v>
      </c>
      <c r="C121" s="737"/>
      <c r="D121" s="736"/>
      <c r="E121" s="731"/>
      <c r="F121" s="737"/>
      <c r="G121" s="736"/>
      <c r="H121" s="731"/>
      <c r="I121" s="734"/>
      <c r="J121" s="731"/>
      <c r="K121" s="731"/>
      <c r="L121" s="734"/>
      <c r="M121" s="731"/>
      <c r="N121" s="731"/>
      <c r="O121" s="745">
        <f t="shared" si="4"/>
        <v>2.58</v>
      </c>
      <c r="P121" s="736">
        <v>5.0</v>
      </c>
      <c r="Q121" s="731">
        <f t="shared" si="1"/>
        <v>0</v>
      </c>
      <c r="R121" s="737">
        <v>3.0</v>
      </c>
      <c r="S121" s="736">
        <v>6.0</v>
      </c>
      <c r="T121" s="731"/>
      <c r="U121" s="737">
        <f t="shared" si="2"/>
        <v>2.26</v>
      </c>
      <c r="V121" s="736">
        <v>6.0</v>
      </c>
      <c r="W121" s="731">
        <f t="shared" si="3"/>
        <v>0</v>
      </c>
      <c r="X121" s="737">
        <v>3.0</v>
      </c>
      <c r="Y121" s="736">
        <v>6.0</v>
      </c>
      <c r="Z121" s="731"/>
    </row>
    <row r="122">
      <c r="A122" s="528"/>
      <c r="B122" s="529" t="s">
        <v>219</v>
      </c>
      <c r="C122" s="737"/>
      <c r="D122" s="736"/>
      <c r="E122" s="731"/>
      <c r="F122" s="737"/>
      <c r="G122" s="736"/>
      <c r="H122" s="731"/>
      <c r="I122" s="734"/>
      <c r="J122" s="731"/>
      <c r="K122" s="731"/>
      <c r="L122" s="734"/>
      <c r="M122" s="731"/>
      <c r="N122" s="731"/>
      <c r="O122" s="745">
        <f t="shared" si="4"/>
        <v>2.58</v>
      </c>
      <c r="P122" s="736">
        <v>5.0</v>
      </c>
      <c r="Q122" s="731">
        <f t="shared" si="1"/>
        <v>0</v>
      </c>
      <c r="R122" s="737">
        <v>3.0</v>
      </c>
      <c r="S122" s="736">
        <v>7.0</v>
      </c>
      <c r="T122" s="731"/>
      <c r="U122" s="737">
        <f t="shared" si="2"/>
        <v>2.26</v>
      </c>
      <c r="V122" s="736">
        <v>7.0</v>
      </c>
      <c r="W122" s="731">
        <f t="shared" si="3"/>
        <v>0</v>
      </c>
      <c r="X122" s="737">
        <v>3.0</v>
      </c>
      <c r="Y122" s="736">
        <v>7.0</v>
      </c>
      <c r="Z122" s="731"/>
    </row>
    <row r="123">
      <c r="A123" s="529" t="s">
        <v>170</v>
      </c>
      <c r="B123" s="529" t="s">
        <v>221</v>
      </c>
      <c r="C123" s="737"/>
      <c r="D123" s="736"/>
      <c r="E123" s="731"/>
      <c r="F123" s="737"/>
      <c r="G123" s="736"/>
      <c r="H123" s="731"/>
      <c r="I123" s="734"/>
      <c r="J123" s="731"/>
      <c r="K123" s="731"/>
      <c r="L123" s="734"/>
      <c r="M123" s="731"/>
      <c r="N123" s="731"/>
      <c r="O123" s="745">
        <f t="shared" si="4"/>
        <v>2.58</v>
      </c>
      <c r="P123" s="736">
        <v>4.0</v>
      </c>
      <c r="Q123" s="731">
        <f t="shared" si="1"/>
        <v>0</v>
      </c>
      <c r="R123" s="737">
        <v>2.0</v>
      </c>
      <c r="S123" s="736">
        <v>5.0</v>
      </c>
      <c r="T123" s="731"/>
      <c r="U123" s="737">
        <f t="shared" si="2"/>
        <v>2.26</v>
      </c>
      <c r="V123" s="736">
        <v>5.0</v>
      </c>
      <c r="W123" s="731">
        <f t="shared" si="3"/>
        <v>0</v>
      </c>
      <c r="X123" s="737">
        <v>3.0</v>
      </c>
      <c r="Y123" s="736">
        <v>5.0</v>
      </c>
      <c r="Z123" s="731"/>
    </row>
    <row r="124">
      <c r="A124" s="528"/>
      <c r="B124" s="529" t="s">
        <v>219</v>
      </c>
      <c r="C124" s="737"/>
      <c r="D124" s="736"/>
      <c r="E124" s="731"/>
      <c r="F124" s="737"/>
      <c r="G124" s="736"/>
      <c r="H124" s="731"/>
      <c r="I124" s="734"/>
      <c r="J124" s="731"/>
      <c r="K124" s="731"/>
      <c r="L124" s="734"/>
      <c r="M124" s="731"/>
      <c r="N124" s="731"/>
      <c r="O124" s="745">
        <f t="shared" si="4"/>
        <v>2.58</v>
      </c>
      <c r="P124" s="736">
        <v>5.0</v>
      </c>
      <c r="Q124" s="731">
        <f t="shared" si="1"/>
        <v>0</v>
      </c>
      <c r="R124" s="737">
        <v>3.0</v>
      </c>
      <c r="S124" s="736">
        <v>6.0</v>
      </c>
      <c r="T124" s="731"/>
      <c r="U124" s="737">
        <f t="shared" si="2"/>
        <v>2.26</v>
      </c>
      <c r="V124" s="736">
        <v>6.0</v>
      </c>
      <c r="W124" s="731">
        <f t="shared" si="3"/>
        <v>0</v>
      </c>
      <c r="X124" s="737">
        <v>3.0</v>
      </c>
      <c r="Y124" s="736">
        <v>6.0</v>
      </c>
      <c r="Z124" s="731"/>
    </row>
    <row r="125">
      <c r="A125" s="529" t="s">
        <v>170</v>
      </c>
      <c r="B125" s="529" t="s">
        <v>221</v>
      </c>
      <c r="C125" s="737"/>
      <c r="D125" s="736"/>
      <c r="E125" s="731"/>
      <c r="F125" s="737"/>
      <c r="G125" s="736"/>
      <c r="H125" s="731"/>
      <c r="I125" s="734"/>
      <c r="J125" s="731"/>
      <c r="K125" s="731"/>
      <c r="L125" s="734"/>
      <c r="M125" s="731"/>
      <c r="N125" s="731"/>
      <c r="O125" s="745">
        <f t="shared" si="4"/>
        <v>2.58</v>
      </c>
      <c r="P125" s="736">
        <v>5.0</v>
      </c>
      <c r="Q125" s="731">
        <f t="shared" si="1"/>
        <v>0</v>
      </c>
      <c r="R125" s="737">
        <v>3.0</v>
      </c>
      <c r="S125" s="736">
        <v>7.0</v>
      </c>
      <c r="T125" s="731"/>
      <c r="U125" s="737">
        <f t="shared" si="2"/>
        <v>2.26</v>
      </c>
      <c r="V125" s="736">
        <v>6.0</v>
      </c>
      <c r="W125" s="731">
        <f t="shared" si="3"/>
        <v>0</v>
      </c>
      <c r="X125" s="737">
        <v>3.0</v>
      </c>
      <c r="Y125" s="736">
        <v>7.0</v>
      </c>
      <c r="Z125" s="731"/>
    </row>
    <row r="126">
      <c r="A126" s="528"/>
      <c r="B126" s="529" t="s">
        <v>219</v>
      </c>
      <c r="C126" s="737"/>
      <c r="D126" s="736"/>
      <c r="E126" s="731"/>
      <c r="F126" s="737"/>
      <c r="G126" s="736"/>
      <c r="H126" s="731"/>
      <c r="I126" s="734"/>
      <c r="J126" s="731"/>
      <c r="K126" s="731"/>
      <c r="L126" s="734"/>
      <c r="M126" s="731"/>
      <c r="N126" s="731"/>
      <c r="O126" s="745">
        <f t="shared" si="4"/>
        <v>2.58</v>
      </c>
      <c r="P126" s="736">
        <v>5.0</v>
      </c>
      <c r="Q126" s="731">
        <f t="shared" si="1"/>
        <v>0</v>
      </c>
      <c r="R126" s="737">
        <v>3.0</v>
      </c>
      <c r="S126" s="736">
        <v>7.0</v>
      </c>
      <c r="T126" s="731"/>
      <c r="U126" s="737">
        <f t="shared" si="2"/>
        <v>2.26</v>
      </c>
      <c r="V126" s="736">
        <v>7.0</v>
      </c>
      <c r="W126" s="731">
        <f t="shared" si="3"/>
        <v>0</v>
      </c>
      <c r="X126" s="737">
        <v>3.0</v>
      </c>
      <c r="Y126" s="736">
        <v>7.0</v>
      </c>
      <c r="Z126" s="731"/>
    </row>
    <row r="127">
      <c r="A127" s="529" t="s">
        <v>37</v>
      </c>
      <c r="B127" s="529" t="s">
        <v>219</v>
      </c>
      <c r="C127" s="737"/>
      <c r="D127" s="736"/>
      <c r="E127" s="731"/>
      <c r="F127" s="737"/>
      <c r="G127" s="736"/>
      <c r="H127" s="731"/>
      <c r="I127" s="734"/>
      <c r="J127" s="736">
        <v>7.0</v>
      </c>
      <c r="K127" s="731"/>
      <c r="L127" s="734"/>
      <c r="M127" s="731"/>
      <c r="N127" s="731"/>
      <c r="O127" s="745">
        <f t="shared" si="4"/>
        <v>2.58</v>
      </c>
      <c r="P127" s="736">
        <v>8.0</v>
      </c>
      <c r="Q127" s="731">
        <f t="shared" si="1"/>
        <v>0</v>
      </c>
      <c r="R127" s="737">
        <v>4.0</v>
      </c>
      <c r="S127" s="736">
        <v>10.0</v>
      </c>
      <c r="T127" s="731"/>
      <c r="U127" s="737">
        <f t="shared" si="2"/>
        <v>2.26</v>
      </c>
      <c r="V127" s="736">
        <v>10.0</v>
      </c>
      <c r="W127" s="731">
        <f t="shared" si="3"/>
        <v>0</v>
      </c>
      <c r="X127" s="737">
        <v>5.0</v>
      </c>
      <c r="Y127" s="736">
        <v>10.0</v>
      </c>
      <c r="Z127" s="736"/>
    </row>
    <row r="128">
      <c r="A128" s="528"/>
      <c r="B128" s="529" t="s">
        <v>217</v>
      </c>
      <c r="C128" s="737"/>
      <c r="D128" s="736"/>
      <c r="E128" s="731"/>
      <c r="F128" s="737"/>
      <c r="G128" s="736"/>
      <c r="H128" s="731"/>
      <c r="I128" s="734"/>
      <c r="J128" s="736">
        <v>8.0</v>
      </c>
      <c r="K128" s="731"/>
      <c r="L128" s="734"/>
      <c r="M128" s="731"/>
      <c r="N128" s="731"/>
      <c r="O128" s="745">
        <f t="shared" si="4"/>
        <v>2.58</v>
      </c>
      <c r="P128" s="736">
        <v>8.0</v>
      </c>
      <c r="Q128" s="731">
        <f t="shared" si="1"/>
        <v>0</v>
      </c>
      <c r="R128" s="737">
        <v>5.0</v>
      </c>
      <c r="S128" s="736">
        <v>11.0</v>
      </c>
      <c r="T128" s="731"/>
      <c r="U128" s="737">
        <f t="shared" si="2"/>
        <v>2.26</v>
      </c>
      <c r="V128" s="736">
        <v>11.0</v>
      </c>
      <c r="W128" s="731">
        <f t="shared" si="3"/>
        <v>0</v>
      </c>
      <c r="X128" s="737">
        <v>5.0</v>
      </c>
      <c r="Y128" s="736">
        <v>11.0</v>
      </c>
      <c r="Z128" s="731"/>
    </row>
    <row r="129">
      <c r="A129" s="529" t="s">
        <v>396</v>
      </c>
      <c r="B129" s="529" t="s">
        <v>221</v>
      </c>
      <c r="C129" s="737"/>
      <c r="D129" s="731"/>
      <c r="E129" s="731"/>
      <c r="F129" s="737"/>
      <c r="G129" s="736"/>
      <c r="H129" s="731"/>
      <c r="I129" s="734"/>
      <c r="J129" s="731"/>
      <c r="K129" s="731"/>
      <c r="L129" s="734"/>
      <c r="M129" s="736">
        <v>5.0</v>
      </c>
      <c r="N129" s="731"/>
      <c r="O129" s="745">
        <f t="shared" si="4"/>
        <v>2.58</v>
      </c>
      <c r="P129" s="736">
        <v>6.0</v>
      </c>
      <c r="Q129" s="731">
        <f t="shared" si="1"/>
        <v>0</v>
      </c>
      <c r="R129" s="737">
        <v>3.0</v>
      </c>
      <c r="S129" s="736">
        <v>7.0</v>
      </c>
      <c r="T129" s="731"/>
      <c r="U129" s="737">
        <f t="shared" si="2"/>
        <v>2.26</v>
      </c>
      <c r="V129" s="736">
        <v>7.0</v>
      </c>
      <c r="W129" s="731">
        <f t="shared" si="3"/>
        <v>0</v>
      </c>
      <c r="X129" s="737">
        <v>3.0</v>
      </c>
      <c r="Y129" s="736">
        <v>7.0</v>
      </c>
      <c r="Z129" s="731"/>
    </row>
    <row r="130">
      <c r="A130" s="529"/>
      <c r="B130" s="529" t="s">
        <v>219</v>
      </c>
      <c r="C130" s="737"/>
      <c r="D130" s="736"/>
      <c r="E130" s="731"/>
      <c r="F130" s="737"/>
      <c r="G130" s="736"/>
      <c r="H130" s="731"/>
      <c r="I130" s="734"/>
      <c r="J130" s="731"/>
      <c r="K130" s="731"/>
      <c r="L130" s="734"/>
      <c r="M130" s="731"/>
      <c r="N130" s="731"/>
      <c r="O130" s="745">
        <f t="shared" si="4"/>
        <v>2.58</v>
      </c>
      <c r="P130" s="736">
        <v>6.0</v>
      </c>
      <c r="Q130" s="731">
        <f t="shared" si="1"/>
        <v>0</v>
      </c>
      <c r="R130" s="737">
        <v>3.0</v>
      </c>
      <c r="S130" s="736">
        <v>8.0</v>
      </c>
      <c r="T130" s="731"/>
      <c r="U130" s="737">
        <f t="shared" si="2"/>
        <v>2.26</v>
      </c>
      <c r="V130" s="736">
        <v>8.0</v>
      </c>
      <c r="W130" s="731">
        <f t="shared" si="3"/>
        <v>0</v>
      </c>
      <c r="X130" s="737">
        <v>4.0</v>
      </c>
      <c r="Y130" s="736">
        <v>8.0</v>
      </c>
      <c r="Z130" s="736"/>
    </row>
    <row r="131">
      <c r="A131" s="529" t="s">
        <v>397</v>
      </c>
      <c r="B131" s="529" t="s">
        <v>221</v>
      </c>
      <c r="C131" s="737"/>
      <c r="D131" s="731"/>
      <c r="E131" s="731"/>
      <c r="F131" s="737"/>
      <c r="G131" s="736"/>
      <c r="H131" s="731"/>
      <c r="I131" s="734"/>
      <c r="J131" s="731"/>
      <c r="K131" s="731"/>
      <c r="L131" s="734"/>
      <c r="M131" s="731"/>
      <c r="N131" s="731"/>
      <c r="O131" s="745">
        <f t="shared" si="4"/>
        <v>2.58</v>
      </c>
      <c r="P131" s="736">
        <v>6.0</v>
      </c>
      <c r="Q131" s="731">
        <f t="shared" si="1"/>
        <v>0</v>
      </c>
      <c r="R131" s="737">
        <v>3.0</v>
      </c>
      <c r="S131" s="736">
        <v>7.0</v>
      </c>
      <c r="T131" s="731"/>
      <c r="U131" s="737">
        <f t="shared" si="2"/>
        <v>2.26</v>
      </c>
      <c r="V131" s="736">
        <v>7.0</v>
      </c>
      <c r="W131" s="731">
        <f t="shared" si="3"/>
        <v>0</v>
      </c>
      <c r="X131" s="737">
        <v>3.0</v>
      </c>
      <c r="Y131" s="736">
        <v>7.0</v>
      </c>
      <c r="Z131" s="736"/>
    </row>
    <row r="132">
      <c r="A132" s="528"/>
      <c r="B132" s="529" t="s">
        <v>219</v>
      </c>
      <c r="C132" s="737"/>
      <c r="D132" s="731"/>
      <c r="E132" s="731"/>
      <c r="F132" s="737"/>
      <c r="G132" s="736"/>
      <c r="H132" s="731"/>
      <c r="I132" s="734"/>
      <c r="J132" s="731"/>
      <c r="K132" s="731"/>
      <c r="L132" s="734"/>
      <c r="M132" s="731"/>
      <c r="N132" s="731"/>
      <c r="O132" s="745">
        <f t="shared" si="4"/>
        <v>2.58</v>
      </c>
      <c r="P132" s="736">
        <v>6.0</v>
      </c>
      <c r="Q132" s="731">
        <f t="shared" si="1"/>
        <v>0</v>
      </c>
      <c r="R132" s="737">
        <v>3.0</v>
      </c>
      <c r="S132" s="736">
        <v>8.0</v>
      </c>
      <c r="T132" s="731"/>
      <c r="U132" s="737">
        <f t="shared" si="2"/>
        <v>2.26</v>
      </c>
      <c r="V132" s="736">
        <v>8.0</v>
      </c>
      <c r="W132" s="731">
        <f t="shared" si="3"/>
        <v>0</v>
      </c>
      <c r="X132" s="737">
        <v>4.0</v>
      </c>
      <c r="Y132" s="736">
        <v>8.0</v>
      </c>
      <c r="Z132" s="731"/>
    </row>
    <row r="133">
      <c r="A133" s="529" t="s">
        <v>64</v>
      </c>
      <c r="B133" s="529" t="s">
        <v>219</v>
      </c>
      <c r="C133" s="737"/>
      <c r="D133" s="736"/>
      <c r="E133" s="731"/>
      <c r="F133" s="737"/>
      <c r="G133" s="736"/>
      <c r="H133" s="731"/>
      <c r="I133" s="734"/>
      <c r="J133" s="731"/>
      <c r="K133" s="731"/>
      <c r="L133" s="734"/>
      <c r="M133" s="731"/>
      <c r="N133" s="731"/>
      <c r="O133" s="745">
        <f t="shared" si="4"/>
        <v>2.58</v>
      </c>
      <c r="P133" s="736">
        <v>7.0</v>
      </c>
      <c r="Q133" s="731">
        <f t="shared" si="1"/>
        <v>0</v>
      </c>
      <c r="R133" s="737">
        <v>4.0</v>
      </c>
      <c r="S133" s="736">
        <v>8.0</v>
      </c>
      <c r="T133" s="731"/>
      <c r="U133" s="737">
        <f t="shared" si="2"/>
        <v>2.26</v>
      </c>
      <c r="V133" s="736">
        <v>8.0</v>
      </c>
      <c r="W133" s="731">
        <f t="shared" si="3"/>
        <v>0</v>
      </c>
      <c r="X133" s="737">
        <v>4.0</v>
      </c>
      <c r="Y133" s="736">
        <v>8.0</v>
      </c>
      <c r="Z133" s="736"/>
    </row>
    <row r="134">
      <c r="A134" s="528"/>
      <c r="B134" s="529" t="s">
        <v>217</v>
      </c>
      <c r="C134" s="737"/>
      <c r="D134" s="731"/>
      <c r="E134" s="731"/>
      <c r="F134" s="737"/>
      <c r="G134" s="736"/>
      <c r="H134" s="731"/>
      <c r="I134" s="734"/>
      <c r="J134" s="731"/>
      <c r="K134" s="731"/>
      <c r="L134" s="734"/>
      <c r="M134" s="731"/>
      <c r="N134" s="731"/>
      <c r="O134" s="745">
        <f t="shared" si="4"/>
        <v>2.58</v>
      </c>
      <c r="P134" s="736">
        <v>7.0</v>
      </c>
      <c r="Q134" s="731">
        <f t="shared" si="1"/>
        <v>0</v>
      </c>
      <c r="R134" s="737">
        <v>4.0</v>
      </c>
      <c r="S134" s="736">
        <v>9.0</v>
      </c>
      <c r="T134" s="731"/>
      <c r="U134" s="737">
        <f t="shared" si="2"/>
        <v>2.26</v>
      </c>
      <c r="V134" s="736">
        <v>9.0</v>
      </c>
      <c r="W134" s="731">
        <f t="shared" si="3"/>
        <v>0</v>
      </c>
      <c r="X134" s="737">
        <v>4.0</v>
      </c>
      <c r="Y134" s="736">
        <v>9.0</v>
      </c>
      <c r="Z134" s="736"/>
    </row>
    <row r="135">
      <c r="A135" s="529" t="s">
        <v>70</v>
      </c>
      <c r="B135" s="529" t="s">
        <v>221</v>
      </c>
      <c r="C135" s="737"/>
      <c r="D135" s="731"/>
      <c r="E135" s="731"/>
      <c r="F135" s="737"/>
      <c r="G135" s="736"/>
      <c r="H135" s="731"/>
      <c r="I135" s="734"/>
      <c r="J135" s="731"/>
      <c r="K135" s="731"/>
      <c r="L135" s="734"/>
      <c r="M135" s="731"/>
      <c r="N135" s="731"/>
      <c r="O135" s="745">
        <f t="shared" si="4"/>
        <v>2.58</v>
      </c>
      <c r="P135" s="736">
        <v>5.0</v>
      </c>
      <c r="Q135" s="731">
        <f t="shared" si="1"/>
        <v>0</v>
      </c>
      <c r="R135" s="737">
        <v>3.0</v>
      </c>
      <c r="S135" s="736">
        <v>6.0</v>
      </c>
      <c r="T135" s="731"/>
      <c r="U135" s="737">
        <f t="shared" si="2"/>
        <v>2.26</v>
      </c>
      <c r="V135" s="736">
        <v>6.0</v>
      </c>
      <c r="W135" s="731">
        <f t="shared" si="3"/>
        <v>0</v>
      </c>
      <c r="X135" s="737">
        <v>3.0</v>
      </c>
      <c r="Y135" s="736">
        <v>6.0</v>
      </c>
      <c r="Z135" s="736"/>
    </row>
    <row r="136">
      <c r="A136" s="528"/>
      <c r="B136" s="529" t="s">
        <v>219</v>
      </c>
      <c r="C136" s="737"/>
      <c r="D136" s="731"/>
      <c r="E136" s="731"/>
      <c r="F136" s="737"/>
      <c r="G136" s="736"/>
      <c r="H136" s="731"/>
      <c r="I136" s="734"/>
      <c r="J136" s="731"/>
      <c r="K136" s="731"/>
      <c r="L136" s="734"/>
      <c r="M136" s="731"/>
      <c r="N136" s="731"/>
      <c r="O136" s="745">
        <f t="shared" si="4"/>
        <v>2.58</v>
      </c>
      <c r="P136" s="736">
        <v>5.0</v>
      </c>
      <c r="Q136" s="731">
        <f t="shared" si="1"/>
        <v>0</v>
      </c>
      <c r="R136" s="737">
        <v>3.0</v>
      </c>
      <c r="S136" s="736">
        <v>6.0</v>
      </c>
      <c r="T136" s="731"/>
      <c r="U136" s="737">
        <f t="shared" si="2"/>
        <v>2.26</v>
      </c>
      <c r="V136" s="736">
        <v>6.0</v>
      </c>
      <c r="W136" s="731">
        <f t="shared" si="3"/>
        <v>0</v>
      </c>
      <c r="X136" s="737">
        <v>3.0</v>
      </c>
      <c r="Y136" s="736">
        <v>6.0</v>
      </c>
      <c r="Z136" s="736"/>
    </row>
    <row r="137">
      <c r="A137" s="529" t="s">
        <v>76</v>
      </c>
      <c r="B137" s="529" t="s">
        <v>221</v>
      </c>
      <c r="C137" s="737"/>
      <c r="D137" s="731"/>
      <c r="E137" s="731"/>
      <c r="F137" s="737"/>
      <c r="G137" s="736"/>
      <c r="H137" s="731"/>
      <c r="I137" s="734"/>
      <c r="J137" s="731"/>
      <c r="K137" s="731"/>
      <c r="L137" s="734"/>
      <c r="M137" s="731"/>
      <c r="N137" s="731"/>
      <c r="O137" s="745">
        <f t="shared" si="4"/>
        <v>2.58</v>
      </c>
      <c r="P137" s="736">
        <v>8.0</v>
      </c>
      <c r="Q137" s="731">
        <f t="shared" si="1"/>
        <v>0</v>
      </c>
      <c r="R137" s="737">
        <v>4.0</v>
      </c>
      <c r="S137" s="736">
        <v>10.0</v>
      </c>
      <c r="T137" s="731"/>
      <c r="U137" s="737">
        <f t="shared" si="2"/>
        <v>2.26</v>
      </c>
      <c r="V137" s="736">
        <v>10.0</v>
      </c>
      <c r="W137" s="731">
        <f t="shared" si="3"/>
        <v>0</v>
      </c>
      <c r="X137" s="737">
        <v>4.0</v>
      </c>
      <c r="Y137" s="736">
        <v>10.0</v>
      </c>
      <c r="Z137" s="736"/>
    </row>
    <row r="138">
      <c r="A138" s="528"/>
      <c r="B138" s="529" t="s">
        <v>219</v>
      </c>
      <c r="C138" s="737"/>
      <c r="D138" s="731"/>
      <c r="E138" s="731"/>
      <c r="F138" s="737"/>
      <c r="G138" s="736"/>
      <c r="H138" s="731"/>
      <c r="I138" s="734"/>
      <c r="J138" s="731"/>
      <c r="K138" s="731"/>
      <c r="L138" s="734"/>
      <c r="M138" s="731"/>
      <c r="N138" s="731"/>
      <c r="O138" s="745">
        <f t="shared" si="4"/>
        <v>2.58</v>
      </c>
      <c r="P138" s="736">
        <v>8.0</v>
      </c>
      <c r="Q138" s="731">
        <f t="shared" si="1"/>
        <v>0</v>
      </c>
      <c r="R138" s="737">
        <v>4.0</v>
      </c>
      <c r="S138" s="736">
        <v>10.0</v>
      </c>
      <c r="T138" s="731"/>
      <c r="U138" s="737">
        <f t="shared" si="2"/>
        <v>2.26</v>
      </c>
      <c r="V138" s="736">
        <v>10.0</v>
      </c>
      <c r="W138" s="731">
        <f t="shared" si="3"/>
        <v>0</v>
      </c>
      <c r="X138" s="737">
        <v>5.0</v>
      </c>
      <c r="Y138" s="736">
        <v>10.0</v>
      </c>
      <c r="Z138" s="736"/>
    </row>
    <row r="139">
      <c r="A139" s="529" t="s">
        <v>39</v>
      </c>
      <c r="B139" s="529" t="s">
        <v>221</v>
      </c>
      <c r="C139" s="737"/>
      <c r="D139" s="731"/>
      <c r="E139" s="731"/>
      <c r="F139" s="737"/>
      <c r="G139" s="736"/>
      <c r="H139" s="731"/>
      <c r="I139" s="734"/>
      <c r="J139" s="736">
        <v>7.0</v>
      </c>
      <c r="K139" s="731"/>
      <c r="L139" s="734"/>
      <c r="M139" s="731"/>
      <c r="N139" s="731"/>
      <c r="O139" s="745">
        <f t="shared" si="4"/>
        <v>2.58</v>
      </c>
      <c r="P139" s="736">
        <v>5.0</v>
      </c>
      <c r="Q139" s="731">
        <f t="shared" si="1"/>
        <v>0</v>
      </c>
      <c r="R139" s="737">
        <v>3.0</v>
      </c>
      <c r="S139" s="736">
        <v>6.0</v>
      </c>
      <c r="T139" s="731"/>
      <c r="U139" s="737">
        <f t="shared" si="2"/>
        <v>2.26</v>
      </c>
      <c r="V139" s="736">
        <v>6.0</v>
      </c>
      <c r="W139" s="731">
        <f t="shared" si="3"/>
        <v>0</v>
      </c>
      <c r="X139" s="737">
        <v>3.0</v>
      </c>
      <c r="Y139" s="736">
        <v>6.0</v>
      </c>
      <c r="Z139" s="736"/>
    </row>
    <row r="140">
      <c r="A140" s="529"/>
      <c r="B140" s="529" t="s">
        <v>219</v>
      </c>
      <c r="C140" s="737"/>
      <c r="D140" s="731"/>
      <c r="E140" s="731"/>
      <c r="F140" s="737"/>
      <c r="G140" s="736"/>
      <c r="H140" s="731"/>
      <c r="I140" s="734"/>
      <c r="J140" s="731"/>
      <c r="K140" s="731"/>
      <c r="L140" s="734"/>
      <c r="M140" s="731"/>
      <c r="N140" s="731"/>
      <c r="O140" s="745">
        <f t="shared" si="4"/>
        <v>2.58</v>
      </c>
      <c r="P140" s="736">
        <v>5.0</v>
      </c>
      <c r="Q140" s="731">
        <f t="shared" si="1"/>
        <v>0</v>
      </c>
      <c r="R140" s="737">
        <v>3.0</v>
      </c>
      <c r="S140" s="736">
        <v>7.0</v>
      </c>
      <c r="T140" s="731"/>
      <c r="U140" s="737">
        <f t="shared" si="2"/>
        <v>2.26</v>
      </c>
      <c r="V140" s="736">
        <v>7.0</v>
      </c>
      <c r="W140" s="731">
        <f t="shared" si="3"/>
        <v>0</v>
      </c>
      <c r="X140" s="737">
        <v>3.0</v>
      </c>
      <c r="Y140" s="736">
        <v>7.0</v>
      </c>
      <c r="Z140" s="736"/>
    </row>
    <row r="141">
      <c r="A141" s="529" t="s">
        <v>398</v>
      </c>
      <c r="B141" s="529" t="s">
        <v>221</v>
      </c>
      <c r="C141" s="737"/>
      <c r="D141" s="731"/>
      <c r="E141" s="731"/>
      <c r="F141" s="737"/>
      <c r="G141" s="736"/>
      <c r="H141" s="731"/>
      <c r="I141" s="734"/>
      <c r="J141" s="731"/>
      <c r="K141" s="731"/>
      <c r="L141" s="734"/>
      <c r="M141" s="731"/>
      <c r="N141" s="731"/>
      <c r="O141" s="745">
        <f t="shared" si="4"/>
        <v>2.58</v>
      </c>
      <c r="P141" s="736">
        <v>6.0</v>
      </c>
      <c r="Q141" s="731">
        <f t="shared" si="1"/>
        <v>0</v>
      </c>
      <c r="R141" s="737">
        <v>3.0</v>
      </c>
      <c r="S141" s="736">
        <v>8.0</v>
      </c>
      <c r="T141" s="731"/>
      <c r="U141" s="737">
        <f t="shared" si="2"/>
        <v>2.26</v>
      </c>
      <c r="V141" s="736">
        <v>8.0</v>
      </c>
      <c r="W141" s="731">
        <f t="shared" si="3"/>
        <v>0</v>
      </c>
      <c r="X141" s="737">
        <v>4.0</v>
      </c>
      <c r="Y141" s="736">
        <v>8.0</v>
      </c>
      <c r="Z141" s="736"/>
    </row>
    <row r="142">
      <c r="A142" s="528"/>
      <c r="B142" s="529" t="s">
        <v>219</v>
      </c>
      <c r="C142" s="737"/>
      <c r="D142" s="731"/>
      <c r="E142" s="731"/>
      <c r="F142" s="737"/>
      <c r="G142" s="736"/>
      <c r="H142" s="731"/>
      <c r="I142" s="734"/>
      <c r="J142" s="731"/>
      <c r="K142" s="731"/>
      <c r="L142" s="734"/>
      <c r="M142" s="731"/>
      <c r="N142" s="731"/>
      <c r="O142" s="745">
        <f t="shared" si="4"/>
        <v>2.58</v>
      </c>
      <c r="P142" s="736">
        <v>6.0</v>
      </c>
      <c r="Q142" s="731">
        <f t="shared" si="1"/>
        <v>0</v>
      </c>
      <c r="R142" s="737">
        <v>4.0</v>
      </c>
      <c r="S142" s="736">
        <v>8.0</v>
      </c>
      <c r="T142" s="731"/>
      <c r="U142" s="737">
        <f t="shared" si="2"/>
        <v>2.26</v>
      </c>
      <c r="V142" s="736">
        <v>8.0</v>
      </c>
      <c r="W142" s="731">
        <f t="shared" si="3"/>
        <v>0</v>
      </c>
      <c r="X142" s="737">
        <v>4.0</v>
      </c>
      <c r="Y142" s="736">
        <v>8.0</v>
      </c>
      <c r="Z142" s="736"/>
    </row>
    <row r="143">
      <c r="A143" s="529" t="s">
        <v>49</v>
      </c>
      <c r="B143" s="529" t="s">
        <v>219</v>
      </c>
      <c r="C143" s="737"/>
      <c r="D143" s="731"/>
      <c r="E143" s="731"/>
      <c r="F143" s="737"/>
      <c r="G143" s="736"/>
      <c r="H143" s="731"/>
      <c r="I143" s="737">
        <v>1.0</v>
      </c>
      <c r="J143" s="736">
        <v>4.0</v>
      </c>
      <c r="K143" s="731"/>
      <c r="L143" s="734"/>
      <c r="M143" s="731"/>
      <c r="N143" s="731"/>
      <c r="O143" s="745">
        <f t="shared" si="4"/>
        <v>2.58</v>
      </c>
      <c r="P143" s="736">
        <v>3.0</v>
      </c>
      <c r="Q143" s="731">
        <f t="shared" si="1"/>
        <v>0</v>
      </c>
      <c r="R143" s="737">
        <v>2.0</v>
      </c>
      <c r="S143" s="736">
        <v>4.0</v>
      </c>
      <c r="T143" s="731"/>
      <c r="U143" s="737">
        <f t="shared" si="2"/>
        <v>2.26</v>
      </c>
      <c r="V143" s="736">
        <v>4.0</v>
      </c>
      <c r="W143" s="731">
        <f t="shared" si="3"/>
        <v>0</v>
      </c>
      <c r="X143" s="737">
        <v>2.0</v>
      </c>
      <c r="Y143" s="736">
        <v>4.0</v>
      </c>
      <c r="Z143" s="736"/>
    </row>
    <row r="144">
      <c r="A144" s="529"/>
      <c r="B144" s="529" t="s">
        <v>217</v>
      </c>
      <c r="C144" s="737"/>
      <c r="D144" s="731"/>
      <c r="E144" s="731"/>
      <c r="F144" s="737"/>
      <c r="G144" s="736"/>
      <c r="H144" s="731"/>
      <c r="I144" s="737">
        <v>1.0</v>
      </c>
      <c r="J144" s="736">
        <v>5.0</v>
      </c>
      <c r="K144" s="731"/>
      <c r="L144" s="734"/>
      <c r="M144" s="731"/>
      <c r="N144" s="731"/>
      <c r="O144" s="745">
        <f t="shared" si="4"/>
        <v>2.58</v>
      </c>
      <c r="P144" s="736">
        <v>3.0</v>
      </c>
      <c r="Q144" s="731">
        <f t="shared" si="1"/>
        <v>0</v>
      </c>
      <c r="R144" s="737">
        <v>2.0</v>
      </c>
      <c r="S144" s="736">
        <v>4.0</v>
      </c>
      <c r="T144" s="731"/>
      <c r="U144" s="737">
        <f t="shared" si="2"/>
        <v>2.26</v>
      </c>
      <c r="V144" s="736">
        <v>4.0</v>
      </c>
      <c r="W144" s="731">
        <f t="shared" si="3"/>
        <v>0</v>
      </c>
      <c r="X144" s="737">
        <v>2.0</v>
      </c>
      <c r="Y144" s="736">
        <v>4.0</v>
      </c>
      <c r="Z144" s="736"/>
    </row>
    <row r="145">
      <c r="A145" s="529" t="s">
        <v>399</v>
      </c>
      <c r="B145" s="529" t="s">
        <v>219</v>
      </c>
      <c r="C145" s="737"/>
      <c r="D145" s="731"/>
      <c r="E145" s="731"/>
      <c r="F145" s="737"/>
      <c r="G145" s="736"/>
      <c r="H145" s="731"/>
      <c r="I145" s="737">
        <v>1.0</v>
      </c>
      <c r="J145" s="736">
        <v>5.0</v>
      </c>
      <c r="K145" s="731"/>
      <c r="L145" s="734"/>
      <c r="M145" s="731"/>
      <c r="N145" s="731"/>
      <c r="O145" s="745">
        <f t="shared" si="4"/>
        <v>2.58</v>
      </c>
      <c r="P145" s="736">
        <v>4.0</v>
      </c>
      <c r="Q145" s="731">
        <f t="shared" si="1"/>
        <v>0</v>
      </c>
      <c r="R145" s="737">
        <v>2.0</v>
      </c>
      <c r="S145" s="736">
        <v>5.0</v>
      </c>
      <c r="T145" s="731"/>
      <c r="U145" s="737">
        <f t="shared" si="2"/>
        <v>2.26</v>
      </c>
      <c r="V145" s="736">
        <v>5.0</v>
      </c>
      <c r="W145" s="731">
        <f t="shared" si="3"/>
        <v>0</v>
      </c>
      <c r="X145" s="737">
        <v>2.0</v>
      </c>
      <c r="Y145" s="736">
        <v>5.0</v>
      </c>
      <c r="Z145" s="736"/>
    </row>
    <row r="146">
      <c r="A146" s="528"/>
      <c r="B146" s="529" t="s">
        <v>217</v>
      </c>
      <c r="C146" s="737"/>
      <c r="D146" s="731"/>
      <c r="E146" s="731"/>
      <c r="F146" s="737"/>
      <c r="G146" s="736"/>
      <c r="H146" s="731"/>
      <c r="I146" s="737">
        <v>1.0</v>
      </c>
      <c r="J146" s="736">
        <v>6.0</v>
      </c>
      <c r="K146" s="731"/>
      <c r="L146" s="734"/>
      <c r="M146" s="731"/>
      <c r="N146" s="731"/>
      <c r="O146" s="745">
        <f t="shared" si="4"/>
        <v>2.58</v>
      </c>
      <c r="P146" s="736">
        <v>4.0</v>
      </c>
      <c r="Q146" s="731">
        <f t="shared" si="1"/>
        <v>0</v>
      </c>
      <c r="R146" s="737">
        <v>2.0</v>
      </c>
      <c r="S146" s="736">
        <v>5.0</v>
      </c>
      <c r="T146" s="731"/>
      <c r="U146" s="737">
        <f t="shared" si="2"/>
        <v>2.26</v>
      </c>
      <c r="V146" s="736">
        <v>5.0</v>
      </c>
      <c r="W146" s="731">
        <f t="shared" si="3"/>
        <v>0</v>
      </c>
      <c r="X146" s="737">
        <v>3.0</v>
      </c>
      <c r="Y146" s="736">
        <v>5.0</v>
      </c>
      <c r="Z146" s="736"/>
    </row>
    <row r="147">
      <c r="A147" s="529" t="s">
        <v>61</v>
      </c>
      <c r="B147" s="529" t="s">
        <v>221</v>
      </c>
      <c r="C147" s="737"/>
      <c r="D147" s="731"/>
      <c r="E147" s="731"/>
      <c r="F147" s="737"/>
      <c r="G147" s="736"/>
      <c r="H147" s="731"/>
      <c r="I147" s="734"/>
      <c r="J147" s="731"/>
      <c r="K147" s="731"/>
      <c r="L147" s="734"/>
      <c r="M147" s="731"/>
      <c r="N147" s="731"/>
      <c r="O147" s="745">
        <f t="shared" si="4"/>
        <v>2.58</v>
      </c>
      <c r="P147" s="736">
        <v>4.0</v>
      </c>
      <c r="Q147" s="731">
        <f t="shared" si="1"/>
        <v>0</v>
      </c>
      <c r="R147" s="737">
        <v>2.0</v>
      </c>
      <c r="S147" s="736">
        <v>5.0</v>
      </c>
      <c r="T147" s="731"/>
      <c r="U147" s="737">
        <f t="shared" si="2"/>
        <v>2.26</v>
      </c>
      <c r="V147" s="736">
        <v>5.0</v>
      </c>
      <c r="W147" s="731">
        <f t="shared" si="3"/>
        <v>0</v>
      </c>
      <c r="X147" s="737">
        <v>3.0</v>
      </c>
      <c r="Y147" s="736">
        <v>5.0</v>
      </c>
      <c r="Z147" s="736"/>
    </row>
    <row r="148">
      <c r="A148" s="528"/>
      <c r="B148" s="529" t="s">
        <v>219</v>
      </c>
      <c r="C148" s="737"/>
      <c r="D148" s="731"/>
      <c r="E148" s="731"/>
      <c r="F148" s="737"/>
      <c r="G148" s="736"/>
      <c r="H148" s="731"/>
      <c r="I148" s="734"/>
      <c r="J148" s="731"/>
      <c r="K148" s="731"/>
      <c r="L148" s="734"/>
      <c r="M148" s="731"/>
      <c r="N148" s="731"/>
      <c r="O148" s="745">
        <f t="shared" si="4"/>
        <v>2.58</v>
      </c>
      <c r="P148" s="736">
        <v>4.0</v>
      </c>
      <c r="Q148" s="731">
        <f t="shared" si="1"/>
        <v>0</v>
      </c>
      <c r="R148" s="737">
        <v>3.0</v>
      </c>
      <c r="S148" s="736">
        <v>6.0</v>
      </c>
      <c r="T148" s="731"/>
      <c r="U148" s="737">
        <f t="shared" si="2"/>
        <v>2.26</v>
      </c>
      <c r="V148" s="736">
        <v>6.0</v>
      </c>
      <c r="W148" s="731">
        <f t="shared" si="3"/>
        <v>0</v>
      </c>
      <c r="X148" s="737">
        <v>3.0</v>
      </c>
      <c r="Y148" s="736">
        <v>6.0</v>
      </c>
      <c r="Z148" s="736"/>
    </row>
    <row r="149">
      <c r="A149" s="529" t="s">
        <v>400</v>
      </c>
      <c r="B149" s="529" t="s">
        <v>221</v>
      </c>
      <c r="C149" s="737"/>
      <c r="D149" s="731"/>
      <c r="E149" s="731"/>
      <c r="F149" s="737"/>
      <c r="G149" s="736"/>
      <c r="H149" s="731"/>
      <c r="I149" s="734"/>
      <c r="J149" s="731"/>
      <c r="K149" s="731"/>
      <c r="L149" s="734"/>
      <c r="M149" s="731"/>
      <c r="N149" s="731"/>
      <c r="O149" s="745">
        <f t="shared" si="4"/>
        <v>2.58</v>
      </c>
      <c r="P149" s="736">
        <v>5.0</v>
      </c>
      <c r="Q149" s="731">
        <f t="shared" si="1"/>
        <v>0</v>
      </c>
      <c r="R149" s="737">
        <v>3.0</v>
      </c>
      <c r="S149" s="736">
        <v>6.0</v>
      </c>
      <c r="T149" s="731"/>
      <c r="U149" s="737">
        <f t="shared" si="2"/>
        <v>2.26</v>
      </c>
      <c r="V149" s="736">
        <v>6.0</v>
      </c>
      <c r="W149" s="731">
        <f t="shared" si="3"/>
        <v>0</v>
      </c>
      <c r="X149" s="737">
        <v>3.0</v>
      </c>
      <c r="Y149" s="736">
        <v>6.0</v>
      </c>
      <c r="Z149" s="736"/>
    </row>
    <row r="150">
      <c r="A150" s="528"/>
      <c r="B150" s="529" t="s">
        <v>219</v>
      </c>
      <c r="C150" s="737"/>
      <c r="D150" s="731"/>
      <c r="E150" s="731"/>
      <c r="F150" s="737"/>
      <c r="G150" s="736"/>
      <c r="H150" s="731"/>
      <c r="I150" s="734"/>
      <c r="J150" s="731"/>
      <c r="K150" s="731"/>
      <c r="L150" s="734"/>
      <c r="M150" s="731"/>
      <c r="N150" s="731"/>
      <c r="O150" s="745">
        <f t="shared" si="4"/>
        <v>2.58</v>
      </c>
      <c r="P150" s="736">
        <v>5.0</v>
      </c>
      <c r="Q150" s="731">
        <f t="shared" si="1"/>
        <v>0</v>
      </c>
      <c r="R150" s="737">
        <v>3.0</v>
      </c>
      <c r="S150" s="736">
        <v>7.0</v>
      </c>
      <c r="T150" s="731"/>
      <c r="U150" s="737">
        <f t="shared" si="2"/>
        <v>2.26</v>
      </c>
      <c r="V150" s="736">
        <v>7.0</v>
      </c>
      <c r="W150" s="731">
        <f t="shared" si="3"/>
        <v>0</v>
      </c>
      <c r="X150" s="737">
        <v>3.0</v>
      </c>
      <c r="Y150" s="736">
        <v>7.0</v>
      </c>
      <c r="Z150" s="736"/>
    </row>
    <row r="151">
      <c r="A151" s="529" t="s">
        <v>66</v>
      </c>
      <c r="B151" s="529" t="s">
        <v>221</v>
      </c>
      <c r="C151" s="737"/>
      <c r="D151" s="731"/>
      <c r="E151" s="731"/>
      <c r="F151" s="737"/>
      <c r="G151" s="736"/>
      <c r="H151" s="731"/>
      <c r="I151" s="734"/>
      <c r="J151" s="731"/>
      <c r="K151" s="731"/>
      <c r="L151" s="734"/>
      <c r="M151" s="731"/>
      <c r="N151" s="731"/>
      <c r="O151" s="745">
        <f t="shared" si="4"/>
        <v>2.58</v>
      </c>
      <c r="P151" s="736">
        <v>4.0</v>
      </c>
      <c r="Q151" s="731">
        <f t="shared" si="1"/>
        <v>0</v>
      </c>
      <c r="R151" s="737">
        <v>2.0</v>
      </c>
      <c r="S151" s="736">
        <v>5.0</v>
      </c>
      <c r="T151" s="731"/>
      <c r="U151" s="737">
        <f t="shared" si="2"/>
        <v>2.26</v>
      </c>
      <c r="V151" s="736">
        <v>5.0</v>
      </c>
      <c r="W151" s="731">
        <f t="shared" si="3"/>
        <v>0</v>
      </c>
      <c r="X151" s="737">
        <v>3.0</v>
      </c>
      <c r="Y151" s="736">
        <v>5.0</v>
      </c>
      <c r="Z151" s="736"/>
    </row>
    <row r="152">
      <c r="A152" s="528"/>
      <c r="B152" s="529" t="s">
        <v>219</v>
      </c>
      <c r="C152" s="737"/>
      <c r="D152" s="731"/>
      <c r="E152" s="731"/>
      <c r="F152" s="737"/>
      <c r="G152" s="736"/>
      <c r="H152" s="731"/>
      <c r="I152" s="734"/>
      <c r="J152" s="731"/>
      <c r="K152" s="731"/>
      <c r="L152" s="734"/>
      <c r="M152" s="731"/>
      <c r="N152" s="731"/>
      <c r="O152" s="745">
        <f t="shared" si="4"/>
        <v>2.58</v>
      </c>
      <c r="P152" s="736">
        <v>4.0</v>
      </c>
      <c r="Q152" s="731">
        <f t="shared" si="1"/>
        <v>0</v>
      </c>
      <c r="R152" s="737">
        <v>3.0</v>
      </c>
      <c r="S152" s="736">
        <v>6.0</v>
      </c>
      <c r="T152" s="731"/>
      <c r="U152" s="737">
        <f t="shared" si="2"/>
        <v>2.26</v>
      </c>
      <c r="V152" s="736">
        <v>6.0</v>
      </c>
      <c r="W152" s="731">
        <f t="shared" si="3"/>
        <v>0</v>
      </c>
      <c r="X152" s="737">
        <v>3.0</v>
      </c>
      <c r="Y152" s="736">
        <v>6.0</v>
      </c>
      <c r="Z152" s="736"/>
    </row>
    <row r="153">
      <c r="A153" s="529" t="s">
        <v>401</v>
      </c>
      <c r="B153" s="529" t="s">
        <v>221</v>
      </c>
      <c r="C153" s="737"/>
      <c r="D153" s="731"/>
      <c r="E153" s="731"/>
      <c r="F153" s="737"/>
      <c r="G153" s="736"/>
      <c r="H153" s="731"/>
      <c r="I153" s="734"/>
      <c r="J153" s="731"/>
      <c r="K153" s="731"/>
      <c r="L153" s="734"/>
      <c r="M153" s="731"/>
      <c r="N153" s="731"/>
      <c r="O153" s="745">
        <f t="shared" si="4"/>
        <v>2.58</v>
      </c>
      <c r="P153" s="736">
        <v>5.0</v>
      </c>
      <c r="Q153" s="731">
        <f t="shared" si="1"/>
        <v>0</v>
      </c>
      <c r="R153" s="737">
        <v>3.0</v>
      </c>
      <c r="S153" s="736">
        <v>6.0</v>
      </c>
      <c r="T153" s="731"/>
      <c r="U153" s="737">
        <f t="shared" si="2"/>
        <v>2.26</v>
      </c>
      <c r="V153" s="736">
        <v>6.0</v>
      </c>
      <c r="W153" s="731">
        <f t="shared" si="3"/>
        <v>0</v>
      </c>
      <c r="X153" s="737">
        <v>3.0</v>
      </c>
      <c r="Y153" s="736">
        <v>6.0</v>
      </c>
      <c r="Z153" s="736"/>
    </row>
    <row r="154">
      <c r="A154" s="528"/>
      <c r="B154" s="529" t="s">
        <v>219</v>
      </c>
      <c r="C154" s="737"/>
      <c r="D154" s="731"/>
      <c r="E154" s="731"/>
      <c r="F154" s="737"/>
      <c r="G154" s="736"/>
      <c r="H154" s="731"/>
      <c r="I154" s="734"/>
      <c r="J154" s="731"/>
      <c r="K154" s="731"/>
      <c r="L154" s="734"/>
      <c r="M154" s="731"/>
      <c r="N154" s="731"/>
      <c r="O154" s="745">
        <f t="shared" si="4"/>
        <v>2.58</v>
      </c>
      <c r="P154" s="736">
        <v>5.0</v>
      </c>
      <c r="Q154" s="731">
        <f t="shared" si="1"/>
        <v>0</v>
      </c>
      <c r="R154" s="737">
        <v>3.0</v>
      </c>
      <c r="S154" s="736">
        <v>7.0</v>
      </c>
      <c r="T154" s="731"/>
      <c r="U154" s="737">
        <f t="shared" si="2"/>
        <v>2.26</v>
      </c>
      <c r="V154" s="736">
        <v>7.0</v>
      </c>
      <c r="W154" s="731">
        <f t="shared" si="3"/>
        <v>0</v>
      </c>
      <c r="X154" s="737">
        <v>3.0</v>
      </c>
      <c r="Y154" s="736">
        <v>7.0</v>
      </c>
      <c r="Z154" s="736"/>
    </row>
    <row r="155">
      <c r="A155" s="529" t="s">
        <v>139</v>
      </c>
      <c r="B155" s="529" t="s">
        <v>219</v>
      </c>
      <c r="C155" s="737"/>
      <c r="D155" s="731"/>
      <c r="E155" s="731"/>
      <c r="F155" s="737"/>
      <c r="G155" s="736"/>
      <c r="H155" s="731"/>
      <c r="I155" s="734"/>
      <c r="J155" s="731"/>
      <c r="K155" s="731"/>
      <c r="L155" s="734"/>
      <c r="M155" s="731"/>
      <c r="N155" s="731"/>
      <c r="O155" s="745">
        <f t="shared" si="4"/>
        <v>2.58</v>
      </c>
      <c r="P155" s="736">
        <v>5.0</v>
      </c>
      <c r="Q155" s="731">
        <f t="shared" si="1"/>
        <v>0</v>
      </c>
      <c r="R155" s="737">
        <v>3.0</v>
      </c>
      <c r="S155" s="736">
        <v>6.0</v>
      </c>
      <c r="T155" s="731"/>
      <c r="U155" s="737">
        <f t="shared" si="2"/>
        <v>2.26</v>
      </c>
      <c r="V155" s="736">
        <v>6.0</v>
      </c>
      <c r="W155" s="731">
        <f t="shared" si="3"/>
        <v>0</v>
      </c>
      <c r="X155" s="737">
        <v>3.0</v>
      </c>
      <c r="Y155" s="736">
        <v>6.0</v>
      </c>
      <c r="Z155" s="736"/>
    </row>
    <row r="156">
      <c r="A156" s="528"/>
      <c r="B156" s="529" t="s">
        <v>217</v>
      </c>
      <c r="C156" s="737"/>
      <c r="D156" s="731"/>
      <c r="E156" s="731"/>
      <c r="F156" s="737"/>
      <c r="G156" s="736"/>
      <c r="H156" s="731"/>
      <c r="I156" s="734"/>
      <c r="J156" s="731"/>
      <c r="K156" s="731"/>
      <c r="L156" s="734"/>
      <c r="M156" s="731"/>
      <c r="N156" s="731"/>
      <c r="O156" s="745">
        <f t="shared" si="4"/>
        <v>2.58</v>
      </c>
      <c r="P156" s="736">
        <v>5.0</v>
      </c>
      <c r="Q156" s="731">
        <f t="shared" si="1"/>
        <v>0</v>
      </c>
      <c r="R156" s="737">
        <v>3.0</v>
      </c>
      <c r="S156" s="736">
        <v>7.0</v>
      </c>
      <c r="T156" s="731"/>
      <c r="U156" s="737">
        <f t="shared" si="2"/>
        <v>2.26</v>
      </c>
      <c r="V156" s="736">
        <v>7.0</v>
      </c>
      <c r="W156" s="731">
        <f t="shared" si="3"/>
        <v>0</v>
      </c>
      <c r="X156" s="737">
        <v>3.0</v>
      </c>
      <c r="Y156" s="736">
        <v>7.0</v>
      </c>
      <c r="Z156" s="736"/>
    </row>
    <row r="157">
      <c r="A157" s="529" t="s">
        <v>402</v>
      </c>
      <c r="B157" s="529" t="s">
        <v>219</v>
      </c>
      <c r="C157" s="737"/>
      <c r="D157" s="731"/>
      <c r="E157" s="731"/>
      <c r="F157" s="737"/>
      <c r="G157" s="736"/>
      <c r="H157" s="731"/>
      <c r="I157" s="734"/>
      <c r="J157" s="731"/>
      <c r="K157" s="731"/>
      <c r="L157" s="734"/>
      <c r="M157" s="731"/>
      <c r="N157" s="731"/>
      <c r="O157" s="745">
        <f t="shared" si="4"/>
        <v>2.58</v>
      </c>
      <c r="P157" s="736">
        <v>6.0</v>
      </c>
      <c r="Q157" s="731">
        <f t="shared" si="1"/>
        <v>0</v>
      </c>
      <c r="R157" s="737">
        <v>3.0</v>
      </c>
      <c r="S157" s="736">
        <v>8.0</v>
      </c>
      <c r="T157" s="731"/>
      <c r="U157" s="737">
        <f t="shared" si="2"/>
        <v>2.26</v>
      </c>
      <c r="V157" s="736">
        <v>8.0</v>
      </c>
      <c r="W157" s="731">
        <f t="shared" si="3"/>
        <v>0</v>
      </c>
      <c r="X157" s="737">
        <v>4.0</v>
      </c>
      <c r="Y157" s="736">
        <v>8.0</v>
      </c>
      <c r="Z157" s="736"/>
    </row>
    <row r="158">
      <c r="A158" s="528"/>
      <c r="B158" s="529" t="s">
        <v>217</v>
      </c>
      <c r="C158" s="737"/>
      <c r="D158" s="731"/>
      <c r="E158" s="731"/>
      <c r="F158" s="737"/>
      <c r="G158" s="736"/>
      <c r="H158" s="731"/>
      <c r="I158" s="734"/>
      <c r="J158" s="731"/>
      <c r="K158" s="731"/>
      <c r="L158" s="734"/>
      <c r="M158" s="731"/>
      <c r="N158" s="731"/>
      <c r="O158" s="745">
        <f t="shared" si="4"/>
        <v>2.58</v>
      </c>
      <c r="P158" s="736">
        <v>7.0</v>
      </c>
      <c r="Q158" s="731">
        <f t="shared" si="1"/>
        <v>0</v>
      </c>
      <c r="R158" s="737">
        <v>4.0</v>
      </c>
      <c r="S158" s="736">
        <v>8.0</v>
      </c>
      <c r="T158" s="731"/>
      <c r="U158" s="737">
        <f t="shared" si="2"/>
        <v>2.26</v>
      </c>
      <c r="V158" s="736">
        <v>8.0</v>
      </c>
      <c r="W158" s="731">
        <f t="shared" si="3"/>
        <v>0</v>
      </c>
      <c r="X158" s="737">
        <v>4.0</v>
      </c>
      <c r="Y158" s="736">
        <v>8.0</v>
      </c>
      <c r="Z158" s="736"/>
    </row>
    <row r="159">
      <c r="A159" s="529" t="s">
        <v>303</v>
      </c>
      <c r="B159" s="529" t="s">
        <v>221</v>
      </c>
      <c r="C159" s="737"/>
      <c r="D159" s="731"/>
      <c r="E159" s="731"/>
      <c r="F159" s="737"/>
      <c r="G159" s="736"/>
      <c r="H159" s="731"/>
      <c r="I159" s="734"/>
      <c r="J159" s="731"/>
      <c r="K159" s="731"/>
      <c r="L159" s="734"/>
      <c r="M159" s="731"/>
      <c r="N159" s="731"/>
      <c r="O159" s="745">
        <f t="shared" si="4"/>
        <v>2.58</v>
      </c>
      <c r="P159" s="736">
        <v>5.0</v>
      </c>
      <c r="Q159" s="731">
        <f t="shared" si="1"/>
        <v>0</v>
      </c>
      <c r="R159" s="737">
        <v>3.0</v>
      </c>
      <c r="S159" s="736">
        <v>7.0</v>
      </c>
      <c r="T159" s="731"/>
      <c r="U159" s="737">
        <f t="shared" si="2"/>
        <v>2.26</v>
      </c>
      <c r="V159" s="736">
        <v>7.0</v>
      </c>
      <c r="W159" s="731">
        <f t="shared" si="3"/>
        <v>0</v>
      </c>
      <c r="X159" s="737">
        <v>3.0</v>
      </c>
      <c r="Y159" s="736">
        <v>7.0</v>
      </c>
      <c r="Z159" s="731"/>
    </row>
    <row r="160">
      <c r="A160" s="529"/>
      <c r="B160" s="529" t="s">
        <v>219</v>
      </c>
      <c r="C160" s="737"/>
      <c r="D160" s="731"/>
      <c r="E160" s="731"/>
      <c r="F160" s="737"/>
      <c r="G160" s="736"/>
      <c r="H160" s="731"/>
      <c r="I160" s="734"/>
      <c r="J160" s="731"/>
      <c r="K160" s="731"/>
      <c r="L160" s="734"/>
      <c r="M160" s="731"/>
      <c r="N160" s="731"/>
      <c r="O160" s="745">
        <f t="shared" si="4"/>
        <v>2.58</v>
      </c>
      <c r="P160" s="736">
        <v>6.0</v>
      </c>
      <c r="Q160" s="731">
        <f t="shared" si="1"/>
        <v>0</v>
      </c>
      <c r="R160" s="737">
        <v>3.0</v>
      </c>
      <c r="S160" s="736">
        <v>7.0</v>
      </c>
      <c r="T160" s="731"/>
      <c r="U160" s="737">
        <f t="shared" si="2"/>
        <v>2.26</v>
      </c>
      <c r="V160" s="736">
        <v>7.0</v>
      </c>
      <c r="W160" s="731">
        <f t="shared" si="3"/>
        <v>0</v>
      </c>
      <c r="X160" s="737">
        <v>3.0</v>
      </c>
      <c r="Y160" s="736">
        <v>7.0</v>
      </c>
      <c r="Z160" s="736"/>
    </row>
    <row r="161">
      <c r="A161" s="529" t="s">
        <v>403</v>
      </c>
      <c r="B161" s="529" t="s">
        <v>221</v>
      </c>
      <c r="C161" s="737"/>
      <c r="D161" s="731"/>
      <c r="E161" s="731"/>
      <c r="F161" s="737"/>
      <c r="G161" s="736"/>
      <c r="H161" s="731"/>
      <c r="I161" s="734"/>
      <c r="J161" s="731"/>
      <c r="K161" s="731"/>
      <c r="L161" s="734"/>
      <c r="M161" s="731"/>
      <c r="N161" s="731"/>
      <c r="O161" s="745">
        <f t="shared" si="4"/>
        <v>2.58</v>
      </c>
      <c r="P161" s="736">
        <v>6.0</v>
      </c>
      <c r="Q161" s="731">
        <f t="shared" si="1"/>
        <v>0</v>
      </c>
      <c r="R161" s="737">
        <v>4.0</v>
      </c>
      <c r="S161" s="736">
        <v>8.0</v>
      </c>
      <c r="T161" s="731"/>
      <c r="U161" s="737">
        <f t="shared" si="2"/>
        <v>2.26</v>
      </c>
      <c r="V161" s="736">
        <v>8.0</v>
      </c>
      <c r="W161" s="731">
        <f t="shared" si="3"/>
        <v>0</v>
      </c>
      <c r="X161" s="737">
        <v>4.0</v>
      </c>
      <c r="Y161" s="736">
        <v>8.0</v>
      </c>
      <c r="Z161" s="736"/>
    </row>
    <row r="162">
      <c r="A162" s="528"/>
      <c r="B162" s="529" t="s">
        <v>219</v>
      </c>
      <c r="C162" s="737"/>
      <c r="D162" s="731"/>
      <c r="E162" s="731"/>
      <c r="F162" s="737"/>
      <c r="G162" s="736"/>
      <c r="H162" s="731"/>
      <c r="I162" s="734"/>
      <c r="J162" s="731"/>
      <c r="K162" s="731"/>
      <c r="L162" s="734"/>
      <c r="M162" s="731"/>
      <c r="N162" s="731"/>
      <c r="O162" s="745">
        <f t="shared" si="4"/>
        <v>2.58</v>
      </c>
      <c r="P162" s="736">
        <v>7.0</v>
      </c>
      <c r="Q162" s="731">
        <f t="shared" si="1"/>
        <v>0</v>
      </c>
      <c r="R162" s="737">
        <v>4.0</v>
      </c>
      <c r="S162" s="736">
        <v>9.0</v>
      </c>
      <c r="T162" s="731"/>
      <c r="U162" s="737">
        <f t="shared" si="2"/>
        <v>2.26</v>
      </c>
      <c r="V162" s="736">
        <v>9.0</v>
      </c>
      <c r="W162" s="731">
        <f t="shared" si="3"/>
        <v>0</v>
      </c>
      <c r="X162" s="737">
        <v>4.0</v>
      </c>
      <c r="Y162" s="736">
        <v>9.0</v>
      </c>
      <c r="Z162" s="731"/>
    </row>
    <row r="163">
      <c r="A163" s="529" t="s">
        <v>77</v>
      </c>
      <c r="B163" s="529" t="s">
        <v>221</v>
      </c>
      <c r="C163" s="737"/>
      <c r="D163" s="731"/>
      <c r="E163" s="731"/>
      <c r="F163" s="737"/>
      <c r="G163" s="736"/>
      <c r="H163" s="731"/>
      <c r="I163" s="734"/>
      <c r="J163" s="731"/>
      <c r="K163" s="731"/>
      <c r="L163" s="734"/>
      <c r="M163" s="731"/>
      <c r="N163" s="731"/>
      <c r="O163" s="745">
        <f t="shared" si="4"/>
        <v>2.58</v>
      </c>
      <c r="P163" s="736">
        <v>4.0</v>
      </c>
      <c r="Q163" s="731">
        <f t="shared" si="1"/>
        <v>0</v>
      </c>
      <c r="R163" s="737">
        <v>2.0</v>
      </c>
      <c r="S163" s="736">
        <v>6.0</v>
      </c>
      <c r="T163" s="731"/>
      <c r="U163" s="737">
        <f t="shared" si="2"/>
        <v>2.26</v>
      </c>
      <c r="V163" s="736">
        <v>5.0</v>
      </c>
      <c r="W163" s="731">
        <f t="shared" si="3"/>
        <v>0</v>
      </c>
      <c r="X163" s="737">
        <v>3.0</v>
      </c>
      <c r="Y163" s="736">
        <v>6.0</v>
      </c>
      <c r="Z163" s="731"/>
    </row>
    <row r="164">
      <c r="A164" s="528"/>
      <c r="B164" s="529" t="s">
        <v>219</v>
      </c>
      <c r="C164" s="737"/>
      <c r="D164" s="731"/>
      <c r="E164" s="731"/>
      <c r="F164" s="737"/>
      <c r="G164" s="736"/>
      <c r="H164" s="731"/>
      <c r="I164" s="734"/>
      <c r="J164" s="731"/>
      <c r="K164" s="731"/>
      <c r="L164" s="734"/>
      <c r="M164" s="731"/>
      <c r="N164" s="731"/>
      <c r="O164" s="745">
        <f t="shared" si="4"/>
        <v>2.58</v>
      </c>
      <c r="P164" s="736">
        <v>5.0</v>
      </c>
      <c r="Q164" s="731">
        <f t="shared" si="1"/>
        <v>0</v>
      </c>
      <c r="R164" s="737">
        <v>3.0</v>
      </c>
      <c r="S164" s="736">
        <v>6.0</v>
      </c>
      <c r="T164" s="731"/>
      <c r="U164" s="737">
        <f t="shared" si="2"/>
        <v>2.26</v>
      </c>
      <c r="V164" s="736">
        <v>6.0</v>
      </c>
      <c r="W164" s="731">
        <f t="shared" si="3"/>
        <v>0</v>
      </c>
      <c r="X164" s="737">
        <v>3.0</v>
      </c>
      <c r="Y164" s="736">
        <v>6.0</v>
      </c>
      <c r="Z164" s="731"/>
    </row>
    <row r="165">
      <c r="A165" s="529" t="s">
        <v>404</v>
      </c>
      <c r="B165" s="529" t="s">
        <v>221</v>
      </c>
      <c r="C165" s="737"/>
      <c r="D165" s="731"/>
      <c r="E165" s="731"/>
      <c r="F165" s="737"/>
      <c r="G165" s="736"/>
      <c r="H165" s="731"/>
      <c r="I165" s="734"/>
      <c r="J165" s="731"/>
      <c r="K165" s="731"/>
      <c r="L165" s="734"/>
      <c r="M165" s="731"/>
      <c r="N165" s="731"/>
      <c r="O165" s="745">
        <f t="shared" si="4"/>
        <v>2.58</v>
      </c>
      <c r="P165" s="736">
        <v>5.0</v>
      </c>
      <c r="Q165" s="731">
        <f t="shared" si="1"/>
        <v>0</v>
      </c>
      <c r="R165" s="737">
        <v>3.0</v>
      </c>
      <c r="S165" s="736">
        <v>7.0</v>
      </c>
      <c r="T165" s="731"/>
      <c r="U165" s="737">
        <f t="shared" si="2"/>
        <v>2.26</v>
      </c>
      <c r="V165" s="736">
        <v>7.0</v>
      </c>
      <c r="W165" s="731">
        <f t="shared" si="3"/>
        <v>0</v>
      </c>
      <c r="X165" s="737">
        <v>3.0</v>
      </c>
      <c r="Y165" s="736">
        <v>7.0</v>
      </c>
      <c r="Z165" s="731"/>
    </row>
    <row r="166">
      <c r="A166" s="528"/>
      <c r="B166" s="529" t="s">
        <v>219</v>
      </c>
      <c r="C166" s="737"/>
      <c r="D166" s="731"/>
      <c r="E166" s="731"/>
      <c r="F166" s="737"/>
      <c r="G166" s="736"/>
      <c r="H166" s="731"/>
      <c r="I166" s="734"/>
      <c r="J166" s="731"/>
      <c r="K166" s="731"/>
      <c r="L166" s="734"/>
      <c r="M166" s="731"/>
      <c r="N166" s="731"/>
      <c r="O166" s="745">
        <f t="shared" si="4"/>
        <v>2.58</v>
      </c>
      <c r="P166" s="736">
        <v>6.0</v>
      </c>
      <c r="Q166" s="731">
        <f t="shared" si="1"/>
        <v>0</v>
      </c>
      <c r="R166" s="737">
        <v>3.0</v>
      </c>
      <c r="S166" s="736">
        <v>7.0</v>
      </c>
      <c r="T166" s="731"/>
      <c r="U166" s="737">
        <f t="shared" si="2"/>
        <v>2.26</v>
      </c>
      <c r="V166" s="736">
        <v>7.0</v>
      </c>
      <c r="W166" s="731">
        <f t="shared" si="3"/>
        <v>0</v>
      </c>
      <c r="X166" s="737">
        <v>3.0</v>
      </c>
      <c r="Y166" s="736">
        <v>7.0</v>
      </c>
      <c r="Z166" s="731"/>
    </row>
    <row r="167">
      <c r="A167" s="529" t="s">
        <v>96</v>
      </c>
      <c r="B167" s="529" t="s">
        <v>221</v>
      </c>
      <c r="C167" s="737"/>
      <c r="D167" s="731"/>
      <c r="E167" s="731"/>
      <c r="F167" s="737"/>
      <c r="G167" s="736"/>
      <c r="H167" s="731"/>
      <c r="I167" s="734"/>
      <c r="J167" s="731"/>
      <c r="K167" s="731"/>
      <c r="L167" s="734"/>
      <c r="M167" s="731"/>
      <c r="N167" s="731"/>
      <c r="O167" s="745">
        <f t="shared" si="4"/>
        <v>2.58</v>
      </c>
      <c r="P167" s="736">
        <v>4.0</v>
      </c>
      <c r="Q167" s="731">
        <f t="shared" si="1"/>
        <v>0</v>
      </c>
      <c r="R167" s="737">
        <v>2.0</v>
      </c>
      <c r="S167" s="736">
        <v>5.0</v>
      </c>
      <c r="T167" s="731"/>
      <c r="U167" s="737">
        <f t="shared" si="2"/>
        <v>2.26</v>
      </c>
      <c r="V167" s="736">
        <v>5.0</v>
      </c>
      <c r="W167" s="731">
        <f t="shared" si="3"/>
        <v>0</v>
      </c>
      <c r="X167" s="737">
        <v>3.0</v>
      </c>
      <c r="Y167" s="736">
        <v>5.0</v>
      </c>
      <c r="Z167" s="731"/>
    </row>
    <row r="168">
      <c r="A168" s="528"/>
      <c r="B168" s="529" t="s">
        <v>219</v>
      </c>
      <c r="C168" s="737"/>
      <c r="D168" s="731"/>
      <c r="E168" s="731"/>
      <c r="F168" s="737"/>
      <c r="G168" s="736"/>
      <c r="H168" s="731"/>
      <c r="I168" s="734"/>
      <c r="J168" s="731"/>
      <c r="K168" s="731"/>
      <c r="L168" s="734"/>
      <c r="M168" s="731"/>
      <c r="N168" s="731"/>
      <c r="O168" s="745">
        <f t="shared" si="4"/>
        <v>2.58</v>
      </c>
      <c r="P168" s="736">
        <v>4.0</v>
      </c>
      <c r="Q168" s="731">
        <f t="shared" si="1"/>
        <v>0</v>
      </c>
      <c r="R168" s="737">
        <v>3.0</v>
      </c>
      <c r="S168" s="736">
        <v>6.0</v>
      </c>
      <c r="T168" s="731"/>
      <c r="U168" s="737">
        <f t="shared" si="2"/>
        <v>2.26</v>
      </c>
      <c r="V168" s="736">
        <v>6.0</v>
      </c>
      <c r="W168" s="731">
        <f t="shared" si="3"/>
        <v>0</v>
      </c>
      <c r="X168" s="737">
        <v>3.0</v>
      </c>
      <c r="Y168" s="736">
        <v>6.0</v>
      </c>
      <c r="Z168" s="731"/>
    </row>
    <row r="169">
      <c r="A169" s="529" t="s">
        <v>405</v>
      </c>
      <c r="B169" s="529" t="s">
        <v>221</v>
      </c>
      <c r="C169" s="737"/>
      <c r="D169" s="731"/>
      <c r="E169" s="731"/>
      <c r="F169" s="737"/>
      <c r="G169" s="736"/>
      <c r="H169" s="731"/>
      <c r="I169" s="734"/>
      <c r="J169" s="731"/>
      <c r="K169" s="731"/>
      <c r="L169" s="734"/>
      <c r="M169" s="731"/>
      <c r="N169" s="731"/>
      <c r="O169" s="745">
        <f t="shared" si="4"/>
        <v>2.58</v>
      </c>
      <c r="P169" s="736">
        <v>5.0</v>
      </c>
      <c r="Q169" s="731">
        <f t="shared" si="1"/>
        <v>0</v>
      </c>
      <c r="R169" s="737">
        <v>3.0</v>
      </c>
      <c r="S169" s="736">
        <v>6.0</v>
      </c>
      <c r="T169" s="731"/>
      <c r="U169" s="737">
        <f t="shared" si="2"/>
        <v>2.26</v>
      </c>
      <c r="V169" s="736">
        <v>6.0</v>
      </c>
      <c r="W169" s="731">
        <f t="shared" si="3"/>
        <v>0</v>
      </c>
      <c r="X169" s="737">
        <v>3.0</v>
      </c>
      <c r="Y169" s="736">
        <v>6.0</v>
      </c>
      <c r="Z169" s="731"/>
    </row>
    <row r="170">
      <c r="A170" s="528"/>
      <c r="B170" s="529" t="s">
        <v>219</v>
      </c>
      <c r="C170" s="737"/>
      <c r="D170" s="731"/>
      <c r="E170" s="731"/>
      <c r="F170" s="737"/>
      <c r="G170" s="736"/>
      <c r="H170" s="731"/>
      <c r="I170" s="734"/>
      <c r="J170" s="731"/>
      <c r="K170" s="731"/>
      <c r="L170" s="734"/>
      <c r="M170" s="731"/>
      <c r="N170" s="731"/>
      <c r="O170" s="745">
        <f t="shared" si="4"/>
        <v>2.58</v>
      </c>
      <c r="P170" s="736">
        <v>5.0</v>
      </c>
      <c r="Q170" s="731">
        <f t="shared" si="1"/>
        <v>0</v>
      </c>
      <c r="R170" s="737">
        <v>3.0</v>
      </c>
      <c r="S170" s="736">
        <v>7.0</v>
      </c>
      <c r="T170" s="731"/>
      <c r="U170" s="737">
        <f t="shared" si="2"/>
        <v>2.26</v>
      </c>
      <c r="V170" s="736">
        <v>7.0</v>
      </c>
      <c r="W170" s="731">
        <f t="shared" si="3"/>
        <v>0</v>
      </c>
      <c r="X170" s="737">
        <v>3.0</v>
      </c>
      <c r="Y170" s="736">
        <v>7.0</v>
      </c>
      <c r="Z170" s="731"/>
    </row>
    <row r="171">
      <c r="A171" s="529" t="s">
        <v>103</v>
      </c>
      <c r="B171" s="529" t="s">
        <v>221</v>
      </c>
      <c r="C171" s="737"/>
      <c r="D171" s="731"/>
      <c r="E171" s="731"/>
      <c r="F171" s="737"/>
      <c r="G171" s="736"/>
      <c r="H171" s="731"/>
      <c r="I171" s="734"/>
      <c r="J171" s="731"/>
      <c r="K171" s="731"/>
      <c r="L171" s="734"/>
      <c r="M171" s="731"/>
      <c r="N171" s="731"/>
      <c r="O171" s="745">
        <f t="shared" si="4"/>
        <v>2.58</v>
      </c>
      <c r="P171" s="736">
        <v>3.0</v>
      </c>
      <c r="Q171" s="731">
        <f t="shared" si="1"/>
        <v>0</v>
      </c>
      <c r="R171" s="737">
        <v>2.0</v>
      </c>
      <c r="S171" s="736">
        <v>4.0</v>
      </c>
      <c r="T171" s="731"/>
      <c r="U171" s="737">
        <f t="shared" si="2"/>
        <v>2.26</v>
      </c>
      <c r="V171" s="736">
        <v>4.0</v>
      </c>
      <c r="W171" s="731">
        <f t="shared" si="3"/>
        <v>0</v>
      </c>
      <c r="X171" s="737">
        <v>2.0</v>
      </c>
      <c r="Y171" s="736">
        <v>4.0</v>
      </c>
      <c r="Z171" s="731"/>
    </row>
    <row r="172">
      <c r="A172" s="528"/>
      <c r="B172" s="529" t="s">
        <v>219</v>
      </c>
      <c r="C172" s="737"/>
      <c r="D172" s="731"/>
      <c r="E172" s="731"/>
      <c r="F172" s="737"/>
      <c r="G172" s="736"/>
      <c r="H172" s="731"/>
      <c r="I172" s="734"/>
      <c r="J172" s="731"/>
      <c r="K172" s="731"/>
      <c r="L172" s="734"/>
      <c r="M172" s="731"/>
      <c r="N172" s="731"/>
      <c r="O172" s="745">
        <f t="shared" si="4"/>
        <v>2.58</v>
      </c>
      <c r="P172" s="736">
        <v>3.0</v>
      </c>
      <c r="Q172" s="731">
        <f t="shared" si="1"/>
        <v>0</v>
      </c>
      <c r="R172" s="737">
        <v>2.0</v>
      </c>
      <c r="S172" s="736">
        <v>4.0</v>
      </c>
      <c r="T172" s="731"/>
      <c r="U172" s="737">
        <f t="shared" si="2"/>
        <v>2.26</v>
      </c>
      <c r="V172" s="736">
        <v>4.0</v>
      </c>
      <c r="W172" s="731">
        <f t="shared" si="3"/>
        <v>0</v>
      </c>
      <c r="X172" s="737">
        <v>2.0</v>
      </c>
      <c r="Y172" s="736">
        <v>4.0</v>
      </c>
      <c r="Z172" s="731"/>
    </row>
    <row r="173">
      <c r="A173" s="529" t="s">
        <v>305</v>
      </c>
      <c r="B173" s="529" t="s">
        <v>221</v>
      </c>
      <c r="C173" s="737"/>
      <c r="D173" s="731"/>
      <c r="E173" s="731"/>
      <c r="F173" s="737"/>
      <c r="G173" s="736"/>
      <c r="H173" s="731"/>
      <c r="I173" s="734"/>
      <c r="J173" s="731"/>
      <c r="K173" s="731"/>
      <c r="L173" s="734"/>
      <c r="M173" s="731"/>
      <c r="N173" s="731"/>
      <c r="O173" s="745">
        <f t="shared" si="4"/>
        <v>2.58</v>
      </c>
      <c r="P173" s="736">
        <v>4.0</v>
      </c>
      <c r="Q173" s="731">
        <f t="shared" si="1"/>
        <v>0</v>
      </c>
      <c r="R173" s="737">
        <v>2.0</v>
      </c>
      <c r="S173" s="736">
        <v>5.0</v>
      </c>
      <c r="T173" s="731"/>
      <c r="U173" s="737">
        <f t="shared" si="2"/>
        <v>2.26</v>
      </c>
      <c r="V173" s="736">
        <v>5.0</v>
      </c>
      <c r="W173" s="731">
        <f t="shared" si="3"/>
        <v>0</v>
      </c>
      <c r="X173" s="737">
        <v>2.0</v>
      </c>
      <c r="Y173" s="736">
        <v>5.0</v>
      </c>
      <c r="Z173" s="731"/>
    </row>
    <row r="174">
      <c r="A174" s="528"/>
      <c r="B174" s="529" t="s">
        <v>219</v>
      </c>
      <c r="C174" s="737"/>
      <c r="D174" s="731"/>
      <c r="E174" s="731"/>
      <c r="F174" s="737"/>
      <c r="G174" s="736"/>
      <c r="H174" s="731"/>
      <c r="I174" s="734"/>
      <c r="J174" s="731"/>
      <c r="K174" s="731"/>
      <c r="L174" s="734"/>
      <c r="M174" s="731"/>
      <c r="N174" s="731"/>
      <c r="O174" s="745">
        <f t="shared" si="4"/>
        <v>2.58</v>
      </c>
      <c r="P174" s="736">
        <v>4.0</v>
      </c>
      <c r="Q174" s="731">
        <f t="shared" si="1"/>
        <v>0</v>
      </c>
      <c r="R174" s="737">
        <v>2.0</v>
      </c>
      <c r="S174" s="736">
        <v>5.0</v>
      </c>
      <c r="T174" s="731"/>
      <c r="U174" s="737">
        <f t="shared" si="2"/>
        <v>2.26</v>
      </c>
      <c r="V174" s="736">
        <v>5.0</v>
      </c>
      <c r="W174" s="731">
        <f t="shared" si="3"/>
        <v>0</v>
      </c>
      <c r="X174" s="737">
        <v>2.0</v>
      </c>
      <c r="Y174" s="736">
        <v>5.0</v>
      </c>
      <c r="Z174" s="731"/>
    </row>
    <row r="175">
      <c r="A175" s="529" t="s">
        <v>406</v>
      </c>
      <c r="B175" s="529" t="s">
        <v>221</v>
      </c>
      <c r="C175" s="737"/>
      <c r="D175" s="731"/>
      <c r="E175" s="731"/>
      <c r="F175" s="737"/>
      <c r="G175" s="736"/>
      <c r="H175" s="731"/>
      <c r="I175" s="734"/>
      <c r="J175" s="731"/>
      <c r="K175" s="731"/>
      <c r="L175" s="734"/>
      <c r="M175" s="731"/>
      <c r="N175" s="731"/>
      <c r="O175" s="745">
        <f t="shared" si="4"/>
        <v>2.58</v>
      </c>
      <c r="P175" s="736">
        <v>4.0</v>
      </c>
      <c r="Q175" s="731">
        <f t="shared" si="1"/>
        <v>0</v>
      </c>
      <c r="R175" s="737">
        <v>3.0</v>
      </c>
      <c r="S175" s="736">
        <v>6.0</v>
      </c>
      <c r="T175" s="731"/>
      <c r="U175" s="737">
        <f t="shared" si="2"/>
        <v>2.26</v>
      </c>
      <c r="V175" s="736">
        <v>6.0</v>
      </c>
      <c r="W175" s="731">
        <f t="shared" si="3"/>
        <v>0</v>
      </c>
      <c r="X175" s="737">
        <v>3.0</v>
      </c>
      <c r="Y175" s="736">
        <v>6.0</v>
      </c>
      <c r="Z175" s="731"/>
    </row>
    <row r="176">
      <c r="A176" s="528"/>
      <c r="B176" s="529" t="s">
        <v>219</v>
      </c>
      <c r="C176" s="737"/>
      <c r="D176" s="731"/>
      <c r="E176" s="731"/>
      <c r="F176" s="737"/>
      <c r="G176" s="736"/>
      <c r="H176" s="731"/>
      <c r="I176" s="734"/>
      <c r="J176" s="731"/>
      <c r="K176" s="731"/>
      <c r="L176" s="734"/>
      <c r="M176" s="731"/>
      <c r="N176" s="731"/>
      <c r="O176" s="745">
        <f t="shared" si="4"/>
        <v>2.58</v>
      </c>
      <c r="P176" s="736">
        <v>5.0</v>
      </c>
      <c r="Q176" s="731">
        <f t="shared" si="1"/>
        <v>0</v>
      </c>
      <c r="R176" s="737">
        <v>3.0</v>
      </c>
      <c r="S176" s="736">
        <v>6.0</v>
      </c>
      <c r="T176" s="731"/>
      <c r="U176" s="737">
        <f t="shared" si="2"/>
        <v>2.26</v>
      </c>
      <c r="V176" s="736">
        <v>6.0</v>
      </c>
      <c r="W176" s="731">
        <f t="shared" si="3"/>
        <v>0</v>
      </c>
      <c r="X176" s="737">
        <v>3.0</v>
      </c>
      <c r="Y176" s="736">
        <v>6.0</v>
      </c>
      <c r="Z176" s="731"/>
    </row>
    <row r="177">
      <c r="A177" s="529" t="s">
        <v>306</v>
      </c>
      <c r="B177" s="529" t="s">
        <v>221</v>
      </c>
      <c r="C177" s="737"/>
      <c r="D177" s="731"/>
      <c r="E177" s="731"/>
      <c r="F177" s="737"/>
      <c r="G177" s="736"/>
      <c r="H177" s="731"/>
      <c r="I177" s="734"/>
      <c r="J177" s="731"/>
      <c r="K177" s="731"/>
      <c r="L177" s="734"/>
      <c r="M177" s="731"/>
      <c r="N177" s="731"/>
      <c r="O177" s="745">
        <f t="shared" si="4"/>
        <v>2.58</v>
      </c>
      <c r="P177" s="736">
        <v>6.0</v>
      </c>
      <c r="Q177" s="731">
        <f t="shared" si="1"/>
        <v>0</v>
      </c>
      <c r="R177" s="737">
        <v>3.0</v>
      </c>
      <c r="S177" s="736">
        <v>7.0</v>
      </c>
      <c r="T177" s="731"/>
      <c r="U177" s="737">
        <f t="shared" si="2"/>
        <v>2.26</v>
      </c>
      <c r="V177" s="736">
        <v>7.0</v>
      </c>
      <c r="W177" s="731">
        <f t="shared" si="3"/>
        <v>0</v>
      </c>
      <c r="X177" s="737">
        <v>3.0</v>
      </c>
      <c r="Y177" s="736">
        <v>7.0</v>
      </c>
      <c r="Z177" s="731"/>
    </row>
    <row r="178">
      <c r="A178" s="528"/>
      <c r="B178" s="529" t="s">
        <v>219</v>
      </c>
      <c r="C178" s="737"/>
      <c r="D178" s="731"/>
      <c r="E178" s="731"/>
      <c r="F178" s="737"/>
      <c r="G178" s="736"/>
      <c r="H178" s="731"/>
      <c r="I178" s="734"/>
      <c r="J178" s="731"/>
      <c r="K178" s="731"/>
      <c r="L178" s="734"/>
      <c r="M178" s="731"/>
      <c r="N178" s="731"/>
      <c r="O178" s="745">
        <f t="shared" si="4"/>
        <v>2.58</v>
      </c>
      <c r="P178" s="736">
        <v>6.0</v>
      </c>
      <c r="Q178" s="731">
        <f t="shared" si="1"/>
        <v>0</v>
      </c>
      <c r="R178" s="737">
        <v>4.0</v>
      </c>
      <c r="S178" s="736">
        <v>8.0</v>
      </c>
      <c r="T178" s="731"/>
      <c r="U178" s="737">
        <f t="shared" si="2"/>
        <v>2.26</v>
      </c>
      <c r="V178" s="736">
        <v>8.0</v>
      </c>
      <c r="W178" s="731">
        <f t="shared" si="3"/>
        <v>0</v>
      </c>
      <c r="X178" s="737">
        <v>4.0</v>
      </c>
      <c r="Y178" s="736">
        <v>8.0</v>
      </c>
      <c r="Z178" s="731"/>
    </row>
    <row r="179">
      <c r="A179" s="529" t="s">
        <v>407</v>
      </c>
      <c r="B179" s="529" t="s">
        <v>221</v>
      </c>
      <c r="C179" s="737"/>
      <c r="D179" s="731"/>
      <c r="E179" s="731"/>
      <c r="F179" s="737"/>
      <c r="G179" s="736"/>
      <c r="H179" s="731"/>
      <c r="I179" s="734"/>
      <c r="J179" s="731"/>
      <c r="K179" s="731"/>
      <c r="L179" s="734"/>
      <c r="M179" s="731"/>
      <c r="N179" s="731"/>
      <c r="O179" s="745">
        <f t="shared" si="4"/>
        <v>2.58</v>
      </c>
      <c r="P179" s="736">
        <v>7.0</v>
      </c>
      <c r="Q179" s="731">
        <f t="shared" si="1"/>
        <v>0</v>
      </c>
      <c r="R179" s="737">
        <v>4.0</v>
      </c>
      <c r="S179" s="736">
        <v>9.0</v>
      </c>
      <c r="T179" s="731"/>
      <c r="U179" s="737">
        <f t="shared" si="2"/>
        <v>2.26</v>
      </c>
      <c r="V179" s="736">
        <v>9.0</v>
      </c>
      <c r="W179" s="731">
        <f t="shared" si="3"/>
        <v>0</v>
      </c>
      <c r="X179" s="737">
        <v>4.0</v>
      </c>
      <c r="Y179" s="736">
        <v>9.0</v>
      </c>
      <c r="Z179" s="731"/>
    </row>
    <row r="180">
      <c r="A180" s="528"/>
      <c r="B180" s="529" t="s">
        <v>219</v>
      </c>
      <c r="C180" s="737"/>
      <c r="D180" s="731"/>
      <c r="E180" s="731"/>
      <c r="F180" s="737"/>
      <c r="G180" s="736"/>
      <c r="H180" s="731"/>
      <c r="I180" s="734"/>
      <c r="J180" s="731"/>
      <c r="K180" s="731"/>
      <c r="L180" s="734"/>
      <c r="M180" s="731"/>
      <c r="N180" s="731"/>
      <c r="O180" s="745">
        <f t="shared" si="4"/>
        <v>2.58</v>
      </c>
      <c r="P180" s="736">
        <v>8.0</v>
      </c>
      <c r="Q180" s="731">
        <f t="shared" si="1"/>
        <v>0</v>
      </c>
      <c r="R180" s="737">
        <v>4.0</v>
      </c>
      <c r="S180" s="736">
        <v>10.0</v>
      </c>
      <c r="T180" s="731"/>
      <c r="U180" s="737">
        <f t="shared" si="2"/>
        <v>2.26</v>
      </c>
      <c r="V180" s="736">
        <v>10.0</v>
      </c>
      <c r="W180" s="731">
        <f t="shared" si="3"/>
        <v>0</v>
      </c>
      <c r="X180" s="737">
        <v>5.0</v>
      </c>
      <c r="Y180" s="736">
        <v>10.0</v>
      </c>
      <c r="Z180" s="731"/>
    </row>
    <row r="181">
      <c r="A181" s="529" t="s">
        <v>137</v>
      </c>
      <c r="B181" s="529" t="s">
        <v>219</v>
      </c>
      <c r="C181" s="737"/>
      <c r="D181" s="731"/>
      <c r="E181" s="731"/>
      <c r="F181" s="737"/>
      <c r="G181" s="736"/>
      <c r="H181" s="731"/>
      <c r="I181" s="734"/>
      <c r="J181" s="731"/>
      <c r="K181" s="731"/>
      <c r="L181" s="734"/>
      <c r="M181" s="731"/>
      <c r="N181" s="731"/>
      <c r="O181" s="745">
        <f t="shared" si="4"/>
        <v>2.58</v>
      </c>
      <c r="P181" s="736">
        <v>6.0</v>
      </c>
      <c r="Q181" s="731">
        <f t="shared" si="1"/>
        <v>0</v>
      </c>
      <c r="R181" s="737">
        <v>3.0</v>
      </c>
      <c r="S181" s="736">
        <v>7.0</v>
      </c>
      <c r="T181" s="731"/>
      <c r="U181" s="737">
        <f t="shared" si="2"/>
        <v>2.26</v>
      </c>
      <c r="V181" s="736">
        <v>7.0</v>
      </c>
      <c r="W181" s="731">
        <f t="shared" si="3"/>
        <v>0</v>
      </c>
      <c r="X181" s="737">
        <v>3.0</v>
      </c>
      <c r="Y181" s="736">
        <v>7.0</v>
      </c>
      <c r="Z181" s="731"/>
    </row>
    <row r="182">
      <c r="A182" s="528"/>
      <c r="B182" s="529" t="s">
        <v>217</v>
      </c>
      <c r="C182" s="737"/>
      <c r="D182" s="731"/>
      <c r="E182" s="731"/>
      <c r="F182" s="737"/>
      <c r="G182" s="736"/>
      <c r="H182" s="731"/>
      <c r="I182" s="734"/>
      <c r="J182" s="731"/>
      <c r="K182" s="731"/>
      <c r="L182" s="734"/>
      <c r="M182" s="731"/>
      <c r="N182" s="731"/>
      <c r="O182" s="745">
        <f t="shared" si="4"/>
        <v>2.58</v>
      </c>
      <c r="P182" s="736">
        <v>6.0</v>
      </c>
      <c r="Q182" s="731">
        <f t="shared" si="1"/>
        <v>0</v>
      </c>
      <c r="R182" s="737">
        <v>4.0</v>
      </c>
      <c r="S182" s="736">
        <v>8.0</v>
      </c>
      <c r="T182" s="731"/>
      <c r="U182" s="737">
        <f t="shared" si="2"/>
        <v>2.26</v>
      </c>
      <c r="V182" s="736">
        <v>8.0</v>
      </c>
      <c r="W182" s="731">
        <f t="shared" si="3"/>
        <v>0</v>
      </c>
      <c r="X182" s="737">
        <v>4.0</v>
      </c>
      <c r="Y182" s="736">
        <v>8.0</v>
      </c>
      <c r="Z182" s="731"/>
    </row>
    <row r="183">
      <c r="A183" s="529" t="s">
        <v>408</v>
      </c>
      <c r="B183" s="529" t="s">
        <v>219</v>
      </c>
      <c r="C183" s="737"/>
      <c r="D183" s="731"/>
      <c r="E183" s="731"/>
      <c r="F183" s="737"/>
      <c r="G183" s="736"/>
      <c r="H183" s="731"/>
      <c r="I183" s="734"/>
      <c r="J183" s="731"/>
      <c r="K183" s="731"/>
      <c r="L183" s="734"/>
      <c r="M183" s="731"/>
      <c r="N183" s="731"/>
      <c r="O183" s="745">
        <f t="shared" si="4"/>
        <v>2.58</v>
      </c>
      <c r="P183" s="736">
        <v>7.0</v>
      </c>
      <c r="Q183" s="731">
        <f t="shared" si="1"/>
        <v>0</v>
      </c>
      <c r="R183" s="737">
        <v>4.0</v>
      </c>
      <c r="S183" s="736">
        <v>9.0</v>
      </c>
      <c r="T183" s="731"/>
      <c r="U183" s="737">
        <f t="shared" si="2"/>
        <v>2.26</v>
      </c>
      <c r="V183" s="736">
        <v>9.0</v>
      </c>
      <c r="W183" s="731">
        <f t="shared" si="3"/>
        <v>0</v>
      </c>
      <c r="X183" s="737">
        <v>4.0</v>
      </c>
      <c r="Y183" s="736">
        <v>9.0</v>
      </c>
      <c r="Z183" s="731"/>
    </row>
    <row r="184">
      <c r="A184" s="528"/>
      <c r="B184" s="529" t="s">
        <v>217</v>
      </c>
      <c r="C184" s="737"/>
      <c r="D184" s="731"/>
      <c r="E184" s="731"/>
      <c r="F184" s="737"/>
      <c r="G184" s="736"/>
      <c r="H184" s="731"/>
      <c r="I184" s="734"/>
      <c r="J184" s="731"/>
      <c r="K184" s="731"/>
      <c r="L184" s="734"/>
      <c r="M184" s="731"/>
      <c r="N184" s="731"/>
      <c r="O184" s="745">
        <f t="shared" si="4"/>
        <v>2.58</v>
      </c>
      <c r="P184" s="736">
        <v>8.0</v>
      </c>
      <c r="Q184" s="731">
        <f t="shared" si="1"/>
        <v>0</v>
      </c>
      <c r="R184" s="737">
        <v>4.0</v>
      </c>
      <c r="S184" s="736">
        <v>10.0</v>
      </c>
      <c r="T184" s="731"/>
      <c r="U184" s="737">
        <f t="shared" si="2"/>
        <v>2.26</v>
      </c>
      <c r="V184" s="736">
        <v>10.0</v>
      </c>
      <c r="W184" s="731">
        <f t="shared" si="3"/>
        <v>0</v>
      </c>
      <c r="X184" s="737">
        <v>5.0</v>
      </c>
      <c r="Y184" s="736">
        <v>10.0</v>
      </c>
      <c r="Z184" s="731"/>
    </row>
    <row r="185">
      <c r="A185" s="529" t="s">
        <v>206</v>
      </c>
      <c r="B185" s="529" t="s">
        <v>221</v>
      </c>
      <c r="C185" s="737">
        <v>1.0</v>
      </c>
      <c r="D185" s="736">
        <v>1.0</v>
      </c>
      <c r="E185" s="731"/>
      <c r="F185" s="737">
        <v>1.0</v>
      </c>
      <c r="G185" s="736">
        <v>1.0</v>
      </c>
      <c r="H185" s="731"/>
      <c r="I185" s="737">
        <v>1.0</v>
      </c>
      <c r="J185" s="736">
        <v>1.0</v>
      </c>
      <c r="K185" s="736"/>
      <c r="L185" s="737">
        <v>1.0</v>
      </c>
      <c r="M185" s="736">
        <v>1.0</v>
      </c>
      <c r="N185" s="731"/>
      <c r="O185" s="745">
        <f t="shared" si="4"/>
        <v>2.58</v>
      </c>
      <c r="P185" s="736">
        <v>1.0</v>
      </c>
      <c r="Q185" s="731">
        <f t="shared" si="1"/>
        <v>0</v>
      </c>
      <c r="R185" s="737">
        <v>1.0</v>
      </c>
      <c r="S185" s="736">
        <v>1.0</v>
      </c>
      <c r="T185" s="731"/>
      <c r="U185" s="737">
        <f t="shared" si="2"/>
        <v>2.26</v>
      </c>
      <c r="V185" s="736">
        <v>1.0</v>
      </c>
      <c r="W185" s="731">
        <f t="shared" si="3"/>
        <v>0</v>
      </c>
      <c r="X185" s="737">
        <v>1.0</v>
      </c>
      <c r="Y185" s="736">
        <v>1.0</v>
      </c>
      <c r="Z185" s="731"/>
    </row>
    <row r="186">
      <c r="A186" s="529"/>
      <c r="B186" s="529" t="s">
        <v>219</v>
      </c>
      <c r="C186" s="737">
        <v>1.0</v>
      </c>
      <c r="D186" s="736">
        <v>1.0</v>
      </c>
      <c r="E186" s="731"/>
      <c r="F186" s="737">
        <v>1.0</v>
      </c>
      <c r="G186" s="736">
        <v>1.0</v>
      </c>
      <c r="H186" s="731"/>
      <c r="I186" s="737">
        <v>1.0</v>
      </c>
      <c r="J186" s="736">
        <v>1.0</v>
      </c>
      <c r="K186" s="731"/>
      <c r="L186" s="737">
        <v>1.0</v>
      </c>
      <c r="M186" s="736">
        <v>1.0</v>
      </c>
      <c r="N186" s="731"/>
      <c r="O186" s="745">
        <f t="shared" si="4"/>
        <v>2.58</v>
      </c>
      <c r="P186" s="736">
        <v>1.0</v>
      </c>
      <c r="Q186" s="731">
        <f t="shared" si="1"/>
        <v>0</v>
      </c>
      <c r="R186" s="737">
        <v>1.0</v>
      </c>
      <c r="S186" s="736">
        <v>1.0</v>
      </c>
      <c r="T186" s="731"/>
      <c r="U186" s="737">
        <f t="shared" si="2"/>
        <v>2.26</v>
      </c>
      <c r="V186" s="736">
        <v>1.0</v>
      </c>
      <c r="W186" s="731">
        <f t="shared" si="3"/>
        <v>0</v>
      </c>
      <c r="X186" s="737">
        <v>1.0</v>
      </c>
      <c r="Y186" s="736">
        <v>1.0</v>
      </c>
      <c r="Z186" s="731"/>
    </row>
    <row r="187">
      <c r="A187" s="529" t="s">
        <v>208</v>
      </c>
      <c r="B187" s="529" t="s">
        <v>221</v>
      </c>
      <c r="C187" s="737">
        <v>1.0</v>
      </c>
      <c r="D187" s="736">
        <v>1.0</v>
      </c>
      <c r="E187" s="731"/>
      <c r="F187" s="737">
        <v>1.0</v>
      </c>
      <c r="G187" s="736">
        <v>2.0</v>
      </c>
      <c r="H187" s="731"/>
      <c r="I187" s="737">
        <v>1.0</v>
      </c>
      <c r="J187" s="736">
        <v>2.0</v>
      </c>
      <c r="K187" s="731"/>
      <c r="L187" s="737">
        <v>1.0</v>
      </c>
      <c r="M187" s="736">
        <v>2.0</v>
      </c>
      <c r="N187" s="731"/>
      <c r="O187" s="745">
        <f t="shared" si="4"/>
        <v>2.58</v>
      </c>
      <c r="P187" s="736">
        <v>2.0</v>
      </c>
      <c r="Q187" s="731">
        <f t="shared" si="1"/>
        <v>0</v>
      </c>
      <c r="R187" s="737">
        <v>1.0</v>
      </c>
      <c r="S187" s="736">
        <v>2.0</v>
      </c>
      <c r="T187" s="731"/>
      <c r="U187" s="737">
        <f t="shared" si="2"/>
        <v>2.26</v>
      </c>
      <c r="V187" s="736">
        <v>2.0</v>
      </c>
      <c r="W187" s="731">
        <f t="shared" si="3"/>
        <v>0</v>
      </c>
      <c r="X187" s="737">
        <v>1.0</v>
      </c>
      <c r="Y187" s="736">
        <v>2.0</v>
      </c>
      <c r="Z187" s="731"/>
    </row>
    <row r="188">
      <c r="A188" s="529"/>
      <c r="B188" s="529" t="s">
        <v>219</v>
      </c>
      <c r="C188" s="737">
        <v>1.0</v>
      </c>
      <c r="D188" s="736">
        <v>1.0</v>
      </c>
      <c r="E188" s="731"/>
      <c r="F188" s="737">
        <v>1.0</v>
      </c>
      <c r="G188" s="736">
        <v>2.0</v>
      </c>
      <c r="H188" s="731"/>
      <c r="I188" s="737">
        <v>1.0</v>
      </c>
      <c r="J188" s="736">
        <v>2.0</v>
      </c>
      <c r="K188" s="731"/>
      <c r="L188" s="737">
        <v>1.0</v>
      </c>
      <c r="M188" s="736">
        <v>2.0</v>
      </c>
      <c r="N188" s="731"/>
      <c r="O188" s="745">
        <f t="shared" si="4"/>
        <v>2.58</v>
      </c>
      <c r="P188" s="736">
        <v>2.0</v>
      </c>
      <c r="Q188" s="731">
        <f t="shared" si="1"/>
        <v>0</v>
      </c>
      <c r="R188" s="737">
        <v>1.0</v>
      </c>
      <c r="S188" s="736">
        <v>2.0</v>
      </c>
      <c r="T188" s="731"/>
      <c r="U188" s="737">
        <f t="shared" si="2"/>
        <v>2.26</v>
      </c>
      <c r="V188" s="736">
        <v>2.0</v>
      </c>
      <c r="W188" s="731">
        <f t="shared" si="3"/>
        <v>0</v>
      </c>
      <c r="X188" s="737">
        <v>1.0</v>
      </c>
      <c r="Y188" s="736">
        <v>2.0</v>
      </c>
      <c r="Z188" s="731"/>
    </row>
    <row r="189">
      <c r="A189" s="529" t="s">
        <v>409</v>
      </c>
      <c r="B189" s="529" t="s">
        <v>221</v>
      </c>
      <c r="C189" s="737">
        <v>1.0</v>
      </c>
      <c r="D189" s="736">
        <v>1.0</v>
      </c>
      <c r="E189" s="731"/>
      <c r="F189" s="737">
        <v>1.0</v>
      </c>
      <c r="G189" s="736">
        <v>2.0</v>
      </c>
      <c r="H189" s="731"/>
      <c r="I189" s="737">
        <v>1.0</v>
      </c>
      <c r="J189" s="736">
        <v>2.0</v>
      </c>
      <c r="K189" s="731"/>
      <c r="L189" s="737">
        <v>1.0</v>
      </c>
      <c r="M189" s="736">
        <v>2.0</v>
      </c>
      <c r="N189" s="731"/>
      <c r="O189" s="745">
        <f t="shared" si="4"/>
        <v>2.58</v>
      </c>
      <c r="P189" s="736">
        <v>2.0</v>
      </c>
      <c r="Q189" s="731">
        <f t="shared" si="1"/>
        <v>0</v>
      </c>
      <c r="R189" s="737">
        <v>1.0</v>
      </c>
      <c r="S189" s="736">
        <v>3.0</v>
      </c>
      <c r="T189" s="731"/>
      <c r="U189" s="737">
        <f t="shared" si="2"/>
        <v>2.26</v>
      </c>
      <c r="V189" s="736">
        <v>3.0</v>
      </c>
      <c r="W189" s="731">
        <f t="shared" si="3"/>
        <v>0</v>
      </c>
      <c r="X189" s="737">
        <v>1.0</v>
      </c>
      <c r="Y189" s="736">
        <v>3.0</v>
      </c>
      <c r="Z189" s="731"/>
    </row>
    <row r="190">
      <c r="A190" s="529"/>
      <c r="B190" s="529" t="s">
        <v>219</v>
      </c>
      <c r="C190" s="737">
        <v>1.0</v>
      </c>
      <c r="D190" s="736">
        <v>2.0</v>
      </c>
      <c r="E190" s="731"/>
      <c r="F190" s="737">
        <v>1.0</v>
      </c>
      <c r="G190" s="736">
        <v>2.0</v>
      </c>
      <c r="H190" s="731"/>
      <c r="I190" s="737">
        <v>1.0</v>
      </c>
      <c r="J190" s="736">
        <v>2.0</v>
      </c>
      <c r="K190" s="731"/>
      <c r="L190" s="737">
        <v>1.0</v>
      </c>
      <c r="M190" s="736">
        <v>2.0</v>
      </c>
      <c r="N190" s="731"/>
      <c r="O190" s="745">
        <f t="shared" si="4"/>
        <v>2.58</v>
      </c>
      <c r="P190" s="736">
        <v>2.0</v>
      </c>
      <c r="Q190" s="731">
        <f t="shared" si="1"/>
        <v>0</v>
      </c>
      <c r="R190" s="737">
        <v>1.0</v>
      </c>
      <c r="S190" s="736">
        <v>3.0</v>
      </c>
      <c r="T190" s="731"/>
      <c r="U190" s="737">
        <f t="shared" si="2"/>
        <v>2.26</v>
      </c>
      <c r="V190" s="736">
        <v>3.0</v>
      </c>
      <c r="W190" s="731">
        <f t="shared" si="3"/>
        <v>0</v>
      </c>
      <c r="X190" s="737">
        <v>2.0</v>
      </c>
      <c r="Y190" s="736">
        <v>3.0</v>
      </c>
      <c r="Z190" s="731"/>
    </row>
    <row r="191">
      <c r="A191" s="529"/>
      <c r="B191" s="529" t="s">
        <v>221</v>
      </c>
      <c r="C191" s="737">
        <v>1.0</v>
      </c>
      <c r="D191" s="736">
        <v>1.0</v>
      </c>
      <c r="E191" s="731"/>
      <c r="F191" s="737">
        <v>1.0</v>
      </c>
      <c r="G191" s="736">
        <v>1.0</v>
      </c>
      <c r="H191" s="731"/>
      <c r="I191" s="737">
        <v>1.0</v>
      </c>
      <c r="J191" s="736">
        <v>1.0</v>
      </c>
      <c r="K191" s="731"/>
      <c r="L191" s="737">
        <v>1.0</v>
      </c>
      <c r="M191" s="736">
        <v>1.0</v>
      </c>
      <c r="N191" s="731"/>
      <c r="O191" s="745">
        <f t="shared" si="4"/>
        <v>2.58</v>
      </c>
      <c r="P191" s="736">
        <v>2.0</v>
      </c>
      <c r="Q191" s="731">
        <f t="shared" si="1"/>
        <v>0</v>
      </c>
      <c r="R191" s="737">
        <v>1.0</v>
      </c>
      <c r="S191" s="736">
        <v>2.0</v>
      </c>
      <c r="T191" s="731"/>
      <c r="U191" s="737">
        <f t="shared" si="2"/>
        <v>2.26</v>
      </c>
      <c r="V191" s="736">
        <v>2.0</v>
      </c>
      <c r="W191" s="731">
        <f t="shared" si="3"/>
        <v>0</v>
      </c>
      <c r="X191" s="737">
        <v>1.0</v>
      </c>
      <c r="Y191" s="736">
        <v>2.0</v>
      </c>
      <c r="Z191" s="731"/>
    </row>
    <row r="192">
      <c r="A192" s="529" t="s">
        <v>209</v>
      </c>
      <c r="B192" s="529" t="s">
        <v>219</v>
      </c>
      <c r="C192" s="737">
        <v>1.0</v>
      </c>
      <c r="D192" s="736">
        <v>1.0</v>
      </c>
      <c r="E192" s="731"/>
      <c r="F192" s="737">
        <v>1.0</v>
      </c>
      <c r="G192" s="736">
        <v>1.0</v>
      </c>
      <c r="H192" s="731"/>
      <c r="I192" s="737">
        <v>1.0</v>
      </c>
      <c r="J192" s="736">
        <v>1.0</v>
      </c>
      <c r="K192" s="731"/>
      <c r="L192" s="737">
        <v>1.0</v>
      </c>
      <c r="M192" s="736">
        <v>1.0</v>
      </c>
      <c r="N192" s="731"/>
      <c r="O192" s="745">
        <f t="shared" si="4"/>
        <v>2.58</v>
      </c>
      <c r="P192" s="736">
        <v>2.0</v>
      </c>
      <c r="Q192" s="731">
        <f t="shared" si="1"/>
        <v>0</v>
      </c>
      <c r="R192" s="737">
        <v>1.0</v>
      </c>
      <c r="S192" s="736">
        <v>2.0</v>
      </c>
      <c r="T192" s="731"/>
      <c r="U192" s="737">
        <f t="shared" si="2"/>
        <v>2.26</v>
      </c>
      <c r="V192" s="736">
        <v>2.0</v>
      </c>
      <c r="W192" s="731">
        <f t="shared" si="3"/>
        <v>0</v>
      </c>
      <c r="X192" s="737">
        <v>1.0</v>
      </c>
      <c r="Y192" s="736">
        <v>2.0</v>
      </c>
      <c r="Z192" s="731"/>
    </row>
    <row r="193">
      <c r="A193" s="529"/>
      <c r="B193" s="529" t="s">
        <v>217</v>
      </c>
      <c r="C193" s="737">
        <v>1.0</v>
      </c>
      <c r="D193" s="736">
        <v>1.0</v>
      </c>
      <c r="E193" s="731"/>
      <c r="F193" s="737">
        <v>1.0</v>
      </c>
      <c r="G193" s="736">
        <v>1.0</v>
      </c>
      <c r="H193" s="731"/>
      <c r="I193" s="737">
        <v>1.0</v>
      </c>
      <c r="J193" s="736">
        <v>1.0</v>
      </c>
      <c r="K193" s="731"/>
      <c r="L193" s="737">
        <v>1.0</v>
      </c>
      <c r="M193" s="736">
        <v>1.0</v>
      </c>
      <c r="N193" s="731"/>
      <c r="O193" s="745">
        <f t="shared" si="4"/>
        <v>2.58</v>
      </c>
      <c r="P193" s="736">
        <v>2.0</v>
      </c>
      <c r="Q193" s="731">
        <f t="shared" si="1"/>
        <v>0</v>
      </c>
      <c r="R193" s="737">
        <v>1.0</v>
      </c>
      <c r="S193" s="736">
        <v>2.0</v>
      </c>
      <c r="T193" s="731"/>
      <c r="U193" s="737">
        <f t="shared" si="2"/>
        <v>2.26</v>
      </c>
      <c r="V193" s="736">
        <v>2.0</v>
      </c>
      <c r="W193" s="731">
        <f t="shared" si="3"/>
        <v>0</v>
      </c>
      <c r="X193" s="737">
        <v>1.0</v>
      </c>
      <c r="Y193" s="736">
        <v>2.0</v>
      </c>
      <c r="Z193" s="731"/>
    </row>
    <row r="194">
      <c r="A194" s="529" t="s">
        <v>259</v>
      </c>
      <c r="B194" s="529"/>
      <c r="C194" s="737">
        <v>1.0</v>
      </c>
      <c r="D194" s="736">
        <v>1.0</v>
      </c>
      <c r="E194" s="731"/>
      <c r="F194" s="737">
        <v>1.0</v>
      </c>
      <c r="G194" s="736">
        <v>1.0</v>
      </c>
      <c r="H194" s="731"/>
      <c r="I194" s="737">
        <v>1.0</v>
      </c>
      <c r="J194" s="736">
        <v>1.0</v>
      </c>
      <c r="K194" s="731"/>
      <c r="L194" s="737">
        <v>1.0</v>
      </c>
      <c r="M194" s="736">
        <v>1.0</v>
      </c>
      <c r="N194" s="731"/>
      <c r="O194" s="745">
        <f t="shared" si="4"/>
        <v>2.58</v>
      </c>
      <c r="P194" s="736">
        <v>2.0</v>
      </c>
      <c r="Q194" s="731">
        <f t="shared" si="1"/>
        <v>0</v>
      </c>
      <c r="R194" s="737">
        <v>1.0</v>
      </c>
      <c r="S194" s="736">
        <v>2.0</v>
      </c>
      <c r="T194" s="731"/>
      <c r="U194" s="737">
        <f t="shared" si="2"/>
        <v>2.26</v>
      </c>
      <c r="V194" s="736">
        <v>2.0</v>
      </c>
      <c r="W194" s="731">
        <f t="shared" si="3"/>
        <v>0</v>
      </c>
      <c r="X194" s="737">
        <v>1.0</v>
      </c>
      <c r="Y194" s="736">
        <v>2.0</v>
      </c>
      <c r="Z194" s="731"/>
    </row>
    <row r="195">
      <c r="A195" s="529" t="s">
        <v>249</v>
      </c>
      <c r="B195" s="529"/>
      <c r="C195" s="737">
        <v>1.0</v>
      </c>
      <c r="D195" s="736">
        <v>1.0</v>
      </c>
      <c r="E195" s="731"/>
      <c r="F195" s="737">
        <v>1.0</v>
      </c>
      <c r="G195" s="736">
        <v>1.0</v>
      </c>
      <c r="H195" s="731"/>
      <c r="I195" s="737">
        <v>1.0</v>
      </c>
      <c r="J195" s="736">
        <v>1.0</v>
      </c>
      <c r="K195" s="731"/>
      <c r="L195" s="737">
        <v>1.0</v>
      </c>
      <c r="M195" s="736">
        <v>1.0</v>
      </c>
      <c r="N195" s="731"/>
      <c r="O195" s="745">
        <f t="shared" si="4"/>
        <v>2.58</v>
      </c>
      <c r="P195" s="736">
        <v>2.0</v>
      </c>
      <c r="Q195" s="731">
        <f t="shared" si="1"/>
        <v>0</v>
      </c>
      <c r="R195" s="737">
        <v>1.0</v>
      </c>
      <c r="S195" s="736">
        <v>2.0</v>
      </c>
      <c r="T195" s="731"/>
      <c r="U195" s="737">
        <f t="shared" si="2"/>
        <v>2.26</v>
      </c>
      <c r="V195" s="736">
        <v>2.0</v>
      </c>
      <c r="W195" s="731">
        <f t="shared" si="3"/>
        <v>0</v>
      </c>
      <c r="X195" s="737">
        <v>1.0</v>
      </c>
      <c r="Y195" s="736">
        <v>2.0</v>
      </c>
      <c r="Z195" s="731"/>
    </row>
    <row r="196">
      <c r="A196" s="529"/>
      <c r="B196" s="529"/>
      <c r="C196" s="737"/>
      <c r="D196" s="731"/>
      <c r="E196" s="731"/>
      <c r="F196" s="737"/>
      <c r="G196" s="736">
        <f>If(3&gt;1&gt;3,1,2)</f>
        <v>1</v>
      </c>
      <c r="H196" s="731"/>
      <c r="I196" s="734"/>
      <c r="J196" s="731"/>
      <c r="K196" s="731"/>
      <c r="L196" s="734"/>
      <c r="M196" s="731"/>
      <c r="N196" s="731"/>
      <c r="O196" s="745">
        <f t="shared" si="4"/>
        <v>2.58</v>
      </c>
      <c r="P196" s="736"/>
      <c r="Q196" s="731">
        <f t="shared" si="1"/>
        <v>0</v>
      </c>
      <c r="R196" s="737"/>
      <c r="S196" s="736"/>
      <c r="T196" s="731"/>
      <c r="U196" s="737">
        <f t="shared" si="2"/>
        <v>2.26</v>
      </c>
      <c r="V196" s="736"/>
      <c r="W196" s="731">
        <f t="shared" si="3"/>
        <v>0</v>
      </c>
      <c r="X196" s="737"/>
      <c r="Y196" s="736"/>
      <c r="Z196" s="731"/>
    </row>
    <row r="197">
      <c r="A197" s="528"/>
      <c r="B197" s="529"/>
      <c r="C197" s="737"/>
      <c r="D197" s="731"/>
      <c r="E197" s="731"/>
      <c r="F197" s="737"/>
      <c r="G197" s="736"/>
      <c r="H197" s="731"/>
      <c r="I197" s="734"/>
      <c r="J197" s="731"/>
      <c r="K197" s="731"/>
      <c r="L197" s="734"/>
      <c r="M197" s="731"/>
      <c r="N197" s="731"/>
      <c r="O197" s="745">
        <f t="shared" si="4"/>
        <v>2.58</v>
      </c>
      <c r="P197" s="736"/>
      <c r="Q197" s="731">
        <f t="shared" si="1"/>
        <v>0</v>
      </c>
      <c r="R197" s="737"/>
      <c r="S197" s="736"/>
      <c r="T197" s="731"/>
      <c r="U197" s="737">
        <f t="shared" si="2"/>
        <v>2.26</v>
      </c>
      <c r="V197" s="736"/>
      <c r="W197" s="731">
        <f t="shared" si="3"/>
        <v>0</v>
      </c>
      <c r="X197" s="737"/>
      <c r="Y197" s="736"/>
      <c r="Z197" s="731"/>
    </row>
    <row r="198">
      <c r="A198" s="529" t="s">
        <v>212</v>
      </c>
      <c r="B198" s="529"/>
      <c r="C198" s="737"/>
      <c r="D198" s="731"/>
      <c r="E198" s="731"/>
      <c r="F198" s="737"/>
      <c r="G198" s="736"/>
      <c r="H198" s="731"/>
      <c r="I198" s="734"/>
      <c r="J198" s="731"/>
      <c r="K198" s="731"/>
      <c r="L198" s="734"/>
      <c r="M198" s="731"/>
      <c r="N198" s="731"/>
      <c r="O198" s="745">
        <f t="shared" si="4"/>
        <v>2.58</v>
      </c>
      <c r="P198" s="736">
        <v>8.0</v>
      </c>
      <c r="Q198" s="731">
        <f t="shared" si="1"/>
        <v>0</v>
      </c>
      <c r="R198" s="737">
        <v>5.0</v>
      </c>
      <c r="S198" s="736">
        <v>11.0</v>
      </c>
      <c r="T198" s="731"/>
      <c r="U198" s="737">
        <f t="shared" si="2"/>
        <v>2.26</v>
      </c>
      <c r="V198" s="736">
        <v>11.0</v>
      </c>
      <c r="W198" s="731">
        <f t="shared" si="3"/>
        <v>0</v>
      </c>
      <c r="X198" s="737">
        <v>5.0</v>
      </c>
      <c r="Y198" s="736">
        <v>11.0</v>
      </c>
      <c r="Z198" s="736"/>
    </row>
    <row r="199">
      <c r="A199" s="529" t="s">
        <v>214</v>
      </c>
      <c r="B199" s="529"/>
      <c r="C199" s="737"/>
      <c r="D199" s="731"/>
      <c r="E199" s="731"/>
      <c r="F199" s="737"/>
      <c r="G199" s="736"/>
      <c r="H199" s="731"/>
      <c r="I199" s="734"/>
      <c r="J199" s="736">
        <v>7.0</v>
      </c>
      <c r="K199" s="731"/>
      <c r="L199" s="734"/>
      <c r="M199" s="736">
        <v>7.0</v>
      </c>
      <c r="N199" s="731"/>
      <c r="O199" s="745">
        <f t="shared" si="4"/>
        <v>2.58</v>
      </c>
      <c r="P199" s="736">
        <v>8.0</v>
      </c>
      <c r="Q199" s="731">
        <f t="shared" si="1"/>
        <v>0</v>
      </c>
      <c r="R199" s="737">
        <v>4.0</v>
      </c>
      <c r="S199" s="736">
        <v>10.0</v>
      </c>
      <c r="T199" s="731"/>
      <c r="U199" s="737">
        <f t="shared" si="2"/>
        <v>2.26</v>
      </c>
      <c r="V199" s="736">
        <v>10.0</v>
      </c>
      <c r="W199" s="731">
        <f t="shared" si="3"/>
        <v>0</v>
      </c>
      <c r="X199" s="737">
        <v>5.0</v>
      </c>
      <c r="Y199" s="736">
        <v>10.0</v>
      </c>
      <c r="Z199" s="736"/>
    </row>
    <row r="200">
      <c r="A200" s="529" t="s">
        <v>229</v>
      </c>
      <c r="B200" s="529"/>
      <c r="C200" s="737"/>
      <c r="D200" s="731"/>
      <c r="E200" s="731"/>
      <c r="F200" s="737"/>
      <c r="G200" s="736"/>
      <c r="H200" s="731"/>
      <c r="I200" s="734"/>
      <c r="J200" s="731"/>
      <c r="K200" s="731"/>
      <c r="L200" s="734"/>
      <c r="M200" s="731"/>
      <c r="N200" s="731"/>
      <c r="O200" s="745">
        <f t="shared" si="4"/>
        <v>2.58</v>
      </c>
      <c r="P200" s="736">
        <v>8.0</v>
      </c>
      <c r="Q200" s="731">
        <f t="shared" si="1"/>
        <v>0</v>
      </c>
      <c r="R200" s="737">
        <v>5.0</v>
      </c>
      <c r="S200" s="736">
        <v>11.0</v>
      </c>
      <c r="T200" s="731"/>
      <c r="U200" s="737">
        <f t="shared" si="2"/>
        <v>2.26</v>
      </c>
      <c r="V200" s="736">
        <v>11.0</v>
      </c>
      <c r="W200" s="731">
        <f t="shared" si="3"/>
        <v>0</v>
      </c>
      <c r="X200" s="737">
        <v>5.0</v>
      </c>
      <c r="Y200" s="736">
        <v>11.0</v>
      </c>
      <c r="Z200" s="736"/>
    </row>
    <row r="201">
      <c r="A201" s="529" t="s">
        <v>232</v>
      </c>
      <c r="B201" s="529"/>
      <c r="C201" s="737"/>
      <c r="D201" s="731"/>
      <c r="E201" s="731"/>
      <c r="F201" s="737"/>
      <c r="G201" s="736"/>
      <c r="H201" s="731"/>
      <c r="I201" s="734"/>
      <c r="J201" s="731"/>
      <c r="K201" s="731"/>
      <c r="L201" s="734"/>
      <c r="M201" s="731"/>
      <c r="N201" s="731"/>
      <c r="O201" s="745">
        <f t="shared" si="4"/>
        <v>2.58</v>
      </c>
      <c r="P201" s="736">
        <v>8.0</v>
      </c>
      <c r="Q201" s="731">
        <f t="shared" si="1"/>
        <v>0</v>
      </c>
      <c r="R201" s="737">
        <v>4.0</v>
      </c>
      <c r="S201" s="736">
        <v>10.0</v>
      </c>
      <c r="T201" s="731"/>
      <c r="U201" s="737">
        <f t="shared" si="2"/>
        <v>2.26</v>
      </c>
      <c r="V201" s="736">
        <v>10.0</v>
      </c>
      <c r="W201" s="731">
        <f t="shared" si="3"/>
        <v>0</v>
      </c>
      <c r="X201" s="737">
        <v>5.0</v>
      </c>
      <c r="Y201" s="736">
        <v>10.0</v>
      </c>
      <c r="Z201" s="736"/>
    </row>
    <row r="202">
      <c r="A202" s="529" t="s">
        <v>236</v>
      </c>
      <c r="B202" s="529"/>
      <c r="C202" s="737"/>
      <c r="D202" s="731"/>
      <c r="E202" s="731"/>
      <c r="F202" s="737"/>
      <c r="G202" s="736"/>
      <c r="H202" s="731"/>
      <c r="I202" s="734"/>
      <c r="J202" s="731"/>
      <c r="K202" s="731"/>
      <c r="L202" s="734"/>
      <c r="M202" s="731"/>
      <c r="N202" s="731"/>
      <c r="O202" s="745">
        <f t="shared" si="4"/>
        <v>2.58</v>
      </c>
      <c r="P202" s="736">
        <v>8.0</v>
      </c>
      <c r="Q202" s="731">
        <f t="shared" si="1"/>
        <v>0</v>
      </c>
      <c r="R202" s="737">
        <v>4.0</v>
      </c>
      <c r="S202" s="736">
        <v>10.0</v>
      </c>
      <c r="T202" s="731"/>
      <c r="U202" s="737">
        <f t="shared" si="2"/>
        <v>2.26</v>
      </c>
      <c r="V202" s="736">
        <v>10.0</v>
      </c>
      <c r="W202" s="731">
        <f t="shared" si="3"/>
        <v>0</v>
      </c>
      <c r="X202" s="737">
        <v>4.0</v>
      </c>
      <c r="Y202" s="736">
        <v>10.0</v>
      </c>
      <c r="Z202" s="736"/>
    </row>
    <row r="203">
      <c r="A203" s="529" t="s">
        <v>242</v>
      </c>
      <c r="B203" s="529"/>
      <c r="C203" s="737"/>
      <c r="D203" s="731"/>
      <c r="E203" s="731"/>
      <c r="F203" s="737"/>
      <c r="G203" s="736"/>
      <c r="H203" s="731"/>
      <c r="I203" s="734"/>
      <c r="J203" s="736">
        <v>6.0</v>
      </c>
      <c r="K203" s="731"/>
      <c r="L203" s="734"/>
      <c r="M203" s="736">
        <v>7.0</v>
      </c>
      <c r="N203" s="731"/>
      <c r="O203" s="745">
        <f t="shared" si="4"/>
        <v>2.58</v>
      </c>
      <c r="P203" s="736">
        <v>7.0</v>
      </c>
      <c r="Q203" s="731">
        <f t="shared" si="1"/>
        <v>0</v>
      </c>
      <c r="R203" s="737">
        <v>4.0</v>
      </c>
      <c r="S203" s="736">
        <v>9.0</v>
      </c>
      <c r="T203" s="731"/>
      <c r="U203" s="737">
        <f t="shared" si="2"/>
        <v>2.26</v>
      </c>
      <c r="V203" s="736">
        <v>9.0</v>
      </c>
      <c r="W203" s="731">
        <f t="shared" si="3"/>
        <v>0</v>
      </c>
      <c r="X203" s="737">
        <v>4.0</v>
      </c>
      <c r="Y203" s="736">
        <v>9.0</v>
      </c>
      <c r="Z203" s="731"/>
    </row>
    <row r="204">
      <c r="A204" s="529" t="s">
        <v>317</v>
      </c>
      <c r="B204" s="529"/>
      <c r="C204" s="737"/>
      <c r="D204" s="731"/>
      <c r="E204" s="731"/>
      <c r="F204" s="737"/>
      <c r="G204" s="736"/>
      <c r="H204" s="731"/>
      <c r="I204" s="734"/>
      <c r="J204" s="731"/>
      <c r="K204" s="731"/>
      <c r="L204" s="734"/>
      <c r="M204" s="731"/>
      <c r="N204" s="731"/>
      <c r="O204" s="745">
        <f t="shared" si="4"/>
        <v>2.58</v>
      </c>
      <c r="P204" s="736">
        <v>3.0</v>
      </c>
      <c r="Q204" s="731">
        <f t="shared" si="1"/>
        <v>0</v>
      </c>
      <c r="R204" s="737">
        <v>2.0</v>
      </c>
      <c r="S204" s="736">
        <v>4.0</v>
      </c>
      <c r="T204" s="731"/>
      <c r="U204" s="737">
        <f t="shared" si="2"/>
        <v>2.26</v>
      </c>
      <c r="V204" s="736">
        <v>4.0</v>
      </c>
      <c r="W204" s="731">
        <f t="shared" si="3"/>
        <v>0</v>
      </c>
      <c r="X204" s="737">
        <v>2.0</v>
      </c>
      <c r="Y204" s="736">
        <v>4.0</v>
      </c>
      <c r="Z204" s="731"/>
    </row>
    <row r="205">
      <c r="A205" s="529" t="s">
        <v>284</v>
      </c>
      <c r="B205" s="529"/>
      <c r="C205" s="737"/>
      <c r="D205" s="731"/>
      <c r="E205" s="731"/>
      <c r="F205" s="737"/>
      <c r="G205" s="736"/>
      <c r="H205" s="731"/>
      <c r="I205" s="734"/>
      <c r="J205" s="731"/>
      <c r="K205" s="736"/>
      <c r="L205" s="737"/>
      <c r="M205" s="736"/>
      <c r="N205" s="731"/>
      <c r="O205" s="745">
        <f t="shared" si="4"/>
        <v>2.58</v>
      </c>
      <c r="P205" s="736">
        <v>4.0</v>
      </c>
      <c r="Q205" s="731">
        <f t="shared" si="1"/>
        <v>0</v>
      </c>
      <c r="R205" s="737">
        <v>2.0</v>
      </c>
      <c r="S205" s="736">
        <v>5.0</v>
      </c>
      <c r="T205" s="731"/>
      <c r="U205" s="737">
        <f t="shared" si="2"/>
        <v>2.26</v>
      </c>
      <c r="V205" s="736">
        <v>5.0</v>
      </c>
      <c r="W205" s="731">
        <f t="shared" si="3"/>
        <v>0</v>
      </c>
      <c r="X205" s="737">
        <v>2.0</v>
      </c>
      <c r="Y205" s="736">
        <v>5.0</v>
      </c>
      <c r="Z205" s="736"/>
    </row>
    <row r="206">
      <c r="A206" s="529" t="s">
        <v>279</v>
      </c>
      <c r="B206" s="529"/>
      <c r="C206" s="737"/>
      <c r="D206" s="731"/>
      <c r="E206" s="731"/>
      <c r="F206" s="737"/>
      <c r="G206" s="736"/>
      <c r="H206" s="731"/>
      <c r="I206" s="734"/>
      <c r="J206" s="731"/>
      <c r="K206" s="736"/>
      <c r="L206" s="737"/>
      <c r="M206" s="736"/>
      <c r="N206" s="731"/>
      <c r="O206" s="745">
        <f t="shared" si="4"/>
        <v>2.58</v>
      </c>
      <c r="P206" s="736">
        <v>4.0</v>
      </c>
      <c r="Q206" s="731">
        <f t="shared" si="1"/>
        <v>0</v>
      </c>
      <c r="R206" s="737">
        <v>2.0</v>
      </c>
      <c r="S206" s="736">
        <v>4.0</v>
      </c>
      <c r="T206" s="731"/>
      <c r="U206" s="737">
        <f t="shared" si="2"/>
        <v>2.26</v>
      </c>
      <c r="V206" s="736">
        <v>4.0</v>
      </c>
      <c r="W206" s="731">
        <f t="shared" si="3"/>
        <v>0</v>
      </c>
      <c r="X206" s="737">
        <v>2.0</v>
      </c>
      <c r="Y206" s="736">
        <v>4.0</v>
      </c>
      <c r="Z206" s="736"/>
    </row>
    <row r="207">
      <c r="A207" s="529" t="s">
        <v>318</v>
      </c>
      <c r="B207" s="529"/>
      <c r="C207" s="737"/>
      <c r="D207" s="731"/>
      <c r="E207" s="731"/>
      <c r="F207" s="737"/>
      <c r="G207" s="736"/>
      <c r="H207" s="731"/>
      <c r="I207" s="734"/>
      <c r="J207" s="731"/>
      <c r="K207" s="736"/>
      <c r="L207" s="737"/>
      <c r="M207" s="736"/>
      <c r="N207" s="731"/>
      <c r="O207" s="745">
        <f t="shared" si="4"/>
        <v>2.58</v>
      </c>
      <c r="P207" s="736">
        <v>3.0</v>
      </c>
      <c r="Q207" s="731">
        <f t="shared" si="1"/>
        <v>0</v>
      </c>
      <c r="R207" s="737">
        <v>2.0</v>
      </c>
      <c r="S207" s="736">
        <v>4.0</v>
      </c>
      <c r="T207" s="731"/>
      <c r="U207" s="737">
        <f t="shared" si="2"/>
        <v>2.26</v>
      </c>
      <c r="V207" s="736">
        <v>4.0</v>
      </c>
      <c r="W207" s="731">
        <f t="shared" si="3"/>
        <v>0</v>
      </c>
      <c r="X207" s="737">
        <v>2.0</v>
      </c>
      <c r="Y207" s="736">
        <v>4.0</v>
      </c>
      <c r="Z207" s="731"/>
    </row>
    <row r="208">
      <c r="A208" s="529" t="s">
        <v>248</v>
      </c>
      <c r="B208" s="529"/>
      <c r="C208" s="737"/>
      <c r="D208" s="731"/>
      <c r="E208" s="731"/>
      <c r="F208" s="737"/>
      <c r="G208" s="736"/>
      <c r="H208" s="731"/>
      <c r="I208" s="734"/>
      <c r="J208" s="731"/>
      <c r="K208" s="736"/>
      <c r="L208" s="737"/>
      <c r="M208" s="736"/>
      <c r="N208" s="731"/>
      <c r="O208" s="745">
        <f t="shared" si="4"/>
        <v>2.58</v>
      </c>
      <c r="P208" s="736">
        <v>15.0</v>
      </c>
      <c r="Q208" s="731">
        <f t="shared" si="1"/>
        <v>0</v>
      </c>
      <c r="R208" s="737">
        <v>8.0</v>
      </c>
      <c r="S208" s="736">
        <v>19.0</v>
      </c>
      <c r="T208" s="731"/>
      <c r="U208" s="737">
        <f t="shared" si="2"/>
        <v>2.26</v>
      </c>
      <c r="V208" s="736">
        <v>19.0</v>
      </c>
      <c r="W208" s="731">
        <f t="shared" si="3"/>
        <v>0</v>
      </c>
      <c r="X208" s="737">
        <v>8.0</v>
      </c>
      <c r="Y208" s="736">
        <v>19.0</v>
      </c>
      <c r="Z208" s="731"/>
    </row>
    <row r="209">
      <c r="A209" s="529" t="s">
        <v>257</v>
      </c>
      <c r="B209" s="529"/>
      <c r="C209" s="737"/>
      <c r="D209" s="731"/>
      <c r="E209" s="731"/>
      <c r="F209" s="737"/>
      <c r="G209" s="736"/>
      <c r="H209" s="731"/>
      <c r="I209" s="734"/>
      <c r="J209" s="731"/>
      <c r="K209" s="736"/>
      <c r="L209" s="737"/>
      <c r="M209" s="736"/>
      <c r="N209" s="731"/>
      <c r="O209" s="745">
        <f t="shared" si="4"/>
        <v>2.58</v>
      </c>
      <c r="P209" s="736">
        <v>11.0</v>
      </c>
      <c r="Q209" s="731">
        <f t="shared" si="1"/>
        <v>0</v>
      </c>
      <c r="R209" s="737">
        <v>6.0</v>
      </c>
      <c r="S209" s="736">
        <v>14.0</v>
      </c>
      <c r="T209" s="731"/>
      <c r="U209" s="737">
        <f t="shared" si="2"/>
        <v>2.26</v>
      </c>
      <c r="V209" s="736">
        <v>14.0</v>
      </c>
      <c r="W209" s="731">
        <f t="shared" si="3"/>
        <v>0</v>
      </c>
      <c r="X209" s="737">
        <v>6.0</v>
      </c>
      <c r="Y209" s="736">
        <v>14.0</v>
      </c>
      <c r="Z209" s="736"/>
    </row>
    <row r="210">
      <c r="A210" s="528"/>
      <c r="B210" s="529"/>
      <c r="C210" s="737"/>
      <c r="D210" s="731"/>
      <c r="E210" s="731"/>
      <c r="F210" s="737"/>
      <c r="G210" s="736"/>
      <c r="H210" s="731"/>
      <c r="I210" s="734"/>
      <c r="J210" s="731"/>
      <c r="K210" s="736"/>
      <c r="L210" s="737"/>
      <c r="M210" s="736"/>
      <c r="N210" s="731"/>
      <c r="O210" s="730"/>
      <c r="P210" s="731"/>
      <c r="Q210" s="731">
        <f>SUM(Q3:Q209)</f>
        <v>0</v>
      </c>
      <c r="R210" s="734"/>
      <c r="S210" s="731"/>
      <c r="T210" s="731"/>
      <c r="U210" s="737">
        <v>2.26</v>
      </c>
      <c r="V210" s="731"/>
      <c r="W210" s="731">
        <f>SUM(W3:W209)</f>
        <v>0</v>
      </c>
      <c r="X210" s="734"/>
      <c r="Y210" s="736"/>
      <c r="Z210" s="736"/>
    </row>
    <row r="211">
      <c r="A211" s="528"/>
      <c r="B211" s="529"/>
      <c r="C211" s="737"/>
      <c r="D211" s="731"/>
      <c r="E211" s="731"/>
      <c r="F211" s="737"/>
      <c r="G211" s="736"/>
      <c r="H211" s="731"/>
      <c r="I211" s="734"/>
      <c r="J211" s="731"/>
      <c r="K211" s="736"/>
      <c r="L211" s="737"/>
      <c r="M211" s="736"/>
      <c r="N211" s="731"/>
      <c r="O211" s="730"/>
      <c r="P211" s="731"/>
      <c r="Q211" s="731"/>
      <c r="R211" s="734"/>
      <c r="S211" s="731"/>
      <c r="T211" s="731"/>
      <c r="U211" s="734"/>
      <c r="V211" s="731"/>
      <c r="W211" s="731"/>
      <c r="X211" s="734"/>
      <c r="Y211" s="731"/>
      <c r="Z211" s="731"/>
    </row>
    <row r="212">
      <c r="C212" s="734"/>
      <c r="D212" s="731"/>
      <c r="E212" s="731"/>
      <c r="F212" s="734"/>
      <c r="G212" s="731"/>
      <c r="H212" s="731"/>
      <c r="I212" s="734"/>
      <c r="J212" s="731"/>
      <c r="K212" s="731"/>
      <c r="L212" s="734"/>
      <c r="M212" s="731"/>
      <c r="N212" s="731"/>
      <c r="O212" s="730"/>
      <c r="P212" s="731"/>
      <c r="Q212" s="731"/>
      <c r="R212" s="734"/>
      <c r="S212" s="731"/>
      <c r="T212" s="731"/>
      <c r="U212" s="734"/>
      <c r="V212" s="731"/>
      <c r="W212" s="731"/>
      <c r="X212" s="734"/>
      <c r="Y212" s="731"/>
      <c r="Z212" s="731"/>
    </row>
    <row r="213">
      <c r="C213" s="734"/>
      <c r="D213" s="731"/>
      <c r="E213" s="731"/>
      <c r="F213" s="734"/>
      <c r="G213" s="731"/>
      <c r="H213" s="731"/>
      <c r="I213" s="734"/>
      <c r="J213" s="731"/>
      <c r="K213" s="731"/>
      <c r="L213" s="734"/>
      <c r="M213" s="731"/>
      <c r="N213" s="731"/>
      <c r="O213" s="730"/>
      <c r="P213" s="731"/>
      <c r="Q213" s="731"/>
      <c r="R213" s="734"/>
      <c r="S213" s="731"/>
      <c r="T213" s="731"/>
      <c r="U213" s="734"/>
      <c r="V213" s="731"/>
      <c r="W213" s="731"/>
      <c r="X213" s="734"/>
      <c r="Y213" s="731"/>
      <c r="Z213" s="731"/>
    </row>
    <row r="214">
      <c r="C214" s="734"/>
      <c r="D214" s="731"/>
      <c r="E214" s="731"/>
      <c r="F214" s="734"/>
      <c r="G214" s="731"/>
      <c r="H214" s="731"/>
      <c r="I214" s="734"/>
      <c r="J214" s="731"/>
      <c r="K214" s="731"/>
      <c r="L214" s="734"/>
      <c r="M214" s="731"/>
      <c r="N214" s="731"/>
      <c r="O214" s="730"/>
      <c r="P214" s="731"/>
      <c r="Q214" s="731"/>
      <c r="R214" s="734"/>
      <c r="S214" s="731"/>
      <c r="T214" s="731"/>
      <c r="U214" s="734"/>
      <c r="V214" s="731"/>
      <c r="W214" s="731"/>
      <c r="X214" s="734"/>
      <c r="Y214" s="731"/>
      <c r="Z214" s="731"/>
    </row>
    <row r="215">
      <c r="C215" s="734"/>
      <c r="D215" s="731"/>
      <c r="E215" s="731"/>
      <c r="F215" s="734"/>
      <c r="G215" s="731"/>
      <c r="H215" s="731"/>
      <c r="I215" s="734"/>
      <c r="J215" s="731"/>
      <c r="K215" s="731"/>
      <c r="L215" s="734"/>
      <c r="M215" s="731"/>
      <c r="N215" s="731"/>
      <c r="O215" s="730"/>
      <c r="P215" s="736">
        <v>1.0</v>
      </c>
      <c r="Q215" s="736">
        <v>41.0</v>
      </c>
      <c r="R215" s="734"/>
      <c r="S215" s="731"/>
      <c r="T215" s="731"/>
      <c r="U215" s="734"/>
      <c r="V215" s="731"/>
      <c r="W215" s="731"/>
      <c r="X215" s="734"/>
      <c r="Y215" s="731"/>
      <c r="Z215" s="731"/>
    </row>
    <row r="216">
      <c r="C216" s="734"/>
      <c r="D216" s="731"/>
      <c r="E216" s="731"/>
      <c r="F216" s="734"/>
      <c r="G216" s="731"/>
      <c r="H216" s="731"/>
      <c r="I216" s="734"/>
      <c r="J216" s="731"/>
      <c r="K216" s="731"/>
      <c r="L216" s="734"/>
      <c r="M216" s="731"/>
      <c r="N216" s="736" t="s">
        <v>63</v>
      </c>
      <c r="O216" s="745">
        <v>20.0</v>
      </c>
      <c r="P216" s="736">
        <v>3.0</v>
      </c>
      <c r="Q216" s="736">
        <v>18.0</v>
      </c>
      <c r="R216" s="766">
        <f>P216-P215+Q216/60-Q215/60</f>
        <v>1.616666667</v>
      </c>
      <c r="S216" s="767">
        <f>(O216-1)/R216</f>
        <v>11.75257732</v>
      </c>
      <c r="T216" s="768">
        <f>S216*60</f>
        <v>705.1546392</v>
      </c>
      <c r="U216" s="734"/>
      <c r="V216" s="731"/>
      <c r="W216" s="731"/>
      <c r="X216" s="734"/>
      <c r="Y216" s="731"/>
      <c r="Z216" s="731"/>
    </row>
    <row r="217">
      <c r="C217" s="734"/>
      <c r="D217" s="731"/>
      <c r="E217" s="731"/>
      <c r="F217" s="734"/>
      <c r="G217" s="736">
        <v>12.0</v>
      </c>
      <c r="H217" s="736">
        <v>24.0</v>
      </c>
      <c r="I217" s="734">
        <f>G218*60+H218-G217*60-H217</f>
        <v>1040</v>
      </c>
      <c r="J217" s="731"/>
      <c r="K217" s="731"/>
      <c r="L217" s="734"/>
      <c r="M217" s="731"/>
      <c r="N217" s="731"/>
      <c r="O217" s="730"/>
      <c r="P217" s="736">
        <v>3.0</v>
      </c>
      <c r="Q217" s="736">
        <v>4.0</v>
      </c>
      <c r="R217" s="769"/>
      <c r="S217" s="529"/>
      <c r="T217" s="528"/>
      <c r="U217" s="734"/>
      <c r="V217" s="731"/>
      <c r="W217" s="731"/>
      <c r="X217" s="734"/>
      <c r="Y217" s="731"/>
      <c r="Z217" s="731"/>
    </row>
    <row r="218">
      <c r="C218" s="734"/>
      <c r="D218" s="731"/>
      <c r="E218" s="731"/>
      <c r="F218" s="734"/>
      <c r="G218" s="736">
        <v>29.0</v>
      </c>
      <c r="H218" s="736">
        <v>44.0</v>
      </c>
      <c r="I218" s="770">
        <f>-G217+G218-H217/60+H218/60</f>
        <v>17.33333333</v>
      </c>
      <c r="J218" s="736">
        <v>985.0</v>
      </c>
      <c r="K218" s="771">
        <f>J218/I218</f>
        <v>56.82692308</v>
      </c>
      <c r="L218" s="734"/>
      <c r="M218" s="731"/>
      <c r="N218" s="736" t="s">
        <v>38</v>
      </c>
      <c r="O218" s="745">
        <v>50.0</v>
      </c>
      <c r="P218" s="736">
        <v>7.0</v>
      </c>
      <c r="Q218" s="736">
        <v>4.0</v>
      </c>
      <c r="R218" s="766">
        <f>P218-P217+Q218/60-Q217/60</f>
        <v>4</v>
      </c>
      <c r="S218" s="767">
        <f>(O218-1)/R218</f>
        <v>12.25</v>
      </c>
      <c r="T218" s="768">
        <f>S218*60</f>
        <v>735</v>
      </c>
      <c r="U218" s="734"/>
      <c r="V218" s="731"/>
      <c r="W218" s="731"/>
      <c r="X218" s="734"/>
      <c r="Y218" s="731"/>
      <c r="Z218" s="731"/>
    </row>
    <row r="219">
      <c r="C219" s="734"/>
      <c r="D219" s="731"/>
      <c r="E219" s="731"/>
      <c r="F219" s="734"/>
      <c r="G219" s="736">
        <v>37.0</v>
      </c>
      <c r="H219" s="736">
        <v>56.0</v>
      </c>
      <c r="I219" s="734">
        <f>G220*60+H220-G219*60-H219</f>
        <v>975</v>
      </c>
      <c r="J219" s="731"/>
      <c r="K219" s="771"/>
      <c r="L219" s="734"/>
      <c r="M219" s="731"/>
      <c r="N219" s="731"/>
      <c r="O219" s="730"/>
      <c r="P219" s="736">
        <v>14.0</v>
      </c>
      <c r="Q219" s="736">
        <v>44.0</v>
      </c>
      <c r="R219" s="766"/>
      <c r="S219" s="767"/>
      <c r="T219" s="768"/>
      <c r="U219" s="734"/>
      <c r="V219" s="731"/>
      <c r="W219" s="731"/>
      <c r="X219" s="734"/>
      <c r="Y219" s="731"/>
      <c r="Z219" s="731"/>
    </row>
    <row r="220">
      <c r="C220" s="734"/>
      <c r="D220" s="731"/>
      <c r="E220" s="731"/>
      <c r="F220" s="734"/>
      <c r="G220" s="736">
        <v>54.0</v>
      </c>
      <c r="H220" s="736">
        <v>11.0</v>
      </c>
      <c r="I220" s="770">
        <f>-G219+G220-H219/60+H220/60</f>
        <v>16.25</v>
      </c>
      <c r="J220" s="736">
        <v>985.0</v>
      </c>
      <c r="K220" s="771">
        <f>J220/I220</f>
        <v>60.61538462</v>
      </c>
      <c r="L220" s="734"/>
      <c r="M220" s="731"/>
      <c r="N220" s="736" t="s">
        <v>410</v>
      </c>
      <c r="O220" s="745">
        <v>30.0</v>
      </c>
      <c r="P220" s="736">
        <v>16.0</v>
      </c>
      <c r="Q220" s="736">
        <v>50.0</v>
      </c>
      <c r="R220" s="766">
        <f>P220-P219+Q220/60-Q219/60</f>
        <v>2.1</v>
      </c>
      <c r="S220" s="767">
        <f>(O220-1)/R220</f>
        <v>13.80952381</v>
      </c>
      <c r="T220" s="768">
        <f>S220*60</f>
        <v>828.5714286</v>
      </c>
      <c r="U220" s="734"/>
      <c r="V220" s="731"/>
      <c r="W220" s="731"/>
      <c r="X220" s="734"/>
      <c r="Y220" s="731"/>
      <c r="Z220" s="731"/>
    </row>
    <row r="221">
      <c r="C221" s="734"/>
      <c r="D221" s="731"/>
      <c r="E221" s="731"/>
      <c r="F221" s="734"/>
      <c r="G221" s="736">
        <v>17.0</v>
      </c>
      <c r="H221" s="736">
        <v>34.0</v>
      </c>
      <c r="I221" s="734">
        <f>G222*60+H222-G221*60-H221</f>
        <v>1031</v>
      </c>
      <c r="J221" s="731"/>
      <c r="K221" s="771"/>
      <c r="L221" s="734"/>
      <c r="M221" s="731"/>
      <c r="N221" s="731"/>
      <c r="O221" s="730"/>
      <c r="P221" s="736">
        <v>2.0</v>
      </c>
      <c r="Q221" s="736">
        <v>30.0</v>
      </c>
      <c r="R221" s="766"/>
      <c r="S221" s="767"/>
      <c r="T221" s="768"/>
      <c r="U221" s="734"/>
      <c r="V221" s="731"/>
      <c r="W221" s="731"/>
      <c r="X221" s="734"/>
      <c r="Y221" s="731"/>
      <c r="Z221" s="731"/>
    </row>
    <row r="222">
      <c r="C222" s="734"/>
      <c r="D222" s="731"/>
      <c r="E222" s="731"/>
      <c r="F222" s="734"/>
      <c r="G222" s="736">
        <v>34.0</v>
      </c>
      <c r="H222" s="736">
        <v>45.0</v>
      </c>
      <c r="I222" s="770">
        <f>-G221+G222-H221/60+H222/60</f>
        <v>17.18333333</v>
      </c>
      <c r="J222" s="736">
        <v>985.0</v>
      </c>
      <c r="K222" s="771">
        <f>J222/I222</f>
        <v>57.32298739</v>
      </c>
      <c r="L222" s="734"/>
      <c r="M222" s="731"/>
      <c r="N222" s="736" t="s">
        <v>411</v>
      </c>
      <c r="O222" s="745">
        <v>30.0</v>
      </c>
      <c r="P222" s="736">
        <v>4.0</v>
      </c>
      <c r="Q222" s="736">
        <v>29.0</v>
      </c>
      <c r="R222" s="766">
        <f>P222-P221+Q222/60-Q221/60</f>
        <v>1.983333333</v>
      </c>
      <c r="S222" s="767">
        <f>(O222-1)/R222</f>
        <v>14.62184874</v>
      </c>
      <c r="T222" s="768">
        <f>S222*60</f>
        <v>877.3109244</v>
      </c>
      <c r="U222" s="734"/>
      <c r="V222" s="731"/>
      <c r="W222" s="731"/>
      <c r="X222" s="734"/>
      <c r="Y222" s="731"/>
      <c r="Z222" s="731"/>
    </row>
    <row r="223">
      <c r="C223" s="734"/>
      <c r="D223" s="731"/>
      <c r="E223" s="731"/>
      <c r="F223" s="734"/>
      <c r="G223" s="736">
        <v>19.0</v>
      </c>
      <c r="H223" s="736">
        <v>45.0</v>
      </c>
      <c r="I223" s="734">
        <f>G224*60+H224-G223*60-H223</f>
        <v>1293</v>
      </c>
      <c r="J223" s="731"/>
      <c r="K223" s="771"/>
      <c r="L223" s="734"/>
      <c r="M223" s="731"/>
      <c r="N223" s="731"/>
      <c r="O223" s="730"/>
      <c r="P223" s="736">
        <v>1.0</v>
      </c>
      <c r="Q223" s="736">
        <v>49.0</v>
      </c>
      <c r="R223" s="766"/>
      <c r="S223" s="767"/>
      <c r="T223" s="768"/>
      <c r="U223" s="734"/>
      <c r="V223" s="731"/>
      <c r="W223" s="731"/>
      <c r="X223" s="734"/>
      <c r="Y223" s="731"/>
      <c r="Z223" s="731"/>
    </row>
    <row r="224">
      <c r="C224" s="734"/>
      <c r="D224" s="731"/>
      <c r="E224" s="731"/>
      <c r="F224" s="734"/>
      <c r="G224" s="736">
        <v>41.0</v>
      </c>
      <c r="H224" s="736">
        <v>18.0</v>
      </c>
      <c r="I224" s="770">
        <f>-G223+G224-H223/60+H224/60</f>
        <v>21.55</v>
      </c>
      <c r="J224" s="736">
        <v>985.0</v>
      </c>
      <c r="K224" s="771">
        <f>J224/I224</f>
        <v>45.70765661</v>
      </c>
      <c r="L224" s="734"/>
      <c r="M224" s="731"/>
      <c r="N224" s="736" t="s">
        <v>412</v>
      </c>
      <c r="O224" s="745">
        <v>50.0</v>
      </c>
      <c r="P224" s="736">
        <v>5.0</v>
      </c>
      <c r="Q224" s="736">
        <v>18.0</v>
      </c>
      <c r="R224" s="766">
        <f>P224-P223+Q224/60-Q223/60</f>
        <v>3.483333333</v>
      </c>
      <c r="S224" s="767">
        <f>(O224-1)/R224</f>
        <v>14.06698565</v>
      </c>
      <c r="T224" s="768">
        <f>S224*60</f>
        <v>844.0191388</v>
      </c>
      <c r="U224" s="734"/>
      <c r="V224" s="731"/>
      <c r="W224" s="731"/>
      <c r="X224" s="734"/>
      <c r="Y224" s="731"/>
      <c r="Z224" s="731"/>
    </row>
    <row r="225">
      <c r="C225" s="734"/>
      <c r="D225" s="731"/>
      <c r="E225" s="731"/>
      <c r="F225" s="734"/>
      <c r="G225" s="736">
        <v>21.0</v>
      </c>
      <c r="H225" s="736">
        <v>25.0</v>
      </c>
      <c r="I225" s="734">
        <f>G226*60+H226-G225*60-H225</f>
        <v>1245</v>
      </c>
      <c r="J225" s="731"/>
      <c r="K225" s="771"/>
      <c r="L225" s="734"/>
      <c r="M225" s="731"/>
      <c r="N225" s="731"/>
      <c r="O225" s="730"/>
      <c r="P225" s="736">
        <v>2.0</v>
      </c>
      <c r="Q225" s="736">
        <v>3.0</v>
      </c>
      <c r="R225" s="766"/>
      <c r="S225" s="767"/>
      <c r="T225" s="768"/>
      <c r="U225" s="734"/>
      <c r="V225" s="731"/>
      <c r="W225" s="731"/>
      <c r="X225" s="734"/>
      <c r="Y225" s="731"/>
      <c r="Z225" s="731"/>
    </row>
    <row r="226">
      <c r="C226" s="734"/>
      <c r="D226" s="731"/>
      <c r="E226" s="731"/>
      <c r="F226" s="734"/>
      <c r="G226" s="736">
        <v>42.0</v>
      </c>
      <c r="H226" s="736">
        <v>10.0</v>
      </c>
      <c r="I226" s="770">
        <f>-G225+G226-H225/60+H226/60</f>
        <v>20.75</v>
      </c>
      <c r="J226" s="736">
        <v>985.0</v>
      </c>
      <c r="K226" s="771">
        <f>J226/I226</f>
        <v>47.46987952</v>
      </c>
      <c r="L226" s="734"/>
      <c r="M226" s="731"/>
      <c r="N226" s="736" t="s">
        <v>413</v>
      </c>
      <c r="O226" s="745">
        <v>30.0</v>
      </c>
      <c r="P226" s="736">
        <v>4.0</v>
      </c>
      <c r="Q226" s="736">
        <v>36.0</v>
      </c>
      <c r="R226" s="766">
        <f>P226-P225+Q226/60-Q225/60</f>
        <v>2.55</v>
      </c>
      <c r="S226" s="767">
        <f>(O226-1)/R226</f>
        <v>11.37254902</v>
      </c>
      <c r="T226" s="768">
        <f>S226*60</f>
        <v>682.3529412</v>
      </c>
      <c r="U226" s="734"/>
      <c r="V226" s="731"/>
      <c r="W226" s="731"/>
      <c r="X226" s="734"/>
      <c r="Y226" s="731"/>
      <c r="Z226" s="731"/>
    </row>
    <row r="227">
      <c r="C227" s="734"/>
      <c r="D227" s="731"/>
      <c r="E227" s="731"/>
      <c r="F227" s="734"/>
      <c r="G227" s="731"/>
      <c r="H227" s="731"/>
      <c r="I227" s="734"/>
      <c r="J227" s="731"/>
      <c r="K227" s="731"/>
      <c r="L227" s="734"/>
      <c r="M227" s="731"/>
      <c r="O227" s="730"/>
      <c r="P227" s="736">
        <v>1.0</v>
      </c>
      <c r="Q227" s="736">
        <v>37.0</v>
      </c>
      <c r="R227" s="766"/>
      <c r="S227" s="767"/>
      <c r="T227" s="768"/>
      <c r="U227" s="734"/>
      <c r="V227" s="731"/>
      <c r="W227" s="731"/>
      <c r="X227" s="734"/>
      <c r="Y227" s="731"/>
      <c r="Z227" s="731"/>
    </row>
    <row r="228">
      <c r="C228" s="734"/>
      <c r="D228" s="731"/>
      <c r="E228" s="731"/>
      <c r="F228" s="734"/>
      <c r="G228" s="736">
        <v>1919.0</v>
      </c>
      <c r="H228" s="736">
        <v>1079.0</v>
      </c>
      <c r="I228" s="734"/>
      <c r="J228" s="731"/>
      <c r="K228" s="731"/>
      <c r="L228" s="734"/>
      <c r="M228" s="731"/>
      <c r="N228" s="736" t="s">
        <v>79</v>
      </c>
      <c r="O228" s="745">
        <v>50.0</v>
      </c>
      <c r="P228" s="736">
        <v>5.0</v>
      </c>
      <c r="Q228" s="736">
        <v>38.0</v>
      </c>
      <c r="R228" s="766">
        <f>P228-P227+Q228/60-Q227/60</f>
        <v>4.016666667</v>
      </c>
      <c r="S228" s="767">
        <f>(O228-1)/R228</f>
        <v>12.19917012</v>
      </c>
      <c r="T228" s="768">
        <f>S228*60</f>
        <v>731.9502075</v>
      </c>
      <c r="U228" s="737"/>
      <c r="V228" s="731"/>
      <c r="W228" s="731"/>
      <c r="X228" s="734"/>
      <c r="Y228" s="731"/>
      <c r="Z228" s="731"/>
    </row>
    <row r="229">
      <c r="C229" s="734"/>
      <c r="D229" s="731"/>
      <c r="E229" s="731"/>
      <c r="F229" s="734"/>
      <c r="G229" s="731">
        <f t="shared" ref="G229:H229" si="88">G228/2</f>
        <v>959.5</v>
      </c>
      <c r="H229" s="731">
        <f t="shared" si="88"/>
        <v>539.5</v>
      </c>
      <c r="I229" s="734"/>
      <c r="J229" s="731"/>
      <c r="K229" s="731"/>
      <c r="L229" s="734"/>
      <c r="M229" s="731"/>
      <c r="N229" s="731"/>
      <c r="O229" s="730"/>
      <c r="P229" s="736">
        <v>1.0</v>
      </c>
      <c r="Q229" s="736">
        <v>29.0</v>
      </c>
      <c r="R229" s="766"/>
      <c r="S229" s="767"/>
      <c r="T229" s="768"/>
      <c r="U229" s="734"/>
      <c r="V229" s="731"/>
      <c r="W229" s="731"/>
      <c r="X229" s="734"/>
      <c r="Y229" s="731"/>
      <c r="Z229" s="731"/>
    </row>
    <row r="230">
      <c r="C230" s="734"/>
      <c r="D230" s="731"/>
      <c r="E230" s="731"/>
      <c r="F230" s="734"/>
      <c r="G230" s="731"/>
      <c r="H230" s="736">
        <v>540.0</v>
      </c>
      <c r="I230" s="734">
        <f>H228-H230</f>
        <v>539</v>
      </c>
      <c r="J230" s="731"/>
      <c r="K230" s="731"/>
      <c r="L230" s="734"/>
      <c r="M230" s="731"/>
      <c r="N230" s="736" t="s">
        <v>169</v>
      </c>
      <c r="O230" s="745">
        <v>30.0</v>
      </c>
      <c r="P230" s="736">
        <v>4.0</v>
      </c>
      <c r="Q230" s="736">
        <v>0.0</v>
      </c>
      <c r="R230" s="766">
        <f>P230-P229+Q230/60-Q229/60</f>
        <v>2.516666667</v>
      </c>
      <c r="S230" s="767">
        <f>(O230-1)/R230</f>
        <v>11.52317881</v>
      </c>
      <c r="T230" s="768">
        <f>S230*60</f>
        <v>691.3907285</v>
      </c>
      <c r="U230" s="734"/>
      <c r="V230" s="731"/>
      <c r="W230" s="731"/>
      <c r="X230" s="734"/>
      <c r="Y230" s="731"/>
      <c r="Z230" s="731"/>
    </row>
    <row r="231">
      <c r="C231" s="734"/>
      <c r="D231" s="731"/>
      <c r="E231" s="731"/>
      <c r="F231" s="734"/>
      <c r="G231" s="731"/>
      <c r="H231" s="736">
        <v>539.0</v>
      </c>
      <c r="I231" s="734">
        <f>H228-H231</f>
        <v>540</v>
      </c>
      <c r="J231" s="731"/>
      <c r="K231" s="731"/>
      <c r="L231" s="734"/>
      <c r="M231" s="731"/>
      <c r="N231" s="731"/>
      <c r="O231" s="730"/>
      <c r="P231" s="736">
        <v>1.0</v>
      </c>
      <c r="Q231" s="736">
        <v>55.0</v>
      </c>
      <c r="R231" s="766"/>
      <c r="S231" s="767"/>
      <c r="T231" s="768"/>
      <c r="U231" s="734"/>
      <c r="V231" s="731"/>
      <c r="W231" s="731"/>
      <c r="X231" s="734"/>
      <c r="Y231" s="731"/>
      <c r="Z231" s="731"/>
    </row>
    <row r="232">
      <c r="C232" s="734"/>
      <c r="D232" s="731"/>
      <c r="E232" s="731"/>
      <c r="F232" s="734"/>
      <c r="G232" s="731"/>
      <c r="H232" s="731"/>
      <c r="I232" s="734"/>
      <c r="J232" s="731"/>
      <c r="K232" s="731"/>
      <c r="L232" s="734"/>
      <c r="M232" s="731"/>
      <c r="N232" s="736" t="s">
        <v>414</v>
      </c>
      <c r="O232" s="745">
        <v>50.0</v>
      </c>
      <c r="P232" s="736">
        <v>5.0</v>
      </c>
      <c r="Q232" s="736">
        <v>56.0</v>
      </c>
      <c r="R232" s="766">
        <f>P232-P231+Q232/60-Q231/60</f>
        <v>4.016666667</v>
      </c>
      <c r="S232" s="767">
        <f>(O232-1)/R232</f>
        <v>12.19917012</v>
      </c>
      <c r="T232" s="768">
        <f>S232*60</f>
        <v>731.9502075</v>
      </c>
      <c r="U232" s="734"/>
      <c r="V232" s="731"/>
      <c r="W232" s="731"/>
      <c r="X232" s="734"/>
      <c r="Y232" s="731"/>
      <c r="Z232" s="731"/>
    </row>
    <row r="233">
      <c r="C233" s="734"/>
      <c r="D233" s="731"/>
      <c r="E233" s="731"/>
      <c r="F233" s="734"/>
      <c r="G233" s="731"/>
      <c r="H233" s="731"/>
      <c r="I233" s="734"/>
      <c r="J233" s="731"/>
      <c r="K233" s="731"/>
      <c r="L233" s="734"/>
      <c r="M233" s="731"/>
      <c r="N233" s="736"/>
      <c r="O233" s="730"/>
      <c r="P233" s="736">
        <v>2.0</v>
      </c>
      <c r="Q233" s="736">
        <v>30.0</v>
      </c>
      <c r="R233" s="766"/>
      <c r="S233" s="767"/>
      <c r="T233" s="768"/>
      <c r="U233" s="734"/>
      <c r="V233" s="731"/>
      <c r="W233" s="731"/>
      <c r="X233" s="734"/>
      <c r="Y233" s="731"/>
      <c r="Z233" s="731"/>
    </row>
    <row r="234">
      <c r="C234" s="734"/>
      <c r="D234" s="731"/>
      <c r="E234" s="731"/>
      <c r="F234" s="734"/>
      <c r="G234" s="731"/>
      <c r="H234" s="731"/>
      <c r="I234" s="734"/>
      <c r="J234" s="731"/>
      <c r="K234" s="731"/>
      <c r="L234" s="734"/>
      <c r="M234" s="731"/>
      <c r="N234" s="736" t="s">
        <v>128</v>
      </c>
      <c r="O234" s="745">
        <v>50.0</v>
      </c>
      <c r="P234" s="736">
        <v>5.0</v>
      </c>
      <c r="Q234" s="736">
        <v>32.0</v>
      </c>
      <c r="R234" s="766">
        <f>P234-P233+Q234/60-Q233/60</f>
        <v>3.033333333</v>
      </c>
      <c r="S234" s="767">
        <f>(O234-1)/R234</f>
        <v>16.15384615</v>
      </c>
      <c r="T234" s="768">
        <f>S234*60</f>
        <v>969.2307692</v>
      </c>
      <c r="U234" s="734"/>
      <c r="V234" s="731"/>
      <c r="W234" s="731"/>
      <c r="X234" s="734"/>
      <c r="Y234" s="731"/>
      <c r="Z234" s="731"/>
    </row>
    <row r="235">
      <c r="C235" s="734"/>
      <c r="D235" s="731"/>
      <c r="E235" s="731"/>
      <c r="F235" s="734"/>
      <c r="G235" s="731"/>
      <c r="H235" s="731"/>
      <c r="I235" s="734"/>
      <c r="J235" s="731"/>
      <c r="K235" s="731"/>
      <c r="L235" s="734"/>
      <c r="M235" s="731"/>
      <c r="N235" s="731"/>
      <c r="O235" s="730"/>
      <c r="P235" s="736">
        <v>11.0</v>
      </c>
      <c r="Q235" s="736">
        <v>13.0</v>
      </c>
      <c r="R235" s="766"/>
      <c r="S235" s="767"/>
      <c r="T235" s="768"/>
      <c r="U235" s="734"/>
      <c r="V235" s="731"/>
      <c r="W235" s="731"/>
      <c r="X235" s="734"/>
      <c r="Y235" s="731"/>
      <c r="Z235" s="731"/>
    </row>
    <row r="236">
      <c r="C236" s="734"/>
      <c r="D236" s="731"/>
      <c r="E236" s="731"/>
      <c r="F236" s="734"/>
      <c r="G236" s="731"/>
      <c r="H236" s="731"/>
      <c r="I236" s="734"/>
      <c r="J236" s="736">
        <v>560.0</v>
      </c>
      <c r="K236" s="731"/>
      <c r="L236" s="734"/>
      <c r="M236" s="731"/>
      <c r="N236" s="736" t="s">
        <v>415</v>
      </c>
      <c r="O236" s="745">
        <v>50.0</v>
      </c>
      <c r="P236" s="736">
        <v>15.0</v>
      </c>
      <c r="Q236" s="736">
        <v>27.0</v>
      </c>
      <c r="R236" s="766">
        <f>P236-P235+Q236/60-Q235/60</f>
        <v>4.233333333</v>
      </c>
      <c r="S236" s="767">
        <f>(O236-1)/R236</f>
        <v>11.57480315</v>
      </c>
      <c r="T236" s="768">
        <f>S236*60</f>
        <v>694.488189</v>
      </c>
      <c r="U236" s="734"/>
      <c r="V236" s="731"/>
      <c r="W236" s="731"/>
      <c r="X236" s="734"/>
      <c r="Y236" s="731"/>
      <c r="Z236" s="731"/>
    </row>
    <row r="237">
      <c r="C237" s="734"/>
      <c r="D237" s="731"/>
      <c r="E237" s="731"/>
      <c r="F237" s="734"/>
      <c r="G237" s="731"/>
      <c r="H237" s="731"/>
      <c r="I237" s="734"/>
      <c r="J237" s="736">
        <v>780.0</v>
      </c>
      <c r="K237" s="731"/>
      <c r="L237" s="734"/>
      <c r="M237" s="731"/>
      <c r="N237" s="731"/>
      <c r="O237" s="730"/>
      <c r="P237" s="736">
        <v>39.0</v>
      </c>
      <c r="Q237" s="736">
        <v>50.0</v>
      </c>
      <c r="R237" s="766"/>
      <c r="S237" s="767"/>
      <c r="T237" s="768"/>
      <c r="U237" s="734"/>
      <c r="V237" s="731"/>
      <c r="W237" s="731"/>
      <c r="X237" s="734"/>
      <c r="Y237" s="731"/>
      <c r="Z237" s="731"/>
    </row>
    <row r="238">
      <c r="C238" s="734"/>
      <c r="D238" s="731"/>
      <c r="E238" s="731"/>
      <c r="F238" s="734"/>
      <c r="G238" s="731"/>
      <c r="H238" s="731"/>
      <c r="I238" s="734"/>
      <c r="J238" s="736">
        <v>700.0</v>
      </c>
      <c r="K238" s="731"/>
      <c r="L238" s="734"/>
      <c r="M238" s="731"/>
      <c r="N238" s="736" t="s">
        <v>140</v>
      </c>
      <c r="O238" s="745">
        <v>50.0</v>
      </c>
      <c r="P238" s="736">
        <v>44.0</v>
      </c>
      <c r="Q238" s="736">
        <v>35.0</v>
      </c>
      <c r="R238" s="766">
        <f>P238-P237+Q238/60-Q237/60</f>
        <v>4.75</v>
      </c>
      <c r="S238" s="767">
        <f>(O238-1)/R238</f>
        <v>10.31578947</v>
      </c>
      <c r="T238" s="768">
        <f>S238*60</f>
        <v>618.9473684</v>
      </c>
      <c r="U238" s="734"/>
      <c r="V238" s="731"/>
      <c r="W238" s="731"/>
      <c r="X238" s="734"/>
      <c r="Y238" s="731"/>
      <c r="Z238" s="731"/>
    </row>
    <row r="239">
      <c r="C239" s="734"/>
      <c r="D239" s="731"/>
      <c r="E239" s="731"/>
      <c r="F239" s="734"/>
      <c r="G239" s="731"/>
      <c r="H239" s="731"/>
      <c r="I239" s="734"/>
      <c r="J239" s="736">
        <v>520.0</v>
      </c>
      <c r="K239" s="731"/>
      <c r="L239" s="734"/>
      <c r="M239" s="731"/>
      <c r="N239" s="731"/>
      <c r="O239" s="730"/>
      <c r="P239" s="736">
        <v>51.0</v>
      </c>
      <c r="Q239" s="736">
        <v>38.0</v>
      </c>
      <c r="R239" s="766"/>
      <c r="S239" s="767"/>
      <c r="T239" s="768"/>
      <c r="U239" s="734"/>
      <c r="V239" s="731"/>
      <c r="W239" s="731"/>
      <c r="X239" s="734"/>
      <c r="Y239" s="731"/>
      <c r="Z239" s="731"/>
    </row>
    <row r="240">
      <c r="C240" s="734"/>
      <c r="D240" s="731"/>
      <c r="E240" s="731"/>
      <c r="F240" s="734"/>
      <c r="G240" s="731"/>
      <c r="H240" s="731"/>
      <c r="I240" s="734"/>
      <c r="J240" s="736">
        <v>560.0</v>
      </c>
      <c r="K240" s="731"/>
      <c r="L240" s="734"/>
      <c r="M240" s="731"/>
      <c r="N240" s="736" t="s">
        <v>416</v>
      </c>
      <c r="O240" s="745">
        <v>50.0</v>
      </c>
      <c r="P240" s="736">
        <v>56.0</v>
      </c>
      <c r="Q240" s="736">
        <v>38.0</v>
      </c>
      <c r="R240" s="766">
        <f>P240-P239+Q240/60-Q239/60</f>
        <v>5</v>
      </c>
      <c r="S240" s="767">
        <f>(O240-1)/R240</f>
        <v>9.8</v>
      </c>
      <c r="T240" s="768">
        <f>S240*60</f>
        <v>588</v>
      </c>
      <c r="U240" s="734"/>
      <c r="V240" s="731"/>
      <c r="W240" s="731"/>
      <c r="X240" s="734"/>
      <c r="Y240" s="731"/>
      <c r="Z240" s="731"/>
    </row>
    <row r="241">
      <c r="C241" s="734"/>
      <c r="D241" s="731"/>
      <c r="E241" s="731"/>
      <c r="F241" s="734"/>
      <c r="G241" s="731"/>
      <c r="H241" s="731"/>
      <c r="I241" s="734"/>
      <c r="J241" s="736">
        <v>870.0</v>
      </c>
      <c r="K241" s="731"/>
      <c r="L241" s="734"/>
      <c r="M241" s="731"/>
      <c r="N241" s="731"/>
      <c r="O241" s="730"/>
      <c r="P241" s="736">
        <v>1.0</v>
      </c>
      <c r="Q241" s="736">
        <v>44.0</v>
      </c>
      <c r="R241" s="766"/>
      <c r="S241" s="767"/>
      <c r="T241" s="768"/>
      <c r="U241" s="734"/>
      <c r="V241" s="731"/>
      <c r="W241" s="731"/>
      <c r="X241" s="734"/>
      <c r="Y241" s="731"/>
      <c r="Z241" s="731"/>
    </row>
    <row r="242">
      <c r="C242" s="734"/>
      <c r="D242" s="731"/>
      <c r="E242" s="731"/>
      <c r="F242" s="734"/>
      <c r="G242" s="731"/>
      <c r="H242" s="731"/>
      <c r="I242" s="734"/>
      <c r="J242" s="731">
        <f>SUM(J236:J241)</f>
        <v>3990</v>
      </c>
      <c r="K242" s="731"/>
      <c r="L242" s="734"/>
      <c r="M242" s="731"/>
      <c r="N242" s="736" t="s">
        <v>417</v>
      </c>
      <c r="O242" s="745">
        <v>50.0</v>
      </c>
      <c r="P242" s="736">
        <v>5.0</v>
      </c>
      <c r="Q242" s="736">
        <v>5.0</v>
      </c>
      <c r="R242" s="766">
        <f>P242-P241+Q242/60-Q241/60</f>
        <v>3.35</v>
      </c>
      <c r="S242" s="767">
        <f>(O242-1)/R242</f>
        <v>14.62686567</v>
      </c>
      <c r="T242" s="768">
        <f>S242*60</f>
        <v>877.6119403</v>
      </c>
      <c r="U242" s="734"/>
      <c r="V242" s="731"/>
      <c r="W242" s="731"/>
      <c r="X242" s="734"/>
      <c r="Y242" s="731"/>
      <c r="Z242" s="731"/>
    </row>
    <row r="243">
      <c r="C243" s="734"/>
      <c r="D243" s="731"/>
      <c r="E243" s="731"/>
      <c r="F243" s="734"/>
      <c r="G243" s="731"/>
      <c r="H243" s="731"/>
      <c r="I243" s="734"/>
      <c r="J243" s="731"/>
      <c r="K243" s="731"/>
      <c r="L243" s="734"/>
      <c r="M243" s="731"/>
      <c r="N243" s="731"/>
      <c r="O243" s="730"/>
      <c r="P243" s="736">
        <v>4.0</v>
      </c>
      <c r="Q243" s="736">
        <v>3.0</v>
      </c>
      <c r="R243" s="766"/>
      <c r="S243" s="767"/>
      <c r="T243" s="768"/>
      <c r="U243" s="734"/>
      <c r="V243" s="731"/>
      <c r="W243" s="731"/>
      <c r="X243" s="734"/>
      <c r="Y243" s="731"/>
      <c r="Z243" s="731"/>
    </row>
    <row r="244">
      <c r="C244" s="734"/>
      <c r="D244" s="731"/>
      <c r="E244" s="731"/>
      <c r="F244" s="734"/>
      <c r="G244" s="731"/>
      <c r="H244" s="731"/>
      <c r="I244" s="734"/>
      <c r="J244" s="731"/>
      <c r="K244" s="731"/>
      <c r="L244" s="734"/>
      <c r="M244" s="731"/>
      <c r="N244" s="736" t="s">
        <v>165</v>
      </c>
      <c r="O244" s="745">
        <v>30.0</v>
      </c>
      <c r="P244" s="736">
        <v>6.0</v>
      </c>
      <c r="Q244" s="736">
        <v>54.0</v>
      </c>
      <c r="R244" s="766">
        <f>P244-P243+Q244/60-Q243/60</f>
        <v>2.85</v>
      </c>
      <c r="S244" s="767">
        <f>(O244-1)/R244</f>
        <v>10.1754386</v>
      </c>
      <c r="T244" s="768">
        <f>S244*60</f>
        <v>610.5263158</v>
      </c>
      <c r="U244" s="734"/>
      <c r="V244" s="731"/>
      <c r="W244" s="731"/>
      <c r="X244" s="734"/>
      <c r="Y244" s="731"/>
      <c r="Z244" s="731"/>
    </row>
    <row r="245">
      <c r="C245" s="734"/>
      <c r="D245" s="731"/>
      <c r="E245" s="731"/>
      <c r="F245" s="734"/>
      <c r="G245" s="731"/>
      <c r="H245" s="731"/>
      <c r="I245" s="734"/>
      <c r="J245" s="731"/>
      <c r="K245" s="731"/>
      <c r="L245" s="734"/>
      <c r="M245" s="731"/>
      <c r="N245" s="731"/>
      <c r="O245" s="730"/>
      <c r="P245" s="736">
        <v>10.0</v>
      </c>
      <c r="Q245" s="736">
        <v>34.0</v>
      </c>
      <c r="R245" s="766"/>
      <c r="S245" s="767"/>
      <c r="T245" s="768"/>
      <c r="U245" s="734"/>
      <c r="V245" s="731"/>
      <c r="W245" s="731"/>
      <c r="X245" s="734"/>
      <c r="Y245" s="731"/>
      <c r="Z245" s="731"/>
    </row>
    <row r="246">
      <c r="C246" s="734"/>
      <c r="D246" s="731"/>
      <c r="E246" s="731"/>
      <c r="F246" s="734"/>
      <c r="G246" s="731"/>
      <c r="H246" s="731"/>
      <c r="I246" s="734"/>
      <c r="J246" s="731"/>
      <c r="K246" s="731"/>
      <c r="L246" s="734"/>
      <c r="M246" s="731"/>
      <c r="N246" s="736" t="s">
        <v>166</v>
      </c>
      <c r="O246" s="745">
        <v>50.0</v>
      </c>
      <c r="P246" s="736">
        <v>14.0</v>
      </c>
      <c r="Q246" s="736">
        <v>20.0</v>
      </c>
      <c r="R246" s="766">
        <f>P246-P245+Q246/60-Q245/60</f>
        <v>3.766666667</v>
      </c>
      <c r="S246" s="767">
        <f>(O246-1)/R246</f>
        <v>13.00884956</v>
      </c>
      <c r="T246" s="768">
        <f>S246*60</f>
        <v>780.5309735</v>
      </c>
      <c r="U246" s="734"/>
      <c r="V246" s="731"/>
      <c r="W246" s="731"/>
      <c r="X246" s="734"/>
      <c r="Y246" s="731"/>
      <c r="Z246" s="731"/>
    </row>
    <row r="247">
      <c r="C247" s="734"/>
      <c r="D247" s="731"/>
      <c r="E247" s="731"/>
      <c r="F247" s="734"/>
      <c r="G247" s="731"/>
      <c r="H247" s="731"/>
      <c r="I247" s="734"/>
      <c r="J247" s="731"/>
      <c r="K247" s="731"/>
      <c r="L247" s="734"/>
      <c r="M247" s="731"/>
      <c r="N247" s="731"/>
      <c r="O247" s="730"/>
      <c r="P247" s="736">
        <v>38.0</v>
      </c>
      <c r="Q247" s="736">
        <v>51.0</v>
      </c>
      <c r="R247" s="766"/>
      <c r="S247" s="767"/>
      <c r="T247" s="768"/>
      <c r="U247" s="734"/>
      <c r="V247" s="731"/>
      <c r="W247" s="731"/>
      <c r="X247" s="734"/>
      <c r="Y247" s="731"/>
      <c r="Z247" s="731"/>
    </row>
    <row r="248">
      <c r="C248" s="734"/>
      <c r="D248" s="731"/>
      <c r="E248" s="731"/>
      <c r="F248" s="734"/>
      <c r="G248" s="731"/>
      <c r="H248" s="731"/>
      <c r="I248" s="734"/>
      <c r="J248" s="731"/>
      <c r="K248" s="731"/>
      <c r="L248" s="734"/>
      <c r="M248" s="731"/>
      <c r="N248" s="736" t="s">
        <v>418</v>
      </c>
      <c r="O248" s="745">
        <v>50.0</v>
      </c>
      <c r="P248" s="736">
        <v>42.0</v>
      </c>
      <c r="Q248" s="736">
        <v>23.0</v>
      </c>
      <c r="R248" s="766">
        <f>P248-P247+Q248/60-Q247/60</f>
        <v>3.533333333</v>
      </c>
      <c r="S248" s="767">
        <f>(O248-1)/R248</f>
        <v>13.86792453</v>
      </c>
      <c r="T248" s="768">
        <f>S248*60</f>
        <v>832.0754717</v>
      </c>
      <c r="U248" s="734"/>
      <c r="V248" s="731"/>
      <c r="W248" s="731"/>
      <c r="X248" s="734"/>
      <c r="Y248" s="731"/>
      <c r="Z248" s="731"/>
    </row>
    <row r="249">
      <c r="C249" s="734"/>
      <c r="D249" s="731"/>
      <c r="E249" s="731"/>
      <c r="F249" s="734"/>
      <c r="G249" s="731"/>
      <c r="H249" s="731"/>
      <c r="I249" s="734"/>
      <c r="J249" s="731"/>
      <c r="K249" s="731"/>
      <c r="L249" s="734"/>
      <c r="M249" s="731"/>
      <c r="N249" s="731"/>
      <c r="O249" s="730"/>
      <c r="P249" s="736">
        <v>49.0</v>
      </c>
      <c r="Q249" s="736">
        <v>27.0</v>
      </c>
      <c r="R249" s="766"/>
      <c r="S249" s="767"/>
      <c r="T249" s="768"/>
      <c r="U249" s="734"/>
      <c r="V249" s="731"/>
      <c r="W249" s="731"/>
      <c r="X249" s="734"/>
      <c r="Y249" s="731"/>
      <c r="Z249" s="731"/>
    </row>
    <row r="250">
      <c r="C250" s="734"/>
      <c r="D250" s="731"/>
      <c r="E250" s="731"/>
      <c r="F250" s="734"/>
      <c r="G250" s="731"/>
      <c r="H250" s="731"/>
      <c r="I250" s="734"/>
      <c r="J250" s="731"/>
      <c r="K250" s="731"/>
      <c r="L250" s="734"/>
      <c r="M250" s="731"/>
      <c r="N250" s="736" t="s">
        <v>294</v>
      </c>
      <c r="O250" s="745">
        <v>30.0</v>
      </c>
      <c r="P250" s="736">
        <v>51.0</v>
      </c>
      <c r="Q250" s="736">
        <v>49.0</v>
      </c>
      <c r="R250" s="766">
        <f>P250-P249+Q250/60-Q249/60</f>
        <v>2.366666667</v>
      </c>
      <c r="S250" s="767">
        <f>(O250-1)/R250</f>
        <v>12.25352113</v>
      </c>
      <c r="T250" s="768">
        <f>S250*60</f>
        <v>735.2112676</v>
      </c>
      <c r="U250" s="734"/>
      <c r="V250" s="731"/>
      <c r="W250" s="731"/>
      <c r="X250" s="734"/>
      <c r="Y250" s="731"/>
      <c r="Z250" s="731"/>
    </row>
    <row r="251">
      <c r="C251" s="734"/>
      <c r="D251" s="731"/>
      <c r="E251" s="731"/>
      <c r="F251" s="734"/>
      <c r="G251" s="731"/>
      <c r="H251" s="731"/>
      <c r="I251" s="734"/>
      <c r="J251" s="731"/>
      <c r="K251" s="731"/>
      <c r="L251" s="734"/>
      <c r="M251" s="731"/>
      <c r="N251" s="731"/>
      <c r="O251" s="730"/>
      <c r="P251" s="736">
        <v>26.0</v>
      </c>
      <c r="Q251" s="736">
        <v>38.0</v>
      </c>
      <c r="R251" s="766"/>
      <c r="S251" s="767"/>
      <c r="T251" s="768"/>
      <c r="U251" s="734"/>
      <c r="V251" s="731"/>
      <c r="W251" s="731"/>
      <c r="X251" s="734"/>
      <c r="Y251" s="731"/>
      <c r="Z251" s="731"/>
    </row>
    <row r="252">
      <c r="C252" s="734"/>
      <c r="D252" s="731"/>
      <c r="E252" s="731"/>
      <c r="F252" s="734"/>
      <c r="G252" s="731"/>
      <c r="H252" s="731"/>
      <c r="I252" s="734"/>
      <c r="J252" s="731"/>
      <c r="K252" s="731"/>
      <c r="L252" s="734"/>
      <c r="M252" s="731"/>
      <c r="N252" s="736" t="s">
        <v>170</v>
      </c>
      <c r="O252" s="745">
        <v>50.0</v>
      </c>
      <c r="P252" s="736">
        <v>30.0</v>
      </c>
      <c r="Q252" s="736">
        <v>11.0</v>
      </c>
      <c r="R252" s="766">
        <f>P252-P251+Q252/60-Q251/60</f>
        <v>3.55</v>
      </c>
      <c r="S252" s="767">
        <f>(O252-1)/R252</f>
        <v>13.8028169</v>
      </c>
      <c r="T252" s="768">
        <f>S252*60</f>
        <v>828.1690141</v>
      </c>
      <c r="U252" s="734"/>
      <c r="V252" s="731"/>
      <c r="W252" s="731"/>
      <c r="X252" s="734"/>
      <c r="Y252" s="731"/>
      <c r="Z252" s="731"/>
    </row>
    <row r="253">
      <c r="C253" s="734"/>
      <c r="D253" s="731"/>
      <c r="E253" s="731"/>
      <c r="F253" s="734"/>
      <c r="G253" s="731"/>
      <c r="H253" s="731"/>
      <c r="I253" s="734"/>
      <c r="J253" s="731"/>
      <c r="K253" s="731"/>
      <c r="L253" s="734"/>
      <c r="M253" s="731"/>
      <c r="N253" s="731"/>
      <c r="O253" s="730"/>
      <c r="P253" s="736">
        <v>37.0</v>
      </c>
      <c r="Q253" s="736">
        <v>10.0</v>
      </c>
      <c r="R253" s="766"/>
      <c r="S253" s="767"/>
      <c r="T253" s="768"/>
      <c r="U253" s="734"/>
      <c r="V253" s="731"/>
      <c r="W253" s="731"/>
      <c r="X253" s="734"/>
      <c r="Y253" s="731"/>
      <c r="Z253" s="731"/>
    </row>
    <row r="254">
      <c r="C254" s="734"/>
      <c r="D254" s="731"/>
      <c r="E254" s="731"/>
      <c r="F254" s="734"/>
      <c r="G254" s="731"/>
      <c r="H254" s="731"/>
      <c r="I254" s="734"/>
      <c r="J254" s="731"/>
      <c r="K254" s="731"/>
      <c r="L254" s="734"/>
      <c r="M254" s="731"/>
      <c r="N254" s="736" t="s">
        <v>171</v>
      </c>
      <c r="O254" s="745">
        <v>50.0</v>
      </c>
      <c r="P254" s="736">
        <v>41.0</v>
      </c>
      <c r="Q254" s="736">
        <v>27.0</v>
      </c>
      <c r="R254" s="766">
        <f>P254-P253+Q254/60-Q253/60</f>
        <v>4.283333333</v>
      </c>
      <c r="S254" s="767">
        <f>(O254-1)/R254</f>
        <v>11.43968872</v>
      </c>
      <c r="T254" s="768">
        <f>S254*60</f>
        <v>686.381323</v>
      </c>
      <c r="U254" s="734"/>
      <c r="V254" s="731"/>
      <c r="W254" s="731"/>
      <c r="X254" s="734"/>
      <c r="Y254" s="731"/>
      <c r="Z254" s="731"/>
    </row>
    <row r="255">
      <c r="C255" s="734"/>
      <c r="D255" s="731"/>
      <c r="E255" s="731"/>
      <c r="F255" s="734"/>
      <c r="G255" s="731"/>
      <c r="H255" s="731"/>
      <c r="I255" s="734"/>
      <c r="J255" s="731"/>
      <c r="K255" s="731"/>
      <c r="L255" s="734"/>
      <c r="M255" s="731"/>
      <c r="N255" s="731"/>
      <c r="O255" s="730"/>
      <c r="P255" s="736">
        <v>3.0</v>
      </c>
      <c r="Q255" s="736">
        <v>4.0</v>
      </c>
      <c r="R255" s="766"/>
      <c r="S255" s="767"/>
      <c r="T255" s="768"/>
      <c r="U255" s="734"/>
      <c r="V255" s="731"/>
      <c r="W255" s="731"/>
      <c r="X255" s="734"/>
      <c r="Y255" s="731"/>
      <c r="Z255" s="731"/>
    </row>
    <row r="256">
      <c r="C256" s="734"/>
      <c r="D256" s="731"/>
      <c r="E256" s="731"/>
      <c r="F256" s="734"/>
      <c r="G256" s="731"/>
      <c r="H256" s="731"/>
      <c r="I256" s="734"/>
      <c r="J256" s="731"/>
      <c r="K256" s="731"/>
      <c r="L256" s="734"/>
      <c r="M256" s="731"/>
      <c r="N256" s="736">
        <v>416.0</v>
      </c>
      <c r="O256" s="745">
        <v>50.0</v>
      </c>
      <c r="P256" s="736">
        <v>6.0</v>
      </c>
      <c r="Q256" s="736">
        <v>34.0</v>
      </c>
      <c r="R256" s="766">
        <f>P256-P255+Q256/60-Q255/60</f>
        <v>3.5</v>
      </c>
      <c r="S256" s="767">
        <f>(O256-1)/R256</f>
        <v>14</v>
      </c>
      <c r="T256" s="768">
        <f>S256*60</f>
        <v>840</v>
      </c>
      <c r="U256" s="734"/>
      <c r="V256" s="731"/>
      <c r="W256" s="731"/>
      <c r="X256" s="734"/>
      <c r="Y256" s="731"/>
      <c r="Z256" s="731"/>
    </row>
    <row r="257">
      <c r="C257" s="734"/>
      <c r="D257" s="731"/>
      <c r="E257" s="731"/>
      <c r="F257" s="734"/>
      <c r="G257" s="731"/>
      <c r="H257" s="731"/>
      <c r="I257" s="734"/>
      <c r="J257" s="731"/>
      <c r="K257" s="731"/>
      <c r="L257" s="734"/>
      <c r="M257" s="731"/>
      <c r="N257" s="731"/>
      <c r="O257" s="730"/>
      <c r="P257" s="736">
        <v>14.0</v>
      </c>
      <c r="Q257" s="736">
        <v>15.0</v>
      </c>
      <c r="R257" s="766"/>
      <c r="S257" s="767"/>
      <c r="T257" s="768"/>
      <c r="U257" s="734"/>
      <c r="V257" s="731"/>
      <c r="W257" s="731"/>
      <c r="X257" s="734"/>
      <c r="Y257" s="731"/>
      <c r="Z257" s="731"/>
    </row>
    <row r="258">
      <c r="C258" s="734"/>
      <c r="D258" s="731"/>
      <c r="E258" s="731"/>
      <c r="F258" s="734"/>
      <c r="G258" s="731"/>
      <c r="H258" s="731"/>
      <c r="I258" s="734"/>
      <c r="J258" s="731"/>
      <c r="K258" s="731"/>
      <c r="L258" s="734"/>
      <c r="M258" s="731"/>
      <c r="N258" s="736" t="s">
        <v>419</v>
      </c>
      <c r="O258" s="745">
        <v>90.0</v>
      </c>
      <c r="P258" s="736">
        <v>21.0</v>
      </c>
      <c r="Q258" s="736">
        <v>51.0</v>
      </c>
      <c r="R258" s="766">
        <f>P258-P257+Q258/60-Q257/60</f>
        <v>7.6</v>
      </c>
      <c r="S258" s="767">
        <f>(O258-1)/R258</f>
        <v>11.71052632</v>
      </c>
      <c r="T258" s="768">
        <f>S258*60</f>
        <v>702.6315789</v>
      </c>
      <c r="U258" s="734"/>
      <c r="V258" s="731"/>
      <c r="W258" s="731"/>
      <c r="X258" s="734"/>
      <c r="Y258" s="731"/>
      <c r="Z258" s="731"/>
    </row>
    <row r="259">
      <c r="C259" s="734"/>
      <c r="D259" s="731"/>
      <c r="E259" s="731"/>
      <c r="F259" s="734"/>
      <c r="G259" s="731"/>
      <c r="H259" s="731"/>
      <c r="I259" s="734"/>
      <c r="J259" s="731"/>
      <c r="K259" s="731"/>
      <c r="L259" s="734"/>
      <c r="M259" s="731"/>
      <c r="N259" s="731"/>
      <c r="O259" s="730"/>
      <c r="P259" s="736">
        <v>52.0</v>
      </c>
      <c r="Q259" s="736">
        <v>17.0</v>
      </c>
      <c r="R259" s="766"/>
      <c r="S259" s="767"/>
      <c r="T259" s="768"/>
      <c r="U259" s="734"/>
      <c r="V259" s="731"/>
      <c r="W259" s="731"/>
      <c r="X259" s="734"/>
      <c r="Y259" s="731"/>
      <c r="Z259" s="731"/>
    </row>
    <row r="260">
      <c r="C260" s="734"/>
      <c r="D260" s="731"/>
      <c r="E260" s="731"/>
      <c r="F260" s="734"/>
      <c r="G260" s="731"/>
      <c r="H260" s="731"/>
      <c r="I260" s="734"/>
      <c r="J260" s="731"/>
      <c r="K260" s="731"/>
      <c r="L260" s="734"/>
      <c r="M260" s="731"/>
      <c r="N260" s="736" t="s">
        <v>396</v>
      </c>
      <c r="O260" s="745">
        <v>100.0</v>
      </c>
      <c r="P260" s="736">
        <v>60.0</v>
      </c>
      <c r="Q260" s="736">
        <v>48.0</v>
      </c>
      <c r="R260" s="766">
        <f>P260-P259+Q260/60-Q259/60</f>
        <v>8.516666667</v>
      </c>
      <c r="S260" s="767">
        <f>(O260-1)/R260</f>
        <v>11.62426614</v>
      </c>
      <c r="T260" s="768">
        <f>S260*60</f>
        <v>697.4559687</v>
      </c>
      <c r="U260" s="734"/>
      <c r="V260" s="731"/>
      <c r="W260" s="731"/>
      <c r="X260" s="734"/>
      <c r="Y260" s="731"/>
      <c r="Z260" s="731"/>
    </row>
    <row r="261">
      <c r="C261" s="734"/>
      <c r="D261" s="731"/>
      <c r="E261" s="731"/>
      <c r="F261" s="734"/>
      <c r="G261" s="731"/>
      <c r="H261" s="731"/>
      <c r="I261" s="734"/>
      <c r="J261" s="731"/>
      <c r="K261" s="731"/>
      <c r="L261" s="734"/>
      <c r="M261" s="731"/>
      <c r="N261" s="731"/>
      <c r="O261" s="730"/>
      <c r="P261" s="736">
        <v>6.0</v>
      </c>
      <c r="Q261" s="736">
        <v>12.0</v>
      </c>
      <c r="R261" s="766"/>
      <c r="S261" s="767"/>
      <c r="T261" s="768"/>
      <c r="U261" s="734"/>
      <c r="V261" s="731"/>
      <c r="W261" s="731"/>
      <c r="X261" s="734"/>
      <c r="Y261" s="731"/>
      <c r="Z261" s="731"/>
    </row>
    <row r="262">
      <c r="C262" s="734"/>
      <c r="D262" s="731"/>
      <c r="E262" s="731"/>
      <c r="F262" s="734"/>
      <c r="G262" s="731"/>
      <c r="H262" s="731"/>
      <c r="I262" s="734"/>
      <c r="J262" s="731"/>
      <c r="K262" s="731"/>
      <c r="L262" s="734"/>
      <c r="M262" s="731"/>
      <c r="N262" s="736" t="s">
        <v>397</v>
      </c>
      <c r="O262" s="745">
        <v>100.0</v>
      </c>
      <c r="P262" s="736">
        <v>14.0</v>
      </c>
      <c r="Q262" s="736">
        <v>43.0</v>
      </c>
      <c r="R262" s="766">
        <f>P262-P261+Q262/60-Q261/60</f>
        <v>8.516666667</v>
      </c>
      <c r="S262" s="767">
        <f>(O262-1)/R262</f>
        <v>11.62426614</v>
      </c>
      <c r="T262" s="768">
        <f>S262*60</f>
        <v>697.4559687</v>
      </c>
      <c r="U262" s="734"/>
      <c r="V262" s="731"/>
      <c r="W262" s="731"/>
      <c r="X262" s="734"/>
      <c r="Y262" s="731"/>
      <c r="Z262" s="731"/>
    </row>
    <row r="263">
      <c r="C263" s="734"/>
      <c r="D263" s="731"/>
      <c r="E263" s="731"/>
      <c r="F263" s="734"/>
      <c r="G263" s="731"/>
      <c r="H263" s="731"/>
      <c r="I263" s="734"/>
      <c r="J263" s="731"/>
      <c r="K263" s="731"/>
      <c r="L263" s="734"/>
      <c r="M263" s="731"/>
      <c r="N263" s="731"/>
      <c r="O263" s="730"/>
      <c r="P263" s="736">
        <v>43.0</v>
      </c>
      <c r="Q263" s="736">
        <v>6.0</v>
      </c>
      <c r="R263" s="766"/>
      <c r="S263" s="767"/>
      <c r="T263" s="768"/>
      <c r="U263" s="734"/>
      <c r="V263" s="731"/>
      <c r="W263" s="731"/>
      <c r="X263" s="734"/>
      <c r="Y263" s="731"/>
      <c r="Z263" s="731"/>
    </row>
    <row r="264">
      <c r="C264" s="734"/>
      <c r="D264" s="731"/>
      <c r="E264" s="731"/>
      <c r="F264" s="734"/>
      <c r="G264" s="731"/>
      <c r="H264" s="731"/>
      <c r="I264" s="734"/>
      <c r="J264" s="731"/>
      <c r="K264" s="731"/>
      <c r="L264" s="734"/>
      <c r="M264" s="731"/>
      <c r="N264" s="736" t="s">
        <v>420</v>
      </c>
      <c r="O264" s="745">
        <v>75.0</v>
      </c>
      <c r="P264" s="736">
        <v>50.0</v>
      </c>
      <c r="Q264" s="736">
        <v>5.0</v>
      </c>
      <c r="R264" s="766">
        <f>P264-P263+Q264/60-Q263/60</f>
        <v>6.983333333</v>
      </c>
      <c r="S264" s="767">
        <f>(O264-1)/R264</f>
        <v>10.59665871</v>
      </c>
      <c r="T264" s="768">
        <f>S264*60</f>
        <v>635.7995227</v>
      </c>
      <c r="U264" s="734"/>
      <c r="V264" s="731"/>
      <c r="W264" s="731"/>
      <c r="X264" s="734"/>
      <c r="Y264" s="731"/>
      <c r="Z264" s="731"/>
    </row>
    <row r="265">
      <c r="C265" s="734"/>
      <c r="D265" s="731"/>
      <c r="E265" s="731"/>
      <c r="F265" s="734"/>
      <c r="G265" s="731"/>
      <c r="H265" s="731"/>
      <c r="I265" s="734"/>
      <c r="J265" s="731"/>
      <c r="K265" s="731"/>
      <c r="L265" s="734"/>
      <c r="M265" s="731"/>
      <c r="N265" s="731"/>
      <c r="O265" s="730"/>
      <c r="P265" s="736">
        <v>53.0</v>
      </c>
      <c r="Q265" s="736">
        <v>56.0</v>
      </c>
      <c r="R265" s="766"/>
      <c r="S265" s="767"/>
      <c r="T265" s="768"/>
      <c r="U265" s="734"/>
      <c r="V265" s="731"/>
      <c r="W265" s="731"/>
      <c r="X265" s="734"/>
      <c r="Y265" s="731"/>
      <c r="Z265" s="731"/>
    </row>
    <row r="266">
      <c r="C266" s="734"/>
      <c r="D266" s="731"/>
      <c r="E266" s="731"/>
      <c r="F266" s="734"/>
      <c r="G266" s="731"/>
      <c r="H266" s="731"/>
      <c r="I266" s="734"/>
      <c r="J266" s="731"/>
      <c r="K266" s="731"/>
      <c r="L266" s="734"/>
      <c r="M266" s="731"/>
      <c r="N266" s="736" t="s">
        <v>421</v>
      </c>
      <c r="O266" s="745">
        <v>175.0</v>
      </c>
      <c r="P266" s="736">
        <v>71.0</v>
      </c>
      <c r="Q266" s="736">
        <v>38.0</v>
      </c>
      <c r="R266" s="766">
        <f>P266-P265+Q266/60-Q265/60</f>
        <v>17.7</v>
      </c>
      <c r="S266" s="767">
        <f>(O266-1)/R266</f>
        <v>9.830508475</v>
      </c>
      <c r="T266" s="768">
        <f>S266*60</f>
        <v>589.8305085</v>
      </c>
      <c r="U266" s="734"/>
      <c r="V266" s="731"/>
      <c r="W266" s="731"/>
      <c r="X266" s="734"/>
      <c r="Y266" s="731"/>
      <c r="Z266" s="731"/>
    </row>
    <row r="267">
      <c r="C267" s="734"/>
      <c r="D267" s="731"/>
      <c r="E267" s="731"/>
      <c r="F267" s="734"/>
      <c r="G267" s="731"/>
      <c r="H267" s="731"/>
      <c r="I267" s="734"/>
      <c r="J267" s="731"/>
      <c r="K267" s="731"/>
      <c r="L267" s="734"/>
      <c r="M267" s="731"/>
      <c r="N267" s="731"/>
      <c r="O267" s="730"/>
      <c r="P267" s="736">
        <v>2.0</v>
      </c>
      <c r="Q267" s="736">
        <v>27.0</v>
      </c>
      <c r="R267" s="766"/>
      <c r="S267" s="767"/>
      <c r="T267" s="768"/>
      <c r="U267" s="734"/>
      <c r="V267" s="731"/>
      <c r="W267" s="731"/>
      <c r="X267" s="734"/>
      <c r="Y267" s="731"/>
      <c r="Z267" s="731"/>
    </row>
    <row r="268">
      <c r="C268" s="734"/>
      <c r="D268" s="731"/>
      <c r="E268" s="731"/>
      <c r="F268" s="734"/>
      <c r="G268" s="731"/>
      <c r="H268" s="731"/>
      <c r="I268" s="734"/>
      <c r="J268" s="731"/>
      <c r="K268" s="731"/>
      <c r="L268" s="734"/>
      <c r="M268" s="731"/>
      <c r="N268" s="736" t="s">
        <v>422</v>
      </c>
      <c r="O268" s="745">
        <v>150.0</v>
      </c>
      <c r="P268" s="736">
        <v>12.0</v>
      </c>
      <c r="Q268" s="736">
        <v>29.0</v>
      </c>
      <c r="R268" s="766">
        <f>P268-P267+Q268/60-Q267/60</f>
        <v>10.03333333</v>
      </c>
      <c r="S268" s="767">
        <f>(O268-1)/R268</f>
        <v>14.85049834</v>
      </c>
      <c r="T268" s="768">
        <f>S268*60</f>
        <v>891.0299003</v>
      </c>
      <c r="U268" s="734"/>
      <c r="V268" s="731"/>
      <c r="W268" s="731"/>
      <c r="X268" s="734"/>
      <c r="Y268" s="731"/>
      <c r="Z268" s="731"/>
    </row>
    <row r="269">
      <c r="C269" s="734"/>
      <c r="D269" s="731"/>
      <c r="E269" s="731"/>
      <c r="F269" s="734"/>
      <c r="G269" s="731"/>
      <c r="H269" s="731"/>
      <c r="I269" s="734"/>
      <c r="J269" s="731"/>
      <c r="K269" s="731"/>
      <c r="L269" s="734"/>
      <c r="M269" s="731"/>
      <c r="N269" s="731"/>
      <c r="O269" s="730"/>
      <c r="P269" s="736">
        <v>42.0</v>
      </c>
      <c r="Q269" s="736">
        <v>50.0</v>
      </c>
      <c r="R269" s="766"/>
      <c r="S269" s="767"/>
      <c r="T269" s="768"/>
      <c r="U269" s="734"/>
      <c r="V269" s="731"/>
      <c r="W269" s="731"/>
      <c r="X269" s="734"/>
      <c r="Y269" s="731"/>
      <c r="Z269" s="731"/>
    </row>
    <row r="270">
      <c r="C270" s="734"/>
      <c r="D270" s="731"/>
      <c r="E270" s="731"/>
      <c r="F270" s="734"/>
      <c r="G270" s="731"/>
      <c r="H270" s="731"/>
      <c r="I270" s="734"/>
      <c r="J270" s="731"/>
      <c r="K270" s="731"/>
      <c r="L270" s="734"/>
      <c r="M270" s="731"/>
      <c r="N270" s="736" t="s">
        <v>39</v>
      </c>
      <c r="O270" s="745">
        <v>30.0</v>
      </c>
      <c r="P270" s="736">
        <v>45.0</v>
      </c>
      <c r="Q270" s="736">
        <v>4.0</v>
      </c>
      <c r="R270" s="766">
        <f>P270-P269+Q270/60-Q269/60</f>
        <v>2.233333333</v>
      </c>
      <c r="S270" s="767">
        <f>(O270-1)/R270</f>
        <v>12.98507463</v>
      </c>
      <c r="T270" s="768">
        <f>S270*60</f>
        <v>779.1044776</v>
      </c>
      <c r="U270" s="734"/>
      <c r="V270" s="731"/>
      <c r="W270" s="731"/>
      <c r="X270" s="734"/>
      <c r="Y270" s="731"/>
      <c r="Z270" s="731"/>
    </row>
    <row r="271">
      <c r="C271" s="734"/>
      <c r="D271" s="731"/>
      <c r="E271" s="731"/>
      <c r="F271" s="734"/>
      <c r="G271" s="731"/>
      <c r="H271" s="731"/>
      <c r="I271" s="734"/>
      <c r="J271" s="731"/>
      <c r="K271" s="731"/>
      <c r="L271" s="734"/>
      <c r="M271" s="731"/>
      <c r="N271" s="731"/>
      <c r="O271" s="730"/>
      <c r="P271" s="736">
        <v>34.0</v>
      </c>
      <c r="Q271" s="736">
        <v>23.0</v>
      </c>
      <c r="R271" s="766"/>
      <c r="S271" s="767"/>
      <c r="T271" s="768"/>
      <c r="U271" s="734"/>
      <c r="V271" s="731"/>
      <c r="W271" s="731"/>
      <c r="X271" s="734"/>
      <c r="Y271" s="731"/>
      <c r="Z271" s="731"/>
    </row>
    <row r="272">
      <c r="C272" s="734"/>
      <c r="D272" s="731"/>
      <c r="E272" s="731"/>
      <c r="F272" s="734"/>
      <c r="G272" s="731"/>
      <c r="H272" s="731"/>
      <c r="I272" s="734"/>
      <c r="J272" s="731"/>
      <c r="K272" s="731"/>
      <c r="L272" s="734"/>
      <c r="M272" s="731"/>
      <c r="N272" s="736" t="s">
        <v>423</v>
      </c>
      <c r="O272" s="745">
        <v>30.0</v>
      </c>
      <c r="P272" s="736">
        <v>37.0</v>
      </c>
      <c r="Q272" s="736">
        <v>20.0</v>
      </c>
      <c r="R272" s="766">
        <f>P272-P271+Q272/60-Q271/60</f>
        <v>2.95</v>
      </c>
      <c r="S272" s="767">
        <f>(O272-1)/R272</f>
        <v>9.830508475</v>
      </c>
      <c r="T272" s="768">
        <f>S272*60</f>
        <v>589.8305085</v>
      </c>
      <c r="U272" s="734"/>
      <c r="V272" s="731"/>
      <c r="W272" s="731"/>
      <c r="X272" s="734"/>
      <c r="Y272" s="731"/>
      <c r="Z272" s="731"/>
    </row>
    <row r="273">
      <c r="C273" s="734"/>
      <c r="D273" s="731"/>
      <c r="E273" s="731"/>
      <c r="F273" s="734"/>
      <c r="G273" s="731"/>
      <c r="H273" s="731"/>
      <c r="I273" s="734"/>
      <c r="J273" s="731"/>
      <c r="K273" s="731"/>
      <c r="L273" s="734"/>
      <c r="M273" s="731"/>
      <c r="N273" s="731"/>
      <c r="O273" s="730"/>
      <c r="P273" s="736">
        <v>7.0</v>
      </c>
      <c r="Q273" s="736">
        <v>23.0</v>
      </c>
      <c r="R273" s="766"/>
      <c r="S273" s="767"/>
      <c r="T273" s="768"/>
      <c r="U273" s="734"/>
      <c r="V273" s="731"/>
      <c r="W273" s="731"/>
      <c r="X273" s="734"/>
      <c r="Y273" s="731"/>
      <c r="Z273" s="731"/>
    </row>
    <row r="274">
      <c r="C274" s="734"/>
      <c r="D274" s="731"/>
      <c r="E274" s="731"/>
      <c r="F274" s="734"/>
      <c r="G274" s="731"/>
      <c r="H274" s="731"/>
      <c r="I274" s="734"/>
      <c r="J274" s="731"/>
      <c r="K274" s="731"/>
      <c r="L274" s="734"/>
      <c r="M274" s="731"/>
      <c r="N274" s="736" t="s">
        <v>61</v>
      </c>
      <c r="O274" s="745">
        <v>50.0</v>
      </c>
      <c r="P274" s="736">
        <v>10.0</v>
      </c>
      <c r="Q274" s="736">
        <v>44.0</v>
      </c>
      <c r="R274" s="766">
        <f>P274-P273+Q274/60-Q273/60</f>
        <v>3.35</v>
      </c>
      <c r="S274" s="767">
        <f>(O274-1)/R274</f>
        <v>14.62686567</v>
      </c>
      <c r="T274" s="768">
        <f>S274*60</f>
        <v>877.6119403</v>
      </c>
      <c r="U274" s="734"/>
      <c r="V274" s="731"/>
      <c r="W274" s="731"/>
      <c r="X274" s="734"/>
      <c r="Y274" s="731"/>
      <c r="Z274" s="731"/>
    </row>
    <row r="275">
      <c r="C275" s="734"/>
      <c r="D275" s="731"/>
      <c r="E275" s="731"/>
      <c r="F275" s="734"/>
      <c r="G275" s="731"/>
      <c r="H275" s="731"/>
      <c r="I275" s="734"/>
      <c r="J275" s="731"/>
      <c r="K275" s="731"/>
      <c r="L275" s="734"/>
      <c r="M275" s="731"/>
      <c r="N275" s="731"/>
      <c r="O275" s="745"/>
      <c r="P275" s="736">
        <v>14.0</v>
      </c>
      <c r="Q275" s="736">
        <v>38.0</v>
      </c>
      <c r="R275" s="766"/>
      <c r="S275" s="767"/>
      <c r="T275" s="768"/>
      <c r="U275" s="734"/>
      <c r="V275" s="731"/>
      <c r="W275" s="731"/>
      <c r="X275" s="734"/>
      <c r="Y275" s="731"/>
      <c r="Z275" s="731"/>
    </row>
    <row r="276">
      <c r="C276" s="734"/>
      <c r="D276" s="731"/>
      <c r="E276" s="731"/>
      <c r="F276" s="734"/>
      <c r="G276" s="731"/>
      <c r="H276" s="731"/>
      <c r="I276" s="734"/>
      <c r="J276" s="731"/>
      <c r="K276" s="731"/>
      <c r="L276" s="734"/>
      <c r="M276" s="731"/>
      <c r="N276" s="736" t="s">
        <v>66</v>
      </c>
      <c r="O276" s="745">
        <v>64.0</v>
      </c>
      <c r="P276" s="736">
        <v>20.0</v>
      </c>
      <c r="Q276" s="736">
        <v>9.0</v>
      </c>
      <c r="R276" s="766">
        <f>P276-P275+Q276/60-Q275/60</f>
        <v>5.516666667</v>
      </c>
      <c r="S276" s="767">
        <f>(O276-1)/R276</f>
        <v>11.41993958</v>
      </c>
      <c r="T276" s="768">
        <f>S276*60</f>
        <v>685.1963746</v>
      </c>
      <c r="U276" s="734"/>
      <c r="V276" s="731"/>
      <c r="W276" s="731"/>
      <c r="X276" s="734"/>
      <c r="Y276" s="731"/>
      <c r="Z276" s="731"/>
    </row>
    <row r="277">
      <c r="C277" s="734"/>
      <c r="D277" s="731"/>
      <c r="E277" s="731"/>
      <c r="F277" s="734"/>
      <c r="G277" s="731"/>
      <c r="H277" s="731"/>
      <c r="I277" s="734"/>
      <c r="J277" s="731"/>
      <c r="K277" s="731"/>
      <c r="L277" s="734"/>
      <c r="M277" s="731"/>
      <c r="N277" s="731"/>
      <c r="O277" s="730"/>
      <c r="P277" s="736">
        <v>3.0</v>
      </c>
      <c r="Q277" s="736">
        <v>50.0</v>
      </c>
      <c r="R277" s="766"/>
      <c r="S277" s="767"/>
      <c r="T277" s="768"/>
      <c r="U277" s="734"/>
      <c r="V277" s="731"/>
      <c r="W277" s="731"/>
      <c r="X277" s="734"/>
      <c r="Y277" s="731"/>
      <c r="Z277" s="731"/>
    </row>
    <row r="278">
      <c r="C278" s="734"/>
      <c r="D278" s="731"/>
      <c r="E278" s="731"/>
      <c r="F278" s="734"/>
      <c r="G278" s="731"/>
      <c r="H278" s="731"/>
      <c r="I278" s="734"/>
      <c r="J278" s="731"/>
      <c r="K278" s="731"/>
      <c r="L278" s="734"/>
      <c r="M278" s="731"/>
      <c r="N278" s="736" t="s">
        <v>139</v>
      </c>
      <c r="O278" s="745">
        <v>30.0</v>
      </c>
      <c r="P278" s="736">
        <v>6.0</v>
      </c>
      <c r="Q278" s="736">
        <v>13.0</v>
      </c>
      <c r="R278" s="766">
        <f>P278-P277+Q278/60-Q277/60</f>
        <v>2.383333333</v>
      </c>
      <c r="S278" s="767">
        <f>(O278-1)/R278</f>
        <v>12.16783217</v>
      </c>
      <c r="T278" s="768">
        <f>S278*60</f>
        <v>730.0699301</v>
      </c>
      <c r="U278" s="734"/>
      <c r="V278" s="731"/>
      <c r="W278" s="731"/>
      <c r="X278" s="734"/>
      <c r="Y278" s="731"/>
      <c r="Z278" s="731"/>
    </row>
    <row r="279">
      <c r="C279" s="734"/>
      <c r="D279" s="731"/>
      <c r="E279" s="731"/>
      <c r="F279" s="734"/>
      <c r="G279" s="731"/>
      <c r="H279" s="731"/>
      <c r="I279" s="734"/>
      <c r="J279" s="731"/>
      <c r="K279" s="731"/>
      <c r="L279" s="734"/>
      <c r="M279" s="731"/>
      <c r="N279" s="731"/>
      <c r="O279" s="730"/>
      <c r="P279" s="736">
        <v>10.0</v>
      </c>
      <c r="Q279" s="736">
        <v>44.0</v>
      </c>
      <c r="R279" s="766"/>
      <c r="S279" s="767"/>
      <c r="T279" s="768"/>
      <c r="U279" s="734"/>
      <c r="V279" s="731"/>
      <c r="W279" s="731"/>
      <c r="X279" s="734"/>
      <c r="Y279" s="731"/>
      <c r="Z279" s="731"/>
    </row>
    <row r="280">
      <c r="C280" s="734"/>
      <c r="D280" s="731"/>
      <c r="E280" s="731"/>
      <c r="F280" s="734"/>
      <c r="G280" s="731"/>
      <c r="H280" s="731"/>
      <c r="I280" s="734"/>
      <c r="J280" s="731"/>
      <c r="K280" s="731"/>
      <c r="L280" s="734"/>
      <c r="M280" s="731"/>
      <c r="N280" s="736" t="s">
        <v>72</v>
      </c>
      <c r="O280" s="745">
        <v>30.0</v>
      </c>
      <c r="P280" s="736">
        <v>12.0</v>
      </c>
      <c r="Q280" s="736">
        <v>37.0</v>
      </c>
      <c r="R280" s="766">
        <f>P280-P279+Q280/60-Q279/60</f>
        <v>1.883333333</v>
      </c>
      <c r="S280" s="767">
        <f>(O280-1)/R280</f>
        <v>15.39823009</v>
      </c>
      <c r="T280" s="768">
        <f>S280*60</f>
        <v>923.8938053</v>
      </c>
      <c r="U280" s="734"/>
      <c r="V280" s="731"/>
      <c r="W280" s="731"/>
      <c r="X280" s="734"/>
      <c r="Y280" s="731"/>
      <c r="Z280" s="731"/>
    </row>
    <row r="281">
      <c r="C281" s="734"/>
      <c r="D281" s="731"/>
      <c r="E281" s="731"/>
      <c r="F281" s="734"/>
      <c r="G281" s="731"/>
      <c r="H281" s="731"/>
      <c r="I281" s="734"/>
      <c r="J281" s="731"/>
      <c r="K281" s="731"/>
      <c r="L281" s="734"/>
      <c r="M281" s="731"/>
      <c r="N281" s="731"/>
      <c r="O281" s="730"/>
      <c r="P281" s="736">
        <v>46.0</v>
      </c>
      <c r="Q281" s="736">
        <v>11.0</v>
      </c>
      <c r="R281" s="766"/>
      <c r="S281" s="767"/>
      <c r="T281" s="768"/>
      <c r="U281" s="734"/>
      <c r="V281" s="731"/>
      <c r="W281" s="731"/>
      <c r="X281" s="734"/>
      <c r="Y281" s="731"/>
      <c r="Z281" s="731"/>
    </row>
    <row r="282">
      <c r="C282" s="734"/>
      <c r="D282" s="731"/>
      <c r="E282" s="731"/>
      <c r="F282" s="734"/>
      <c r="G282" s="731"/>
      <c r="H282" s="731"/>
      <c r="I282" s="734"/>
      <c r="J282" s="731"/>
      <c r="K282" s="731"/>
      <c r="L282" s="734"/>
      <c r="M282" s="731"/>
      <c r="N282" s="736" t="s">
        <v>77</v>
      </c>
      <c r="O282" s="745">
        <v>30.0</v>
      </c>
      <c r="P282" s="736">
        <v>48.0</v>
      </c>
      <c r="Q282" s="736">
        <v>17.0</v>
      </c>
      <c r="R282" s="766">
        <f>P282-P281+Q282/60-Q281/60</f>
        <v>2.1</v>
      </c>
      <c r="S282" s="767">
        <f>(O282-1)/R282</f>
        <v>13.80952381</v>
      </c>
      <c r="T282" s="768">
        <f>S282*60</f>
        <v>828.5714286</v>
      </c>
      <c r="U282" s="734"/>
      <c r="V282" s="731"/>
      <c r="W282" s="731"/>
      <c r="X282" s="734"/>
      <c r="Y282" s="731"/>
      <c r="Z282" s="731"/>
    </row>
    <row r="283">
      <c r="C283" s="734"/>
      <c r="D283" s="731"/>
      <c r="E283" s="731"/>
      <c r="F283" s="734"/>
      <c r="G283" s="731"/>
      <c r="H283" s="731"/>
      <c r="I283" s="734"/>
      <c r="J283" s="731"/>
      <c r="K283" s="731"/>
      <c r="L283" s="734"/>
      <c r="M283" s="731"/>
      <c r="N283" s="731"/>
      <c r="O283" s="730"/>
      <c r="P283" s="736">
        <v>10.0</v>
      </c>
      <c r="Q283" s="736">
        <v>11.0</v>
      </c>
      <c r="R283" s="766"/>
      <c r="S283" s="767"/>
      <c r="T283" s="768"/>
      <c r="U283" s="734"/>
      <c r="V283" s="731"/>
      <c r="W283" s="731"/>
      <c r="X283" s="734"/>
      <c r="Y283" s="731"/>
      <c r="Z283" s="731"/>
    </row>
    <row r="284">
      <c r="C284" s="734"/>
      <c r="D284" s="731"/>
      <c r="E284" s="731"/>
      <c r="F284" s="734"/>
      <c r="G284" s="731"/>
      <c r="H284" s="731"/>
      <c r="I284" s="734"/>
      <c r="J284" s="731"/>
      <c r="K284" s="731"/>
      <c r="L284" s="734"/>
      <c r="M284" s="731"/>
      <c r="N284" s="736" t="s">
        <v>96</v>
      </c>
      <c r="O284" s="745">
        <v>30.0</v>
      </c>
      <c r="P284" s="736">
        <v>12.0</v>
      </c>
      <c r="Q284" s="736">
        <v>25.0</v>
      </c>
      <c r="R284" s="766">
        <f>P284-P283+Q284/60-Q283/60</f>
        <v>2.233333333</v>
      </c>
      <c r="S284" s="767">
        <f>(O284-1)/R284</f>
        <v>12.98507463</v>
      </c>
      <c r="T284" s="768">
        <f>S284*60</f>
        <v>779.1044776</v>
      </c>
      <c r="U284" s="734"/>
      <c r="V284" s="731"/>
      <c r="W284" s="731"/>
      <c r="X284" s="734"/>
      <c r="Y284" s="731"/>
      <c r="Z284" s="731"/>
    </row>
    <row r="285">
      <c r="C285" s="734"/>
      <c r="D285" s="731"/>
      <c r="E285" s="731"/>
      <c r="F285" s="734"/>
      <c r="G285" s="731"/>
      <c r="H285" s="731"/>
      <c r="I285" s="734"/>
      <c r="J285" s="731"/>
      <c r="K285" s="731"/>
      <c r="L285" s="734"/>
      <c r="M285" s="731"/>
      <c r="N285" s="731"/>
      <c r="O285" s="730"/>
      <c r="P285" s="736">
        <v>55.0</v>
      </c>
      <c r="Q285" s="736">
        <v>53.0</v>
      </c>
      <c r="R285" s="766"/>
      <c r="S285" s="767"/>
      <c r="T285" s="768"/>
      <c r="U285" s="734"/>
      <c r="V285" s="731"/>
      <c r="W285" s="731"/>
      <c r="X285" s="734"/>
      <c r="Y285" s="731"/>
      <c r="Z285" s="731"/>
    </row>
    <row r="286">
      <c r="C286" s="734"/>
      <c r="D286" s="731"/>
      <c r="E286" s="731"/>
      <c r="F286" s="734"/>
      <c r="G286" s="731"/>
      <c r="H286" s="731"/>
      <c r="I286" s="734"/>
      <c r="J286" s="731"/>
      <c r="K286" s="731"/>
      <c r="L286" s="734"/>
      <c r="M286" s="731"/>
      <c r="N286" s="736" t="s">
        <v>424</v>
      </c>
      <c r="O286" s="745">
        <v>34.0</v>
      </c>
      <c r="P286" s="736">
        <v>59.0</v>
      </c>
      <c r="Q286" s="736">
        <v>34.0</v>
      </c>
      <c r="R286" s="766">
        <f>P286-P285+Q286/60-Q285/60</f>
        <v>3.683333333</v>
      </c>
      <c r="S286" s="767">
        <f>(O286-1)/R286</f>
        <v>8.959276018</v>
      </c>
      <c r="T286" s="768">
        <f>S286*60</f>
        <v>537.5565611</v>
      </c>
      <c r="U286" s="734"/>
      <c r="V286" s="731"/>
      <c r="W286" s="731"/>
      <c r="X286" s="734"/>
      <c r="Y286" s="731"/>
      <c r="Z286" s="731"/>
    </row>
    <row r="287">
      <c r="C287" s="734"/>
      <c r="D287" s="731"/>
      <c r="E287" s="731"/>
      <c r="F287" s="734"/>
      <c r="G287" s="731"/>
      <c r="H287" s="731"/>
      <c r="I287" s="734"/>
      <c r="J287" s="731"/>
      <c r="K287" s="731"/>
      <c r="L287" s="734"/>
      <c r="M287" s="731"/>
      <c r="N287" s="731"/>
      <c r="O287" s="730"/>
      <c r="P287" s="736">
        <v>1.0</v>
      </c>
      <c r="Q287" s="736">
        <v>52.0</v>
      </c>
      <c r="R287" s="766"/>
      <c r="S287" s="767"/>
      <c r="T287" s="768"/>
      <c r="U287" s="734"/>
      <c r="V287" s="731"/>
      <c r="W287" s="731"/>
      <c r="X287" s="734"/>
      <c r="Y287" s="731"/>
      <c r="Z287" s="731"/>
    </row>
    <row r="288">
      <c r="C288" s="734"/>
      <c r="D288" s="731"/>
      <c r="E288" s="731"/>
      <c r="F288" s="734"/>
      <c r="G288" s="731"/>
      <c r="H288" s="731"/>
      <c r="I288" s="734"/>
      <c r="J288" s="731"/>
      <c r="K288" s="731"/>
      <c r="L288" s="734"/>
      <c r="M288" s="731"/>
      <c r="N288" s="736" t="s">
        <v>425</v>
      </c>
      <c r="O288" s="745">
        <v>30.0</v>
      </c>
      <c r="P288" s="736">
        <v>4.0</v>
      </c>
      <c r="Q288" s="736">
        <v>25.0</v>
      </c>
      <c r="R288" s="766">
        <f>P288-P287+Q288/60-Q287/60</f>
        <v>2.55</v>
      </c>
      <c r="S288" s="767">
        <f>(O288-1)/R288</f>
        <v>11.37254902</v>
      </c>
      <c r="T288" s="768">
        <f>S288*60</f>
        <v>682.3529412</v>
      </c>
      <c r="U288" s="734"/>
      <c r="V288" s="731"/>
      <c r="W288" s="731"/>
      <c r="X288" s="734"/>
      <c r="Y288" s="731"/>
      <c r="Z288" s="731"/>
    </row>
    <row r="289">
      <c r="C289" s="734"/>
      <c r="D289" s="731"/>
      <c r="E289" s="731"/>
      <c r="F289" s="734"/>
      <c r="G289" s="731"/>
      <c r="H289" s="731"/>
      <c r="I289" s="734"/>
      <c r="J289" s="731"/>
      <c r="K289" s="731"/>
      <c r="L289" s="734"/>
      <c r="M289" s="731"/>
      <c r="N289" s="731"/>
      <c r="O289" s="730"/>
      <c r="P289" s="736">
        <v>9.0</v>
      </c>
      <c r="Q289" s="736">
        <v>46.0</v>
      </c>
      <c r="R289" s="766"/>
      <c r="S289" s="767"/>
      <c r="T289" s="768"/>
      <c r="U289" s="734"/>
      <c r="V289" s="731"/>
      <c r="W289" s="731"/>
      <c r="X289" s="734"/>
      <c r="Y289" s="731"/>
      <c r="Z289" s="731"/>
    </row>
    <row r="290">
      <c r="C290" s="734"/>
      <c r="D290" s="731"/>
      <c r="E290" s="731"/>
      <c r="F290" s="734"/>
      <c r="G290" s="731"/>
      <c r="H290" s="731"/>
      <c r="I290" s="734"/>
      <c r="J290" s="731"/>
      <c r="K290" s="731"/>
      <c r="L290" s="734"/>
      <c r="M290" s="731"/>
      <c r="N290" s="736" t="s">
        <v>426</v>
      </c>
      <c r="O290" s="745">
        <v>30.0</v>
      </c>
      <c r="P290" s="736">
        <v>11.0</v>
      </c>
      <c r="Q290" s="736">
        <v>20.0</v>
      </c>
      <c r="R290" s="766">
        <f>P290-P289+Q290/60-Q289/60</f>
        <v>1.566666667</v>
      </c>
      <c r="S290" s="767">
        <f>(O290-1)/R290</f>
        <v>18.5106383</v>
      </c>
      <c r="T290" s="768">
        <f>S290*60</f>
        <v>1110.638298</v>
      </c>
      <c r="U290" s="734"/>
      <c r="V290" s="731"/>
      <c r="W290" s="731"/>
      <c r="X290" s="734"/>
      <c r="Y290" s="731"/>
      <c r="Z290" s="731"/>
    </row>
    <row r="291">
      <c r="C291" s="734"/>
      <c r="D291" s="731"/>
      <c r="E291" s="731"/>
      <c r="F291" s="734"/>
      <c r="G291" s="731"/>
      <c r="H291" s="731"/>
      <c r="I291" s="734"/>
      <c r="J291" s="731"/>
      <c r="K291" s="731"/>
      <c r="L291" s="734"/>
      <c r="M291" s="731"/>
      <c r="N291" s="731"/>
      <c r="O291" s="730"/>
      <c r="P291" s="736">
        <v>21.0</v>
      </c>
      <c r="Q291" s="736">
        <v>45.0</v>
      </c>
      <c r="R291" s="766"/>
      <c r="S291" s="767"/>
      <c r="T291" s="768"/>
      <c r="U291" s="734"/>
      <c r="V291" s="731"/>
      <c r="W291" s="731"/>
      <c r="X291" s="734"/>
      <c r="Y291" s="731"/>
      <c r="Z291" s="731"/>
    </row>
    <row r="292">
      <c r="C292" s="734"/>
      <c r="D292" s="731"/>
      <c r="E292" s="731"/>
      <c r="F292" s="734"/>
      <c r="G292" s="731"/>
      <c r="H292" s="731"/>
      <c r="I292" s="734"/>
      <c r="J292" s="731"/>
      <c r="K292" s="731"/>
      <c r="L292" s="734"/>
      <c r="M292" s="731"/>
      <c r="N292" s="736" t="s">
        <v>427</v>
      </c>
      <c r="O292" s="745">
        <v>25.0</v>
      </c>
      <c r="P292" s="736">
        <v>23.0</v>
      </c>
      <c r="Q292" s="736">
        <v>1.0</v>
      </c>
      <c r="R292" s="766">
        <f>P292-P291+Q292/60-Q291/60</f>
        <v>1.266666667</v>
      </c>
      <c r="S292" s="767">
        <f>(O292-1)/R292</f>
        <v>18.94736842</v>
      </c>
      <c r="T292" s="768">
        <f>S292*60</f>
        <v>1136.842105</v>
      </c>
      <c r="U292" s="734"/>
      <c r="V292" s="731"/>
      <c r="W292" s="731"/>
      <c r="X292" s="734"/>
      <c r="Y292" s="731"/>
      <c r="Z292" s="731"/>
    </row>
    <row r="293">
      <c r="C293" s="734"/>
      <c r="D293" s="731"/>
      <c r="E293" s="731"/>
      <c r="F293" s="734"/>
      <c r="G293" s="731"/>
      <c r="H293" s="731"/>
      <c r="I293" s="734"/>
      <c r="J293" s="731"/>
      <c r="K293" s="731"/>
      <c r="L293" s="734"/>
      <c r="M293" s="731"/>
      <c r="N293" s="731"/>
      <c r="O293" s="730"/>
      <c r="P293" s="736">
        <v>41.0</v>
      </c>
      <c r="Q293" s="736">
        <v>44.0</v>
      </c>
      <c r="R293" s="766"/>
      <c r="S293" s="767"/>
      <c r="T293" s="768"/>
      <c r="U293" s="734"/>
      <c r="V293" s="731"/>
      <c r="W293" s="731"/>
      <c r="X293" s="734"/>
      <c r="Y293" s="731"/>
      <c r="Z293" s="731"/>
    </row>
    <row r="294">
      <c r="C294" s="734"/>
      <c r="D294" s="731"/>
      <c r="E294" s="731"/>
      <c r="F294" s="734"/>
      <c r="G294" s="731"/>
      <c r="H294" s="731"/>
      <c r="I294" s="734"/>
      <c r="J294" s="731"/>
      <c r="K294" s="731"/>
      <c r="L294" s="734"/>
      <c r="M294" s="731"/>
      <c r="N294" s="736" t="s">
        <v>428</v>
      </c>
      <c r="O294" s="745">
        <v>30.0</v>
      </c>
      <c r="P294" s="736">
        <v>47.0</v>
      </c>
      <c r="Q294" s="736">
        <v>34.0</v>
      </c>
      <c r="R294" s="766">
        <f>P294-P293+Q294/60-Q293/60</f>
        <v>5.833333333</v>
      </c>
      <c r="S294" s="767">
        <f>(O294-1)/R294</f>
        <v>4.971428571</v>
      </c>
      <c r="T294" s="768">
        <f>S294*60</f>
        <v>298.2857143</v>
      </c>
      <c r="U294" s="734"/>
      <c r="V294" s="731"/>
      <c r="W294" s="731"/>
      <c r="X294" s="734"/>
      <c r="Y294" s="731"/>
      <c r="Z294" s="731"/>
    </row>
    <row r="295">
      <c r="C295" s="734"/>
      <c r="D295" s="731"/>
      <c r="E295" s="731"/>
      <c r="F295" s="734"/>
      <c r="G295" s="731"/>
      <c r="H295" s="731"/>
      <c r="I295" s="734"/>
      <c r="J295" s="731"/>
      <c r="K295" s="731"/>
      <c r="L295" s="734"/>
      <c r="M295" s="731"/>
      <c r="N295" s="731"/>
      <c r="O295" s="730"/>
      <c r="P295" s="736">
        <v>13.0</v>
      </c>
      <c r="Q295" s="736">
        <v>20.0</v>
      </c>
      <c r="R295" s="766"/>
      <c r="S295" s="767"/>
      <c r="T295" s="768"/>
      <c r="U295" s="734"/>
      <c r="V295" s="731"/>
      <c r="W295" s="731"/>
      <c r="X295" s="734"/>
      <c r="Y295" s="731"/>
      <c r="Z295" s="731"/>
    </row>
    <row r="296">
      <c r="C296" s="734"/>
      <c r="D296" s="731"/>
      <c r="E296" s="731"/>
      <c r="F296" s="734"/>
      <c r="G296" s="731"/>
      <c r="H296" s="731"/>
      <c r="I296" s="734"/>
      <c r="J296" s="731"/>
      <c r="K296" s="731"/>
      <c r="L296" s="734"/>
      <c r="M296" s="731"/>
      <c r="N296" s="736" t="s">
        <v>429</v>
      </c>
      <c r="O296" s="745">
        <v>20.0</v>
      </c>
      <c r="P296" s="736">
        <v>14.0</v>
      </c>
      <c r="Q296" s="736">
        <v>19.0</v>
      </c>
      <c r="R296" s="766">
        <f>P296-P295+Q296/60-Q295/60</f>
        <v>0.9833333333</v>
      </c>
      <c r="S296" s="767">
        <f>(O296-1)/R296</f>
        <v>19.3220339</v>
      </c>
      <c r="T296" s="768">
        <f>S296*60</f>
        <v>1159.322034</v>
      </c>
      <c r="U296" s="734"/>
      <c r="V296" s="731"/>
      <c r="W296" s="731"/>
      <c r="X296" s="734"/>
      <c r="Y296" s="731"/>
      <c r="Z296" s="731"/>
    </row>
    <row r="297">
      <c r="C297" s="734"/>
      <c r="D297" s="731"/>
      <c r="E297" s="731"/>
      <c r="F297" s="734"/>
      <c r="G297" s="731"/>
      <c r="H297" s="731"/>
      <c r="I297" s="734"/>
      <c r="J297" s="731"/>
      <c r="K297" s="731"/>
      <c r="L297" s="734"/>
      <c r="M297" s="731"/>
      <c r="N297" s="731"/>
      <c r="O297" s="730"/>
      <c r="P297" s="736">
        <v>21.0</v>
      </c>
      <c r="Q297" s="736">
        <v>31.0</v>
      </c>
      <c r="R297" s="766"/>
      <c r="S297" s="767"/>
      <c r="T297" s="768"/>
      <c r="U297" s="734"/>
      <c r="V297" s="731"/>
      <c r="W297" s="731"/>
      <c r="X297" s="734"/>
      <c r="Y297" s="731"/>
      <c r="Z297" s="731"/>
    </row>
    <row r="298">
      <c r="C298" s="734"/>
      <c r="D298" s="731"/>
      <c r="E298" s="731"/>
      <c r="F298" s="734"/>
      <c r="G298" s="731"/>
      <c r="H298" s="731"/>
      <c r="I298" s="734"/>
      <c r="J298" s="731"/>
      <c r="K298" s="731"/>
      <c r="L298" s="734"/>
      <c r="M298" s="731"/>
      <c r="N298" s="736" t="s">
        <v>430</v>
      </c>
      <c r="O298" s="745">
        <v>30.0</v>
      </c>
      <c r="P298" s="736">
        <v>23.0</v>
      </c>
      <c r="Q298" s="736">
        <v>29.0</v>
      </c>
      <c r="R298" s="766">
        <f>P298-P297+Q298/60-Q297/60</f>
        <v>1.966666667</v>
      </c>
      <c r="S298" s="767">
        <f>(O298-1)/R298</f>
        <v>14.74576271</v>
      </c>
      <c r="T298" s="768">
        <f>S298*60</f>
        <v>884.7457627</v>
      </c>
      <c r="U298" s="734"/>
      <c r="V298" s="731"/>
      <c r="W298" s="731"/>
      <c r="X298" s="734"/>
      <c r="Y298" s="731"/>
      <c r="Z298" s="731"/>
    </row>
    <row r="299">
      <c r="C299" s="734"/>
      <c r="D299" s="731"/>
      <c r="E299" s="731"/>
      <c r="F299" s="734"/>
      <c r="G299" s="731"/>
      <c r="H299" s="731"/>
      <c r="I299" s="734"/>
      <c r="J299" s="731"/>
      <c r="K299" s="731"/>
      <c r="L299" s="734"/>
      <c r="M299" s="731"/>
      <c r="N299" s="731"/>
      <c r="O299" s="730"/>
      <c r="P299" s="736">
        <v>2.0</v>
      </c>
      <c r="Q299" s="736">
        <v>44.0</v>
      </c>
      <c r="R299" s="766"/>
      <c r="S299" s="731"/>
      <c r="T299" s="731"/>
      <c r="U299" s="734"/>
      <c r="V299" s="731"/>
      <c r="W299" s="731"/>
      <c r="X299" s="734"/>
      <c r="Y299" s="731"/>
      <c r="Z299" s="731"/>
    </row>
    <row r="300">
      <c r="C300" s="734"/>
      <c r="D300" s="731"/>
      <c r="E300" s="731"/>
      <c r="F300" s="734"/>
      <c r="G300" s="731"/>
      <c r="H300" s="731"/>
      <c r="I300" s="734"/>
      <c r="J300" s="731"/>
      <c r="K300" s="731"/>
      <c r="L300" s="734"/>
      <c r="M300" s="731"/>
      <c r="N300" s="736" t="s">
        <v>431</v>
      </c>
      <c r="O300" s="745"/>
      <c r="P300" s="736">
        <v>4.0</v>
      </c>
      <c r="Q300" s="736">
        <v>53.0</v>
      </c>
      <c r="R300" s="766">
        <f>P300-P299+Q300/60-Q299/60</f>
        <v>2.15</v>
      </c>
      <c r="S300" s="771">
        <f>1/R300*60</f>
        <v>27.90697674</v>
      </c>
      <c r="T300" s="731"/>
      <c r="U300" s="734"/>
      <c r="V300" s="731"/>
      <c r="W300" s="731"/>
      <c r="X300" s="734"/>
      <c r="Y300" s="731"/>
      <c r="Z300" s="731"/>
    </row>
    <row r="301">
      <c r="C301" s="734"/>
      <c r="D301" s="731"/>
      <c r="E301" s="731"/>
      <c r="F301" s="734"/>
      <c r="G301" s="731"/>
      <c r="H301" s="731"/>
      <c r="I301" s="734"/>
      <c r="J301" s="731"/>
      <c r="K301" s="731"/>
      <c r="L301" s="734"/>
      <c r="M301" s="731"/>
      <c r="N301" s="731"/>
      <c r="O301" s="730"/>
      <c r="P301" s="736">
        <v>4.0</v>
      </c>
      <c r="Q301" s="736">
        <v>53.0</v>
      </c>
      <c r="R301" s="766"/>
      <c r="S301" s="731"/>
      <c r="T301" s="731"/>
      <c r="U301" s="734"/>
      <c r="V301" s="731"/>
      <c r="W301" s="731"/>
      <c r="X301" s="734"/>
      <c r="Y301" s="731"/>
      <c r="Z301" s="731"/>
    </row>
    <row r="302">
      <c r="C302" s="734"/>
      <c r="D302" s="731"/>
      <c r="E302" s="731"/>
      <c r="F302" s="734"/>
      <c r="G302" s="731"/>
      <c r="H302" s="731"/>
      <c r="I302" s="734"/>
      <c r="J302" s="731"/>
      <c r="K302" s="731"/>
      <c r="L302" s="734"/>
      <c r="M302" s="731"/>
      <c r="N302" s="731"/>
      <c r="O302" s="730"/>
      <c r="P302" s="736">
        <v>7.0</v>
      </c>
      <c r="Q302" s="736">
        <v>16.0</v>
      </c>
      <c r="R302" s="766">
        <f>P302-P301+Q302/60-Q301/60</f>
        <v>2.383333333</v>
      </c>
      <c r="S302" s="731"/>
      <c r="T302" s="731"/>
      <c r="U302" s="734"/>
      <c r="V302" s="731"/>
      <c r="W302" s="731"/>
      <c r="X302" s="734"/>
      <c r="Y302" s="731"/>
      <c r="Z302" s="731"/>
    </row>
    <row r="303">
      <c r="C303" s="734"/>
      <c r="D303" s="731"/>
      <c r="E303" s="731"/>
      <c r="F303" s="734"/>
      <c r="G303" s="731"/>
      <c r="H303" s="731"/>
      <c r="I303" s="734"/>
      <c r="J303" s="731"/>
      <c r="K303" s="731"/>
      <c r="L303" s="734"/>
      <c r="M303" s="731"/>
      <c r="N303" s="731"/>
      <c r="O303" s="730"/>
      <c r="P303" s="736">
        <v>7.0</v>
      </c>
      <c r="Q303" s="736">
        <v>16.0</v>
      </c>
      <c r="R303" s="766"/>
      <c r="S303" s="731"/>
      <c r="T303" s="731"/>
      <c r="U303" s="734"/>
      <c r="V303" s="731"/>
      <c r="W303" s="731"/>
      <c r="X303" s="734"/>
      <c r="Y303" s="731"/>
      <c r="Z303" s="731"/>
    </row>
    <row r="304">
      <c r="C304" s="734"/>
      <c r="D304" s="731"/>
      <c r="E304" s="731"/>
      <c r="F304" s="734"/>
      <c r="G304" s="731"/>
      <c r="H304" s="731"/>
      <c r="I304" s="734"/>
      <c r="J304" s="731"/>
      <c r="K304" s="731"/>
      <c r="L304" s="734"/>
      <c r="M304" s="731"/>
      <c r="N304" s="731"/>
      <c r="O304" s="730"/>
      <c r="P304" s="736">
        <v>9.0</v>
      </c>
      <c r="Q304" s="736">
        <v>24.0</v>
      </c>
      <c r="R304" s="766">
        <f>P304-P303+Q304/60-Q303/60</f>
        <v>2.133333333</v>
      </c>
      <c r="S304" s="731"/>
      <c r="T304" s="731"/>
      <c r="U304" s="734"/>
      <c r="V304" s="731"/>
      <c r="W304" s="731"/>
      <c r="X304" s="734"/>
      <c r="Y304" s="731"/>
      <c r="Z304" s="731"/>
    </row>
    <row r="305">
      <c r="C305" s="734"/>
      <c r="D305" s="731"/>
      <c r="E305" s="731"/>
      <c r="F305" s="734"/>
      <c r="G305" s="731"/>
      <c r="H305" s="731"/>
      <c r="I305" s="734"/>
      <c r="J305" s="731"/>
      <c r="K305" s="731"/>
      <c r="L305" s="734"/>
      <c r="M305" s="731"/>
      <c r="N305" s="731"/>
      <c r="O305" s="730"/>
      <c r="P305" s="736">
        <v>2.0</v>
      </c>
      <c r="Q305" s="736">
        <v>20.0</v>
      </c>
      <c r="R305" s="766"/>
      <c r="S305" s="731"/>
      <c r="T305" s="731"/>
      <c r="U305" s="734"/>
      <c r="V305" s="731"/>
      <c r="W305" s="731"/>
      <c r="X305" s="734"/>
      <c r="Y305" s="731"/>
      <c r="Z305" s="731"/>
    </row>
    <row r="306">
      <c r="C306" s="734"/>
      <c r="D306" s="731"/>
      <c r="E306" s="731"/>
      <c r="F306" s="734"/>
      <c r="G306" s="731"/>
      <c r="H306" s="731"/>
      <c r="I306" s="734"/>
      <c r="J306" s="731"/>
      <c r="K306" s="731"/>
      <c r="L306" s="734"/>
      <c r="M306" s="736" t="s">
        <v>57</v>
      </c>
      <c r="N306" s="731"/>
      <c r="O306" s="730"/>
      <c r="P306" s="736">
        <v>4.0</v>
      </c>
      <c r="Q306" s="736">
        <v>40.0</v>
      </c>
      <c r="R306" s="766">
        <f>P306-P305+Q306/60-Q305/60</f>
        <v>2.333333333</v>
      </c>
      <c r="S306" s="731"/>
      <c r="T306" s="731"/>
      <c r="U306" s="734"/>
      <c r="V306" s="731"/>
      <c r="W306" s="731"/>
      <c r="X306" s="734"/>
      <c r="Y306" s="731"/>
      <c r="Z306" s="731"/>
    </row>
    <row r="307">
      <c r="C307" s="734"/>
      <c r="D307" s="731"/>
      <c r="E307" s="731"/>
      <c r="F307" s="734"/>
      <c r="G307" s="731"/>
      <c r="H307" s="731"/>
      <c r="I307" s="734"/>
      <c r="J307" s="731"/>
      <c r="K307" s="731"/>
      <c r="L307" s="734"/>
      <c r="M307" s="731"/>
      <c r="N307" s="731"/>
      <c r="O307" s="730"/>
      <c r="P307" s="736">
        <v>4.0</v>
      </c>
      <c r="Q307" s="736">
        <v>41.0</v>
      </c>
      <c r="R307" s="766"/>
      <c r="S307" s="731"/>
      <c r="T307" s="731"/>
      <c r="U307" s="734"/>
      <c r="V307" s="731"/>
      <c r="W307" s="731"/>
      <c r="X307" s="734"/>
      <c r="Y307" s="731"/>
      <c r="Z307" s="731"/>
    </row>
    <row r="308">
      <c r="C308" s="734"/>
      <c r="D308" s="731"/>
      <c r="E308" s="731"/>
      <c r="F308" s="734"/>
      <c r="G308" s="731"/>
      <c r="H308" s="731"/>
      <c r="I308" s="734"/>
      <c r="J308" s="731"/>
      <c r="K308" s="731"/>
      <c r="L308" s="734"/>
      <c r="M308" s="731"/>
      <c r="N308" s="731"/>
      <c r="O308" s="730"/>
      <c r="P308" s="736">
        <v>7.0</v>
      </c>
      <c r="Q308" s="736">
        <v>1.0</v>
      </c>
      <c r="R308" s="766">
        <f>P308-P307+Q308/60-Q307/60</f>
        <v>2.333333333</v>
      </c>
      <c r="S308" s="731"/>
      <c r="T308" s="731"/>
      <c r="U308" s="734"/>
      <c r="V308" s="731"/>
      <c r="W308" s="731"/>
      <c r="X308" s="734"/>
      <c r="Y308" s="731"/>
      <c r="Z308" s="731"/>
    </row>
    <row r="309">
      <c r="C309" s="734"/>
      <c r="D309" s="731"/>
      <c r="E309" s="731"/>
      <c r="F309" s="734"/>
      <c r="G309" s="731"/>
      <c r="H309" s="731"/>
      <c r="I309" s="734"/>
      <c r="J309" s="731"/>
      <c r="K309" s="731"/>
      <c r="L309" s="734"/>
      <c r="M309" s="731"/>
      <c r="N309" s="731"/>
      <c r="O309" s="730"/>
      <c r="P309" s="736">
        <v>7.0</v>
      </c>
      <c r="Q309" s="736">
        <v>2.0</v>
      </c>
      <c r="R309" s="766"/>
      <c r="S309" s="731"/>
      <c r="T309" s="731"/>
      <c r="U309" s="734"/>
      <c r="V309" s="731"/>
      <c r="W309" s="731"/>
      <c r="X309" s="734"/>
      <c r="Y309" s="731"/>
      <c r="Z309" s="731"/>
    </row>
    <row r="310">
      <c r="C310" s="734"/>
      <c r="D310" s="731"/>
      <c r="E310" s="731"/>
      <c r="F310" s="734"/>
      <c r="G310" s="731"/>
      <c r="H310" s="731"/>
      <c r="I310" s="734"/>
      <c r="J310" s="731"/>
      <c r="K310" s="731"/>
      <c r="L310" s="734"/>
      <c r="M310" s="731"/>
      <c r="N310" s="731"/>
      <c r="O310" s="730"/>
      <c r="P310" s="736">
        <v>9.0</v>
      </c>
      <c r="Q310" s="736">
        <v>23.0</v>
      </c>
      <c r="R310" s="766">
        <f>P310-P309+Q310/60-Q309/60</f>
        <v>2.35</v>
      </c>
      <c r="S310" s="771">
        <f>60/R310</f>
        <v>25.53191489</v>
      </c>
      <c r="T310" s="731"/>
      <c r="U310" s="734"/>
      <c r="V310" s="731"/>
      <c r="W310" s="731"/>
      <c r="X310" s="734"/>
      <c r="Y310" s="731"/>
      <c r="Z310" s="731"/>
    </row>
    <row r="311">
      <c r="C311" s="734"/>
      <c r="D311" s="731"/>
      <c r="E311" s="731"/>
      <c r="F311" s="734"/>
      <c r="G311" s="731"/>
      <c r="H311" s="731"/>
      <c r="I311" s="734"/>
      <c r="J311" s="731"/>
      <c r="K311" s="731"/>
      <c r="L311" s="734"/>
      <c r="M311" s="731"/>
      <c r="N311" s="731"/>
      <c r="O311" s="730"/>
      <c r="P311" s="736">
        <v>9.0</v>
      </c>
      <c r="Q311" s="736">
        <v>23.0</v>
      </c>
      <c r="R311" s="766"/>
      <c r="S311" s="771"/>
      <c r="T311" s="731"/>
      <c r="U311" s="734"/>
      <c r="V311" s="731"/>
      <c r="W311" s="731"/>
      <c r="X311" s="734"/>
      <c r="Y311" s="731"/>
      <c r="Z311" s="731"/>
    </row>
    <row r="312">
      <c r="C312" s="734"/>
      <c r="D312" s="731"/>
      <c r="E312" s="731"/>
      <c r="F312" s="734"/>
      <c r="G312" s="731"/>
      <c r="H312" s="731"/>
      <c r="I312" s="734"/>
      <c r="J312" s="731"/>
      <c r="K312" s="731"/>
      <c r="L312" s="734"/>
      <c r="M312" s="731"/>
      <c r="N312" s="731"/>
      <c r="O312" s="730"/>
      <c r="P312" s="736">
        <v>11.0</v>
      </c>
      <c r="Q312" s="736">
        <v>42.0</v>
      </c>
      <c r="R312" s="766">
        <f>P312-P311+Q312/60-Q311/60</f>
        <v>2.316666667</v>
      </c>
      <c r="S312" s="731"/>
      <c r="T312" s="731"/>
      <c r="U312" s="734"/>
      <c r="V312" s="731"/>
      <c r="W312" s="731"/>
      <c r="X312" s="734"/>
      <c r="Y312" s="731"/>
      <c r="Z312" s="731"/>
    </row>
    <row r="313">
      <c r="C313" s="734"/>
      <c r="D313" s="731"/>
      <c r="E313" s="731"/>
      <c r="F313" s="734"/>
      <c r="G313" s="731"/>
      <c r="H313" s="731"/>
      <c r="I313" s="734"/>
      <c r="J313" s="731"/>
      <c r="K313" s="731"/>
      <c r="L313" s="734"/>
      <c r="M313" s="731"/>
      <c r="N313" s="731"/>
      <c r="O313" s="730"/>
      <c r="P313" s="736">
        <v>4.0</v>
      </c>
      <c r="Q313" s="736">
        <v>58.0</v>
      </c>
      <c r="R313" s="766"/>
      <c r="S313" s="731"/>
      <c r="T313" s="731"/>
      <c r="U313" s="734"/>
      <c r="V313" s="731"/>
      <c r="W313" s="731"/>
      <c r="X313" s="734"/>
      <c r="Y313" s="731"/>
      <c r="Z313" s="731"/>
    </row>
    <row r="314">
      <c r="C314" s="734"/>
      <c r="D314" s="731"/>
      <c r="E314" s="731"/>
      <c r="F314" s="734"/>
      <c r="G314" s="731"/>
      <c r="H314" s="731"/>
      <c r="I314" s="734"/>
      <c r="J314" s="731"/>
      <c r="K314" s="731"/>
      <c r="L314" s="734"/>
      <c r="M314" s="731"/>
      <c r="N314" s="736" t="s">
        <v>432</v>
      </c>
      <c r="O314" s="730"/>
      <c r="P314" s="736">
        <v>7.0</v>
      </c>
      <c r="Q314" s="736">
        <v>0.0</v>
      </c>
      <c r="R314" s="766">
        <f>P314-P313+Q314/60-Q313/60</f>
        <v>2.033333333</v>
      </c>
      <c r="S314" s="731"/>
      <c r="T314" s="731"/>
      <c r="U314" s="734"/>
      <c r="V314" s="731"/>
      <c r="W314" s="731"/>
      <c r="X314" s="734"/>
      <c r="Y314" s="731"/>
      <c r="Z314" s="731"/>
    </row>
    <row r="315">
      <c r="C315" s="734"/>
      <c r="D315" s="731"/>
      <c r="E315" s="731"/>
      <c r="F315" s="734"/>
      <c r="G315" s="731"/>
      <c r="H315" s="731"/>
      <c r="I315" s="734"/>
      <c r="J315" s="731"/>
      <c r="K315" s="731"/>
      <c r="L315" s="734"/>
      <c r="M315" s="731"/>
      <c r="N315" s="731"/>
      <c r="O315" s="730"/>
      <c r="P315" s="736">
        <v>7.0</v>
      </c>
      <c r="Q315" s="736">
        <v>1.0</v>
      </c>
      <c r="R315" s="766"/>
      <c r="S315" s="731"/>
      <c r="T315" s="731"/>
      <c r="U315" s="734"/>
      <c r="V315" s="731"/>
      <c r="W315" s="731"/>
      <c r="X315" s="734"/>
      <c r="Y315" s="731"/>
      <c r="Z315" s="731"/>
    </row>
    <row r="316">
      <c r="C316" s="734"/>
      <c r="D316" s="731"/>
      <c r="E316" s="731"/>
      <c r="F316" s="734"/>
      <c r="G316" s="731"/>
      <c r="H316" s="731"/>
      <c r="I316" s="734"/>
      <c r="J316" s="731"/>
      <c r="K316" s="731"/>
      <c r="L316" s="734"/>
      <c r="M316" s="731"/>
      <c r="N316" s="731"/>
      <c r="O316" s="730"/>
      <c r="P316" s="736">
        <v>9.0</v>
      </c>
      <c r="Q316" s="736">
        <v>4.0</v>
      </c>
      <c r="R316" s="766">
        <f>P316-P315+Q316/60-Q315/60</f>
        <v>2.05</v>
      </c>
      <c r="S316" s="771">
        <f>1/R316*60</f>
        <v>29.26829268</v>
      </c>
      <c r="T316" s="731"/>
      <c r="U316" s="734"/>
      <c r="V316" s="731"/>
      <c r="W316" s="731"/>
      <c r="X316" s="734"/>
      <c r="Y316" s="731"/>
      <c r="Z316" s="731"/>
    </row>
    <row r="317">
      <c r="C317" s="734"/>
      <c r="D317" s="731"/>
      <c r="E317" s="731"/>
      <c r="F317" s="734"/>
      <c r="G317" s="731"/>
      <c r="H317" s="731"/>
      <c r="I317" s="734"/>
      <c r="J317" s="731"/>
      <c r="K317" s="731"/>
      <c r="L317" s="734"/>
      <c r="M317" s="731"/>
      <c r="N317" s="731"/>
      <c r="O317" s="730"/>
      <c r="P317" s="736">
        <v>9.0</v>
      </c>
      <c r="Q317" s="736">
        <v>4.0</v>
      </c>
      <c r="R317" s="766"/>
      <c r="S317" s="731"/>
      <c r="T317" s="731"/>
      <c r="U317" s="734"/>
      <c r="V317" s="731"/>
      <c r="W317" s="731"/>
      <c r="X317" s="734"/>
      <c r="Y317" s="731"/>
      <c r="Z317" s="731"/>
    </row>
    <row r="318">
      <c r="C318" s="734"/>
      <c r="D318" s="731"/>
      <c r="E318" s="731"/>
      <c r="F318" s="734"/>
      <c r="G318" s="731"/>
      <c r="H318" s="731"/>
      <c r="I318" s="734"/>
      <c r="J318" s="731"/>
      <c r="K318" s="731"/>
      <c r="L318" s="734"/>
      <c r="M318" s="731"/>
      <c r="N318" s="731"/>
      <c r="O318" s="730"/>
      <c r="P318" s="736">
        <v>11.0</v>
      </c>
      <c r="Q318" s="736">
        <v>6.0</v>
      </c>
      <c r="R318" s="766">
        <f>P318-P317+Q318/60-Q317/60</f>
        <v>2.033333333</v>
      </c>
      <c r="S318" s="731"/>
      <c r="T318" s="731"/>
      <c r="U318" s="734"/>
      <c r="V318" s="731"/>
      <c r="W318" s="731"/>
      <c r="X318" s="734"/>
      <c r="Y318" s="731"/>
      <c r="Z318" s="731"/>
    </row>
    <row r="319">
      <c r="C319" s="734"/>
      <c r="D319" s="731"/>
      <c r="E319" s="731"/>
      <c r="F319" s="734"/>
      <c r="G319" s="731"/>
      <c r="H319" s="731"/>
      <c r="I319" s="734"/>
      <c r="J319" s="731"/>
      <c r="K319" s="731"/>
      <c r="L319" s="734"/>
      <c r="M319" s="731"/>
      <c r="N319" s="731"/>
      <c r="O319" s="730"/>
      <c r="P319" s="736">
        <v>6.0</v>
      </c>
      <c r="Q319" s="736">
        <v>38.0</v>
      </c>
      <c r="R319" s="766"/>
      <c r="S319" s="731"/>
      <c r="T319" s="731"/>
      <c r="U319" s="734"/>
      <c r="V319" s="731"/>
      <c r="W319" s="731"/>
      <c r="X319" s="734"/>
      <c r="Y319" s="731"/>
      <c r="Z319" s="731"/>
    </row>
    <row r="320">
      <c r="C320" s="734"/>
      <c r="D320" s="731"/>
      <c r="E320" s="731"/>
      <c r="F320" s="734"/>
      <c r="G320" s="731"/>
      <c r="H320" s="731"/>
      <c r="I320" s="734"/>
      <c r="J320" s="731"/>
      <c r="K320" s="731"/>
      <c r="L320" s="734"/>
      <c r="M320" s="731"/>
      <c r="N320" s="736" t="s">
        <v>433</v>
      </c>
      <c r="O320" s="730"/>
      <c r="P320" s="736">
        <v>8.0</v>
      </c>
      <c r="Q320" s="736">
        <v>43.0</v>
      </c>
      <c r="R320" s="766">
        <f>P320-P319+Q320/60-Q319/60</f>
        <v>2.083333333</v>
      </c>
      <c r="S320" s="731"/>
      <c r="T320" s="731"/>
      <c r="U320" s="734"/>
      <c r="V320" s="731"/>
      <c r="W320" s="731"/>
      <c r="X320" s="734"/>
      <c r="Y320" s="731"/>
      <c r="Z320" s="731"/>
    </row>
    <row r="321">
      <c r="C321" s="734"/>
      <c r="D321" s="731"/>
      <c r="E321" s="731"/>
      <c r="F321" s="734"/>
      <c r="G321" s="731"/>
      <c r="H321" s="731"/>
      <c r="I321" s="734"/>
      <c r="J321" s="731"/>
      <c r="K321" s="731"/>
      <c r="L321" s="734"/>
      <c r="M321" s="731"/>
      <c r="N321" s="731"/>
      <c r="O321" s="730"/>
      <c r="P321" s="736">
        <v>8.0</v>
      </c>
      <c r="Q321" s="736">
        <v>43.0</v>
      </c>
      <c r="R321" s="766"/>
      <c r="S321" s="731"/>
      <c r="T321" s="731"/>
      <c r="U321" s="734"/>
      <c r="V321" s="731"/>
      <c r="W321" s="731"/>
      <c r="X321" s="734"/>
      <c r="Y321" s="731"/>
      <c r="Z321" s="731"/>
    </row>
    <row r="322">
      <c r="C322" s="734"/>
      <c r="D322" s="731"/>
      <c r="E322" s="731"/>
      <c r="F322" s="734"/>
      <c r="G322" s="731"/>
      <c r="H322" s="731"/>
      <c r="I322" s="734"/>
      <c r="J322" s="731"/>
      <c r="K322" s="731"/>
      <c r="L322" s="734"/>
      <c r="M322" s="731"/>
      <c r="N322" s="731"/>
      <c r="O322" s="730"/>
      <c r="P322" s="736">
        <v>10.0</v>
      </c>
      <c r="Q322" s="736">
        <v>48.0</v>
      </c>
      <c r="R322" s="766">
        <f>P322-P321+Q322/60-Q321/60</f>
        <v>2.083333333</v>
      </c>
      <c r="S322" s="731"/>
      <c r="T322" s="731"/>
      <c r="U322" s="734"/>
      <c r="V322" s="731"/>
      <c r="W322" s="731"/>
      <c r="X322" s="734"/>
      <c r="Y322" s="731"/>
      <c r="Z322" s="731"/>
    </row>
    <row r="323">
      <c r="C323" s="734"/>
      <c r="D323" s="731"/>
      <c r="E323" s="731"/>
      <c r="F323" s="734"/>
      <c r="G323" s="731"/>
      <c r="H323" s="731"/>
      <c r="I323" s="734"/>
      <c r="J323" s="731"/>
      <c r="K323" s="731"/>
      <c r="L323" s="734"/>
      <c r="M323" s="731"/>
      <c r="N323" s="731"/>
      <c r="O323" s="730"/>
      <c r="P323" s="736">
        <v>10.0</v>
      </c>
      <c r="Q323" s="736">
        <v>48.0</v>
      </c>
      <c r="R323" s="766"/>
      <c r="S323" s="731"/>
      <c r="T323" s="731"/>
      <c r="U323" s="734"/>
      <c r="V323" s="731"/>
      <c r="W323" s="731"/>
      <c r="X323" s="734"/>
      <c r="Y323" s="731"/>
      <c r="Z323" s="731"/>
    </row>
    <row r="324">
      <c r="C324" s="734"/>
      <c r="D324" s="731"/>
      <c r="E324" s="731"/>
      <c r="F324" s="734"/>
      <c r="G324" s="731"/>
      <c r="H324" s="731"/>
      <c r="I324" s="734"/>
      <c r="J324" s="731"/>
      <c r="K324" s="731"/>
      <c r="L324" s="734"/>
      <c r="M324" s="731"/>
      <c r="N324" s="731"/>
      <c r="O324" s="730"/>
      <c r="P324" s="736">
        <v>12.0</v>
      </c>
      <c r="Q324" s="736">
        <v>53.0</v>
      </c>
      <c r="R324" s="766">
        <f>P324-P323+Q324/60-Q323/60</f>
        <v>2.083333333</v>
      </c>
      <c r="S324" s="731">
        <f>60/R324</f>
        <v>28.8</v>
      </c>
      <c r="T324" s="731"/>
      <c r="U324" s="734"/>
      <c r="V324" s="731"/>
      <c r="W324" s="731"/>
      <c r="X324" s="734"/>
      <c r="Y324" s="731"/>
      <c r="Z324" s="731"/>
    </row>
    <row r="325">
      <c r="C325" s="734"/>
      <c r="D325" s="731"/>
      <c r="E325" s="731"/>
      <c r="F325" s="734"/>
      <c r="G325" s="731"/>
      <c r="H325" s="731"/>
      <c r="I325" s="734"/>
      <c r="J325" s="731"/>
      <c r="K325" s="731"/>
      <c r="L325" s="734"/>
      <c r="M325" s="731"/>
      <c r="N325" s="731"/>
      <c r="O325" s="730"/>
      <c r="P325" s="736">
        <v>2.0</v>
      </c>
      <c r="Q325" s="736">
        <v>44.0</v>
      </c>
      <c r="R325" s="766"/>
      <c r="S325" s="731"/>
      <c r="T325" s="731"/>
      <c r="U325" s="734"/>
      <c r="V325" s="731"/>
      <c r="W325" s="731"/>
      <c r="X325" s="734"/>
      <c r="Y325" s="731"/>
      <c r="Z325" s="731"/>
    </row>
    <row r="326">
      <c r="C326" s="734"/>
      <c r="D326" s="731"/>
      <c r="E326" s="731"/>
      <c r="F326" s="734"/>
      <c r="G326" s="731"/>
      <c r="H326" s="731"/>
      <c r="I326" s="734"/>
      <c r="J326" s="731"/>
      <c r="K326" s="731"/>
      <c r="L326" s="734"/>
      <c r="M326" s="731"/>
      <c r="N326" s="736" t="s">
        <v>434</v>
      </c>
      <c r="O326" s="730"/>
      <c r="P326" s="736">
        <v>4.0</v>
      </c>
      <c r="Q326" s="736">
        <v>53.0</v>
      </c>
      <c r="R326" s="766">
        <f t="shared" ref="R326:R329" si="89">P326-P325+Q326/60-Q325/60</f>
        <v>2.15</v>
      </c>
      <c r="S326" s="731"/>
      <c r="T326" s="731"/>
      <c r="U326" s="734"/>
      <c r="V326" s="731"/>
      <c r="W326" s="731"/>
      <c r="X326" s="734"/>
      <c r="Y326" s="731"/>
      <c r="Z326" s="731"/>
    </row>
    <row r="327">
      <c r="C327" s="734"/>
      <c r="D327" s="731"/>
      <c r="E327" s="731"/>
      <c r="F327" s="734"/>
      <c r="G327" s="731"/>
      <c r="H327" s="731"/>
      <c r="I327" s="734"/>
      <c r="J327" s="731"/>
      <c r="K327" s="731"/>
      <c r="L327" s="734"/>
      <c r="M327" s="731"/>
      <c r="N327" s="731"/>
      <c r="O327" s="730"/>
      <c r="P327" s="736">
        <v>7.0</v>
      </c>
      <c r="Q327" s="736">
        <v>9.0</v>
      </c>
      <c r="R327" s="766">
        <f t="shared" si="89"/>
        <v>2.266666667</v>
      </c>
      <c r="S327" s="731"/>
      <c r="T327" s="731"/>
      <c r="U327" s="734"/>
      <c r="V327" s="731"/>
      <c r="W327" s="731"/>
      <c r="X327" s="734"/>
      <c r="Y327" s="731"/>
      <c r="Z327" s="731"/>
    </row>
    <row r="328">
      <c r="C328" s="734"/>
      <c r="D328" s="731"/>
      <c r="E328" s="731"/>
      <c r="F328" s="734"/>
      <c r="G328" s="731"/>
      <c r="H328" s="731"/>
      <c r="I328" s="734"/>
      <c r="J328" s="731"/>
      <c r="K328" s="731"/>
      <c r="L328" s="734"/>
      <c r="M328" s="731"/>
      <c r="N328" s="731"/>
      <c r="O328" s="730"/>
      <c r="P328" s="736">
        <v>9.0</v>
      </c>
      <c r="Q328" s="736">
        <v>18.0</v>
      </c>
      <c r="R328" s="766">
        <f t="shared" si="89"/>
        <v>2.15</v>
      </c>
      <c r="S328" s="731"/>
      <c r="T328" s="731"/>
      <c r="U328" s="734"/>
      <c r="V328" s="731"/>
      <c r="W328" s="731"/>
      <c r="X328" s="734"/>
      <c r="Y328" s="731"/>
      <c r="Z328" s="731"/>
    </row>
    <row r="329">
      <c r="C329" s="734"/>
      <c r="D329" s="731"/>
      <c r="E329" s="731"/>
      <c r="F329" s="734"/>
      <c r="G329" s="731"/>
      <c r="H329" s="731"/>
      <c r="I329" s="734"/>
      <c r="J329" s="731"/>
      <c r="K329" s="731"/>
      <c r="L329" s="734"/>
      <c r="M329" s="731"/>
      <c r="N329" s="731"/>
      <c r="O329" s="730"/>
      <c r="P329" s="736">
        <v>11.0</v>
      </c>
      <c r="Q329" s="736">
        <v>26.0</v>
      </c>
      <c r="R329" s="766">
        <f t="shared" si="89"/>
        <v>2.133333333</v>
      </c>
      <c r="S329" s="731"/>
      <c r="T329" s="731"/>
      <c r="U329" s="734"/>
      <c r="V329" s="731"/>
      <c r="W329" s="731"/>
      <c r="X329" s="734"/>
      <c r="Y329" s="731"/>
      <c r="Z329" s="731"/>
    </row>
    <row r="330">
      <c r="C330" s="734"/>
      <c r="D330" s="731"/>
      <c r="E330" s="731"/>
      <c r="F330" s="734"/>
      <c r="G330" s="731"/>
      <c r="H330" s="731"/>
      <c r="I330" s="734"/>
      <c r="J330" s="731"/>
      <c r="K330" s="731"/>
      <c r="L330" s="734"/>
      <c r="M330" s="731"/>
      <c r="N330" s="736" t="s">
        <v>51</v>
      </c>
      <c r="O330" s="730"/>
      <c r="P330" s="736">
        <v>2.0</v>
      </c>
      <c r="Q330" s="736">
        <v>31.0</v>
      </c>
      <c r="R330" s="766"/>
      <c r="S330" s="731"/>
      <c r="T330" s="731"/>
      <c r="U330" s="734"/>
      <c r="V330" s="731"/>
      <c r="W330" s="731"/>
      <c r="X330" s="734"/>
      <c r="Y330" s="731"/>
      <c r="Z330" s="731"/>
    </row>
    <row r="331">
      <c r="C331" s="734"/>
      <c r="D331" s="731"/>
      <c r="E331" s="731"/>
      <c r="F331" s="734"/>
      <c r="G331" s="731"/>
      <c r="H331" s="731"/>
      <c r="I331" s="734"/>
      <c r="J331" s="731"/>
      <c r="K331" s="731"/>
      <c r="L331" s="734"/>
      <c r="M331" s="731"/>
      <c r="N331" s="731"/>
      <c r="O331" s="730"/>
      <c r="P331" s="736">
        <v>4.0</v>
      </c>
      <c r="Q331" s="736">
        <v>44.0</v>
      </c>
      <c r="R331" s="766">
        <f t="shared" ref="R331:R334" si="90">P331-P330+Q331/60-Q330/60</f>
        <v>2.216666667</v>
      </c>
      <c r="S331" s="771">
        <f>60/R331</f>
        <v>27.06766917</v>
      </c>
      <c r="T331" s="731"/>
      <c r="U331" s="734"/>
      <c r="V331" s="731"/>
      <c r="W331" s="731"/>
      <c r="X331" s="734"/>
      <c r="Y331" s="731"/>
      <c r="Z331" s="731"/>
    </row>
    <row r="332">
      <c r="C332" s="734"/>
      <c r="D332" s="731"/>
      <c r="E332" s="731"/>
      <c r="F332" s="734"/>
      <c r="G332" s="731"/>
      <c r="H332" s="731"/>
      <c r="I332" s="734"/>
      <c r="J332" s="731"/>
      <c r="K332" s="731"/>
      <c r="L332" s="734"/>
      <c r="M332" s="731"/>
      <c r="N332" s="731"/>
      <c r="O332" s="730"/>
      <c r="P332" s="736">
        <v>6.0</v>
      </c>
      <c r="Q332" s="736">
        <v>58.0</v>
      </c>
      <c r="R332" s="766">
        <f t="shared" si="90"/>
        <v>2.233333333</v>
      </c>
      <c r="S332" s="731"/>
      <c r="T332" s="731"/>
      <c r="U332" s="734"/>
      <c r="V332" s="731"/>
      <c r="W332" s="731"/>
      <c r="X332" s="734"/>
      <c r="Y332" s="731"/>
      <c r="Z332" s="731"/>
    </row>
    <row r="333">
      <c r="C333" s="734"/>
      <c r="D333" s="731"/>
      <c r="E333" s="731"/>
      <c r="F333" s="734"/>
      <c r="G333" s="731"/>
      <c r="H333" s="731"/>
      <c r="I333" s="734"/>
      <c r="J333" s="731"/>
      <c r="K333" s="731"/>
      <c r="L333" s="734"/>
      <c r="M333" s="731"/>
      <c r="N333" s="731"/>
      <c r="O333" s="730"/>
      <c r="P333" s="736">
        <v>9.0</v>
      </c>
      <c r="Q333" s="736">
        <v>11.0</v>
      </c>
      <c r="R333" s="766">
        <f t="shared" si="90"/>
        <v>2.216666667</v>
      </c>
      <c r="S333" s="731"/>
      <c r="T333" s="731"/>
      <c r="U333" s="734"/>
      <c r="V333" s="731"/>
      <c r="W333" s="731"/>
      <c r="X333" s="734"/>
      <c r="Y333" s="731"/>
      <c r="Z333" s="731"/>
    </row>
    <row r="334">
      <c r="C334" s="734"/>
      <c r="D334" s="731"/>
      <c r="E334" s="731"/>
      <c r="F334" s="734"/>
      <c r="G334" s="731"/>
      <c r="H334" s="731"/>
      <c r="I334" s="734"/>
      <c r="J334" s="731"/>
      <c r="K334" s="731"/>
      <c r="L334" s="734"/>
      <c r="M334" s="731"/>
      <c r="N334" s="731"/>
      <c r="O334" s="730"/>
      <c r="P334" s="736">
        <v>11.0</v>
      </c>
      <c r="Q334" s="736">
        <v>24.0</v>
      </c>
      <c r="R334" s="766">
        <f t="shared" si="90"/>
        <v>2.216666667</v>
      </c>
      <c r="S334" s="731"/>
      <c r="T334" s="731"/>
      <c r="U334" s="734"/>
      <c r="V334" s="731"/>
      <c r="W334" s="731"/>
      <c r="X334" s="734"/>
      <c r="Y334" s="731"/>
      <c r="Z334" s="731"/>
    </row>
    <row r="335">
      <c r="C335" s="734"/>
      <c r="D335" s="731"/>
      <c r="E335" s="731"/>
      <c r="F335" s="734"/>
      <c r="G335" s="731"/>
      <c r="H335" s="731"/>
      <c r="I335" s="734"/>
      <c r="J335" s="731"/>
      <c r="K335" s="731"/>
      <c r="L335" s="734"/>
      <c r="M335" s="731"/>
      <c r="N335" s="736" t="s">
        <v>55</v>
      </c>
      <c r="O335" s="730"/>
      <c r="P335" s="736">
        <v>23.0</v>
      </c>
      <c r="Q335" s="736">
        <v>11.0</v>
      </c>
      <c r="R335" s="766"/>
      <c r="S335" s="731"/>
      <c r="T335" s="731"/>
      <c r="U335" s="734"/>
      <c r="V335" s="731"/>
      <c r="W335" s="731"/>
      <c r="X335" s="734"/>
      <c r="Y335" s="731"/>
      <c r="Z335" s="731"/>
    </row>
    <row r="336">
      <c r="C336" s="734"/>
      <c r="D336" s="731"/>
      <c r="E336" s="731"/>
      <c r="F336" s="734"/>
      <c r="G336" s="731"/>
      <c r="H336" s="731"/>
      <c r="I336" s="734"/>
      <c r="J336" s="731"/>
      <c r="K336" s="731"/>
      <c r="L336" s="734"/>
      <c r="M336" s="731"/>
      <c r="N336" s="731"/>
      <c r="O336" s="730"/>
      <c r="P336" s="736">
        <v>25.0</v>
      </c>
      <c r="Q336" s="736">
        <v>29.0</v>
      </c>
      <c r="R336" s="766">
        <f t="shared" ref="R336:R339" si="91">P336-P335+Q336/60-Q335/60</f>
        <v>2.3</v>
      </c>
      <c r="S336" s="731"/>
      <c r="T336" s="731"/>
      <c r="U336" s="734"/>
      <c r="V336" s="731"/>
      <c r="W336" s="731"/>
      <c r="X336" s="734"/>
      <c r="Y336" s="731"/>
      <c r="Z336" s="731"/>
    </row>
    <row r="337">
      <c r="C337" s="734"/>
      <c r="D337" s="731"/>
      <c r="E337" s="731"/>
      <c r="F337" s="734"/>
      <c r="G337" s="731"/>
      <c r="H337" s="731"/>
      <c r="I337" s="734"/>
      <c r="J337" s="731"/>
      <c r="K337" s="731"/>
      <c r="L337" s="734"/>
      <c r="M337" s="731"/>
      <c r="N337" s="731"/>
      <c r="O337" s="730"/>
      <c r="P337" s="736">
        <v>27.0</v>
      </c>
      <c r="Q337" s="736">
        <v>47.0</v>
      </c>
      <c r="R337" s="766">
        <f t="shared" si="91"/>
        <v>2.3</v>
      </c>
      <c r="S337" s="731"/>
      <c r="T337" s="731"/>
      <c r="U337" s="734"/>
      <c r="V337" s="731"/>
      <c r="W337" s="731"/>
      <c r="X337" s="734"/>
      <c r="Y337" s="731"/>
      <c r="Z337" s="731"/>
    </row>
    <row r="338">
      <c r="C338" s="734"/>
      <c r="D338" s="731"/>
      <c r="E338" s="731"/>
      <c r="F338" s="734"/>
      <c r="G338" s="731"/>
      <c r="H338" s="731"/>
      <c r="I338" s="734"/>
      <c r="J338" s="731"/>
      <c r="K338" s="731"/>
      <c r="L338" s="734"/>
      <c r="M338" s="731"/>
      <c r="N338" s="731"/>
      <c r="O338" s="730"/>
      <c r="P338" s="736">
        <v>30.0</v>
      </c>
      <c r="Q338" s="736">
        <v>5.0</v>
      </c>
      <c r="R338" s="766">
        <f t="shared" si="91"/>
        <v>2.3</v>
      </c>
      <c r="S338" s="731"/>
      <c r="T338" s="731"/>
      <c r="U338" s="734"/>
      <c r="V338" s="731"/>
      <c r="W338" s="731"/>
      <c r="X338" s="734"/>
      <c r="Y338" s="731"/>
      <c r="Z338" s="731"/>
    </row>
    <row r="339">
      <c r="C339" s="734"/>
      <c r="D339" s="731"/>
      <c r="E339" s="731"/>
      <c r="F339" s="734"/>
      <c r="G339" s="731"/>
      <c r="H339" s="731"/>
      <c r="I339" s="734"/>
      <c r="J339" s="731"/>
      <c r="K339" s="731"/>
      <c r="L339" s="734"/>
      <c r="M339" s="731"/>
      <c r="N339" s="731"/>
      <c r="O339" s="730"/>
      <c r="P339" s="736">
        <v>32.0</v>
      </c>
      <c r="Q339" s="736">
        <v>23.0</v>
      </c>
      <c r="R339" s="766">
        <f t="shared" si="91"/>
        <v>2.3</v>
      </c>
      <c r="S339" s="771">
        <f>60/R339</f>
        <v>26.08695652</v>
      </c>
      <c r="T339" s="731"/>
      <c r="U339" s="734"/>
      <c r="V339" s="731"/>
      <c r="W339" s="731"/>
      <c r="X339" s="734"/>
      <c r="Y339" s="731"/>
      <c r="Z339" s="731"/>
    </row>
    <row r="340">
      <c r="C340" s="734"/>
      <c r="D340" s="731"/>
      <c r="E340" s="731"/>
      <c r="F340" s="734"/>
      <c r="G340" s="731"/>
      <c r="H340" s="731"/>
      <c r="I340" s="734"/>
      <c r="J340" s="731"/>
      <c r="K340" s="731"/>
      <c r="L340" s="734"/>
      <c r="M340" s="731"/>
      <c r="N340" s="736" t="s">
        <v>435</v>
      </c>
      <c r="O340" s="730"/>
      <c r="P340" s="736">
        <v>31.0</v>
      </c>
      <c r="Q340" s="736">
        <v>2.0</v>
      </c>
      <c r="R340" s="766"/>
      <c r="S340" s="731"/>
      <c r="T340" s="731"/>
      <c r="U340" s="734"/>
      <c r="V340" s="731"/>
      <c r="W340" s="731"/>
      <c r="X340" s="734"/>
      <c r="Y340" s="731"/>
      <c r="Z340" s="731"/>
    </row>
    <row r="341">
      <c r="C341" s="734"/>
      <c r="D341" s="731"/>
      <c r="E341" s="731"/>
      <c r="F341" s="734"/>
      <c r="G341" s="731"/>
      <c r="H341" s="731"/>
      <c r="I341" s="734"/>
      <c r="J341" s="731"/>
      <c r="K341" s="731"/>
      <c r="L341" s="734"/>
      <c r="M341" s="731"/>
      <c r="N341" s="731"/>
      <c r="O341" s="730"/>
      <c r="P341" s="736">
        <v>32.0</v>
      </c>
      <c r="Q341" s="736">
        <v>32.0</v>
      </c>
      <c r="R341" s="766">
        <f t="shared" ref="R341:R343" si="92">P341-P340+Q341/60-Q340/60</f>
        <v>1.5</v>
      </c>
      <c r="S341" s="731"/>
      <c r="T341" s="731"/>
      <c r="U341" s="734"/>
      <c r="V341" s="731"/>
      <c r="W341" s="731"/>
      <c r="X341" s="734"/>
      <c r="Y341" s="731"/>
      <c r="Z341" s="731"/>
    </row>
    <row r="342">
      <c r="C342" s="734"/>
      <c r="D342" s="731"/>
      <c r="E342" s="731"/>
      <c r="F342" s="734"/>
      <c r="G342" s="731"/>
      <c r="H342" s="731"/>
      <c r="I342" s="734"/>
      <c r="J342" s="731"/>
      <c r="K342" s="731"/>
      <c r="L342" s="734"/>
      <c r="M342" s="731"/>
      <c r="N342" s="731"/>
      <c r="O342" s="730"/>
      <c r="P342" s="736">
        <v>34.0</v>
      </c>
      <c r="Q342" s="736">
        <v>2.0</v>
      </c>
      <c r="R342" s="766">
        <f t="shared" si="92"/>
        <v>1.5</v>
      </c>
      <c r="S342" s="731"/>
      <c r="T342" s="731"/>
      <c r="U342" s="734"/>
      <c r="V342" s="731"/>
      <c r="W342" s="731"/>
      <c r="X342" s="734"/>
      <c r="Y342" s="731"/>
      <c r="Z342" s="731"/>
    </row>
    <row r="343">
      <c r="C343" s="734"/>
      <c r="D343" s="731"/>
      <c r="E343" s="731"/>
      <c r="F343" s="734"/>
      <c r="G343" s="731"/>
      <c r="H343" s="731"/>
      <c r="I343" s="734"/>
      <c r="J343" s="731"/>
      <c r="K343" s="731"/>
      <c r="L343" s="734"/>
      <c r="M343" s="731"/>
      <c r="N343" s="731"/>
      <c r="O343" s="730"/>
      <c r="P343" s="736">
        <v>35.0</v>
      </c>
      <c r="Q343" s="736">
        <v>32.0</v>
      </c>
      <c r="R343" s="766">
        <f t="shared" si="92"/>
        <v>1.5</v>
      </c>
      <c r="S343" s="731">
        <f>60/R343</f>
        <v>40</v>
      </c>
      <c r="T343" s="731"/>
      <c r="U343" s="734"/>
      <c r="V343" s="731"/>
      <c r="W343" s="731"/>
      <c r="X343" s="734"/>
      <c r="Y343" s="731"/>
      <c r="Z343" s="731"/>
    </row>
    <row r="344">
      <c r="C344" s="734"/>
      <c r="D344" s="731"/>
      <c r="E344" s="731"/>
      <c r="F344" s="734"/>
      <c r="G344" s="731"/>
      <c r="H344" s="731"/>
      <c r="I344" s="734"/>
      <c r="J344" s="731"/>
      <c r="K344" s="731"/>
      <c r="L344" s="734"/>
      <c r="M344" s="731"/>
      <c r="N344" s="736" t="s">
        <v>436</v>
      </c>
      <c r="O344" s="730"/>
      <c r="P344" s="736">
        <v>11.0</v>
      </c>
      <c r="Q344" s="736">
        <v>15.0</v>
      </c>
      <c r="R344" s="766"/>
      <c r="S344" s="731"/>
      <c r="T344" s="731"/>
      <c r="U344" s="734"/>
      <c r="V344" s="731"/>
      <c r="W344" s="731"/>
      <c r="X344" s="734"/>
      <c r="Y344" s="731"/>
      <c r="Z344" s="731"/>
    </row>
    <row r="345">
      <c r="C345" s="734"/>
      <c r="D345" s="731"/>
      <c r="E345" s="731"/>
      <c r="F345" s="734"/>
      <c r="G345" s="731"/>
      <c r="H345" s="731"/>
      <c r="I345" s="734"/>
      <c r="J345" s="731"/>
      <c r="K345" s="731"/>
      <c r="L345" s="734"/>
      <c r="M345" s="731"/>
      <c r="N345" s="731"/>
      <c r="O345" s="730"/>
      <c r="P345" s="736">
        <v>12.0</v>
      </c>
      <c r="Q345" s="736">
        <v>40.0</v>
      </c>
      <c r="R345" s="766">
        <f t="shared" ref="R345:R347" si="93">P345-P344+Q345/60-Q344/60</f>
        <v>1.416666667</v>
      </c>
      <c r="S345" s="771">
        <f>60/R345</f>
        <v>42.35294118</v>
      </c>
      <c r="T345" s="731"/>
      <c r="U345" s="734"/>
      <c r="V345" s="731"/>
      <c r="W345" s="731"/>
      <c r="X345" s="734"/>
      <c r="Y345" s="731"/>
      <c r="Z345" s="731"/>
    </row>
    <row r="346">
      <c r="C346" s="734"/>
      <c r="D346" s="731"/>
      <c r="E346" s="731"/>
      <c r="F346" s="734"/>
      <c r="G346" s="731"/>
      <c r="H346" s="731"/>
      <c r="I346" s="734"/>
      <c r="J346" s="731"/>
      <c r="K346" s="731"/>
      <c r="L346" s="734"/>
      <c r="M346" s="731"/>
      <c r="N346" s="731"/>
      <c r="O346" s="730"/>
      <c r="P346" s="736">
        <v>14.0</v>
      </c>
      <c r="Q346" s="736">
        <v>5.0</v>
      </c>
      <c r="R346" s="766">
        <f t="shared" si="93"/>
        <v>1.416666667</v>
      </c>
      <c r="S346" s="731"/>
      <c r="T346" s="731"/>
      <c r="U346" s="734"/>
      <c r="V346" s="731"/>
      <c r="W346" s="731"/>
      <c r="X346" s="734"/>
      <c r="Y346" s="731"/>
      <c r="Z346" s="731"/>
    </row>
    <row r="347">
      <c r="C347" s="734"/>
      <c r="D347" s="731"/>
      <c r="E347" s="731"/>
      <c r="F347" s="734"/>
      <c r="G347" s="731"/>
      <c r="H347" s="731"/>
      <c r="I347" s="734"/>
      <c r="J347" s="731"/>
      <c r="K347" s="731"/>
      <c r="L347" s="734"/>
      <c r="M347" s="731"/>
      <c r="N347" s="731"/>
      <c r="O347" s="730"/>
      <c r="P347" s="736">
        <v>15.0</v>
      </c>
      <c r="Q347" s="736">
        <v>30.0</v>
      </c>
      <c r="R347" s="766">
        <f t="shared" si="93"/>
        <v>1.416666667</v>
      </c>
      <c r="S347" s="731"/>
      <c r="T347" s="731"/>
      <c r="U347" s="734"/>
      <c r="V347" s="731"/>
      <c r="W347" s="731"/>
      <c r="X347" s="734"/>
      <c r="Y347" s="731"/>
      <c r="Z347" s="731"/>
    </row>
    <row r="348">
      <c r="C348" s="734"/>
      <c r="D348" s="731"/>
      <c r="E348" s="731"/>
      <c r="F348" s="734"/>
      <c r="G348" s="731"/>
      <c r="H348" s="731"/>
      <c r="I348" s="734"/>
      <c r="J348" s="731"/>
      <c r="K348" s="731"/>
      <c r="L348" s="734"/>
      <c r="M348" s="731"/>
      <c r="N348" s="736" t="s">
        <v>437</v>
      </c>
      <c r="O348" s="730"/>
      <c r="P348" s="736">
        <v>49.0</v>
      </c>
      <c r="Q348" s="736">
        <v>11.0</v>
      </c>
      <c r="R348" s="766"/>
      <c r="S348" s="731"/>
      <c r="T348" s="731"/>
      <c r="U348" s="734"/>
      <c r="V348" s="731"/>
      <c r="W348" s="731"/>
      <c r="X348" s="734"/>
      <c r="Y348" s="731"/>
      <c r="Z348" s="731"/>
    </row>
    <row r="349">
      <c r="C349" s="734"/>
      <c r="D349" s="731"/>
      <c r="E349" s="731"/>
      <c r="F349" s="734"/>
      <c r="G349" s="731"/>
      <c r="H349" s="731"/>
      <c r="I349" s="734"/>
      <c r="J349" s="731"/>
      <c r="K349" s="731"/>
      <c r="L349" s="734"/>
      <c r="M349" s="731"/>
      <c r="N349" s="731"/>
      <c r="O349" s="730"/>
      <c r="P349" s="736">
        <v>51.0</v>
      </c>
      <c r="Q349" s="736">
        <v>29.0</v>
      </c>
      <c r="R349" s="766">
        <f t="shared" ref="R349:R351" si="94">P349-P348+Q349/60-Q348/60</f>
        <v>2.3</v>
      </c>
      <c r="S349" s="731"/>
      <c r="T349" s="731"/>
      <c r="U349" s="734"/>
      <c r="V349" s="731"/>
      <c r="W349" s="731"/>
      <c r="X349" s="734"/>
      <c r="Y349" s="731"/>
      <c r="Z349" s="731"/>
    </row>
    <row r="350">
      <c r="C350" s="734"/>
      <c r="D350" s="731"/>
      <c r="E350" s="731"/>
      <c r="F350" s="734"/>
      <c r="G350" s="731"/>
      <c r="H350" s="731"/>
      <c r="I350" s="734"/>
      <c r="J350" s="731"/>
      <c r="K350" s="731"/>
      <c r="L350" s="734"/>
      <c r="M350" s="731"/>
      <c r="N350" s="731"/>
      <c r="O350" s="730"/>
      <c r="P350" s="736">
        <v>53.0</v>
      </c>
      <c r="Q350" s="736">
        <v>47.0</v>
      </c>
      <c r="R350" s="766">
        <f t="shared" si="94"/>
        <v>2.3</v>
      </c>
      <c r="S350" s="731"/>
      <c r="T350" s="731"/>
      <c r="U350" s="734"/>
      <c r="V350" s="731"/>
      <c r="W350" s="731"/>
      <c r="X350" s="734"/>
      <c r="Y350" s="731"/>
      <c r="Z350" s="731"/>
    </row>
    <row r="351">
      <c r="C351" s="734"/>
      <c r="D351" s="731"/>
      <c r="E351" s="731"/>
      <c r="F351" s="734"/>
      <c r="G351" s="731"/>
      <c r="H351" s="731"/>
      <c r="I351" s="734"/>
      <c r="J351" s="731"/>
      <c r="K351" s="731"/>
      <c r="L351" s="734"/>
      <c r="M351" s="731"/>
      <c r="N351" s="731"/>
      <c r="O351" s="730"/>
      <c r="P351" s="731"/>
      <c r="Q351" s="731"/>
      <c r="R351" s="766">
        <f t="shared" si="94"/>
        <v>-53.78333333</v>
      </c>
      <c r="S351" s="731"/>
      <c r="T351" s="731"/>
      <c r="U351" s="734"/>
      <c r="V351" s="731"/>
      <c r="W351" s="731"/>
      <c r="X351" s="734"/>
      <c r="Y351" s="731"/>
      <c r="Z351" s="731"/>
    </row>
    <row r="352">
      <c r="C352" s="734"/>
      <c r="D352" s="731"/>
      <c r="E352" s="731"/>
      <c r="F352" s="734"/>
      <c r="G352" s="731"/>
      <c r="H352" s="731"/>
      <c r="I352" s="734"/>
      <c r="J352" s="731"/>
      <c r="K352" s="731"/>
      <c r="L352" s="734"/>
      <c r="M352" s="731"/>
      <c r="N352" s="731"/>
      <c r="O352" s="730"/>
      <c r="P352" s="731"/>
      <c r="Q352" s="731"/>
      <c r="R352" s="734"/>
      <c r="S352" s="731"/>
      <c r="T352" s="731"/>
      <c r="U352" s="734"/>
      <c r="V352" s="731"/>
      <c r="W352" s="731"/>
      <c r="X352" s="734"/>
      <c r="Y352" s="731"/>
      <c r="Z352" s="731"/>
    </row>
    <row r="353">
      <c r="C353" s="734"/>
      <c r="D353" s="731"/>
      <c r="E353" s="731"/>
      <c r="F353" s="734"/>
      <c r="G353" s="731"/>
      <c r="H353" s="731"/>
      <c r="I353" s="734"/>
      <c r="J353" s="731"/>
      <c r="K353" s="731"/>
      <c r="L353" s="734"/>
      <c r="M353" s="731"/>
      <c r="N353" s="736" t="s">
        <v>57</v>
      </c>
      <c r="O353" s="745">
        <v>3.0</v>
      </c>
      <c r="P353" s="736">
        <v>59.0</v>
      </c>
      <c r="Q353" s="731"/>
      <c r="R353" s="734"/>
      <c r="S353" s="731"/>
      <c r="T353" s="731"/>
      <c r="U353" s="734"/>
      <c r="V353" s="731"/>
      <c r="W353" s="731"/>
      <c r="X353" s="734"/>
      <c r="Y353" s="731"/>
      <c r="Z353" s="731"/>
    </row>
    <row r="354">
      <c r="C354" s="734"/>
      <c r="D354" s="731"/>
      <c r="E354" s="731"/>
      <c r="F354" s="734"/>
      <c r="G354" s="731"/>
      <c r="H354" s="731"/>
      <c r="I354" s="734"/>
      <c r="J354" s="731"/>
      <c r="K354" s="731"/>
      <c r="L354" s="734"/>
      <c r="M354" s="731"/>
      <c r="N354" s="736"/>
      <c r="O354" s="745">
        <v>4.0</v>
      </c>
      <c r="P354" s="736">
        <v>51.0</v>
      </c>
      <c r="Q354" s="731">
        <f>60*O354-60*O353-P353+P354</f>
        <v>52</v>
      </c>
      <c r="R354" s="734"/>
      <c r="S354" s="731"/>
      <c r="T354" s="731"/>
      <c r="U354" s="734"/>
      <c r="V354" s="731"/>
      <c r="W354" s="731"/>
      <c r="X354" s="734"/>
      <c r="Y354" s="731"/>
      <c r="Z354" s="731"/>
    </row>
    <row r="355">
      <c r="C355" s="734"/>
      <c r="D355" s="731"/>
      <c r="E355" s="731"/>
      <c r="F355" s="734"/>
      <c r="G355" s="731"/>
      <c r="H355" s="731"/>
      <c r="I355" s="734"/>
      <c r="J355" s="731"/>
      <c r="K355" s="731"/>
      <c r="L355" s="734"/>
      <c r="M355" s="731"/>
      <c r="N355" s="731"/>
      <c r="O355" s="745">
        <v>6.0</v>
      </c>
      <c r="P355" s="736">
        <v>55.0</v>
      </c>
      <c r="Q355" s="731"/>
      <c r="R355" s="734"/>
      <c r="S355" s="731"/>
      <c r="T355" s="731"/>
      <c r="U355" s="734"/>
      <c r="V355" s="731"/>
      <c r="W355" s="731"/>
      <c r="X355" s="734"/>
      <c r="Y355" s="731"/>
      <c r="Z355" s="731"/>
    </row>
    <row r="356">
      <c r="C356" s="734"/>
      <c r="D356" s="731"/>
      <c r="E356" s="731"/>
      <c r="F356" s="734"/>
      <c r="G356" s="731"/>
      <c r="H356" s="731"/>
      <c r="I356" s="734"/>
      <c r="J356" s="731"/>
      <c r="K356" s="731"/>
      <c r="L356" s="734"/>
      <c r="M356" s="731"/>
      <c r="N356" s="731"/>
      <c r="O356" s="745">
        <v>7.0</v>
      </c>
      <c r="P356" s="736">
        <v>47.0</v>
      </c>
      <c r="Q356" s="731">
        <f>60*O356-60*O355-P355+P356</f>
        <v>52</v>
      </c>
      <c r="R356" s="734"/>
      <c r="S356" s="731"/>
      <c r="T356" s="731"/>
      <c r="U356" s="734"/>
      <c r="V356" s="731"/>
      <c r="W356" s="731"/>
      <c r="X356" s="734"/>
      <c r="Y356" s="731"/>
      <c r="Z356" s="731"/>
    </row>
    <row r="357">
      <c r="C357" s="734"/>
      <c r="D357" s="731"/>
      <c r="E357" s="731"/>
      <c r="F357" s="734"/>
      <c r="G357" s="731"/>
      <c r="H357" s="731"/>
      <c r="I357" s="734"/>
      <c r="J357" s="731"/>
      <c r="K357" s="731"/>
      <c r="L357" s="734"/>
      <c r="M357" s="731"/>
      <c r="N357" s="736" t="s">
        <v>55</v>
      </c>
      <c r="O357" s="745">
        <v>14.0</v>
      </c>
      <c r="P357" s="736">
        <v>4.0</v>
      </c>
      <c r="Q357" s="731"/>
      <c r="R357" s="734"/>
      <c r="S357" s="731"/>
      <c r="T357" s="731"/>
      <c r="U357" s="734"/>
      <c r="V357" s="731"/>
      <c r="W357" s="731"/>
      <c r="X357" s="734"/>
      <c r="Y357" s="731"/>
      <c r="Z357" s="731"/>
    </row>
    <row r="358">
      <c r="C358" s="734"/>
      <c r="D358" s="731"/>
      <c r="E358" s="731"/>
      <c r="F358" s="734"/>
      <c r="G358" s="731"/>
      <c r="H358" s="731"/>
      <c r="I358" s="734"/>
      <c r="J358" s="731"/>
      <c r="K358" s="731"/>
      <c r="L358" s="734"/>
      <c r="M358" s="731"/>
      <c r="N358" s="731"/>
      <c r="O358" s="745">
        <v>14.0</v>
      </c>
      <c r="P358" s="736">
        <v>58.0</v>
      </c>
      <c r="Q358" s="731">
        <f>60*O358-60*O357-P357+P358</f>
        <v>54</v>
      </c>
      <c r="R358" s="734"/>
      <c r="S358" s="731"/>
      <c r="T358" s="731"/>
      <c r="U358" s="734"/>
      <c r="V358" s="731"/>
      <c r="W358" s="731"/>
      <c r="X358" s="734"/>
      <c r="Y358" s="731"/>
      <c r="Z358" s="731"/>
    </row>
    <row r="359">
      <c r="C359" s="734"/>
      <c r="D359" s="731"/>
      <c r="E359" s="731"/>
      <c r="F359" s="734"/>
      <c r="G359" s="731"/>
      <c r="H359" s="731"/>
      <c r="I359" s="734"/>
      <c r="J359" s="731"/>
      <c r="K359" s="731"/>
      <c r="L359" s="734"/>
      <c r="M359" s="731"/>
      <c r="N359" s="731"/>
      <c r="O359" s="745">
        <v>16.0</v>
      </c>
      <c r="P359" s="736">
        <v>48.0</v>
      </c>
      <c r="Q359" s="731"/>
      <c r="R359" s="734"/>
      <c r="S359" s="731"/>
      <c r="T359" s="731"/>
      <c r="U359" s="734"/>
      <c r="V359" s="731"/>
      <c r="W359" s="731"/>
      <c r="X359" s="734"/>
      <c r="Y359" s="731"/>
      <c r="Z359" s="731"/>
    </row>
    <row r="360">
      <c r="C360" s="734"/>
      <c r="D360" s="731"/>
      <c r="E360" s="731"/>
      <c r="F360" s="734"/>
      <c r="G360" s="731"/>
      <c r="H360" s="731"/>
      <c r="I360" s="734"/>
      <c r="J360" s="731"/>
      <c r="K360" s="731"/>
      <c r="L360" s="734"/>
      <c r="M360" s="731"/>
      <c r="N360" s="731"/>
      <c r="O360" s="745">
        <v>17.0</v>
      </c>
      <c r="P360" s="736">
        <v>42.0</v>
      </c>
      <c r="Q360" s="731">
        <f>60*O360-60*O359-P359+P360</f>
        <v>54</v>
      </c>
      <c r="R360" s="734"/>
      <c r="S360" s="731"/>
      <c r="T360" s="731"/>
      <c r="U360" s="734"/>
      <c r="V360" s="731"/>
      <c r="W360" s="731"/>
      <c r="X360" s="734"/>
      <c r="Y360" s="731"/>
      <c r="Z360" s="731"/>
    </row>
    <row r="361">
      <c r="C361" s="734"/>
      <c r="D361" s="731"/>
      <c r="E361" s="731"/>
      <c r="F361" s="734"/>
      <c r="G361" s="731"/>
      <c r="H361" s="731"/>
      <c r="I361" s="734"/>
      <c r="J361" s="731"/>
      <c r="K361" s="731"/>
      <c r="L361" s="734"/>
      <c r="M361" s="731"/>
      <c r="N361" s="736" t="s">
        <v>57</v>
      </c>
      <c r="O361" s="745">
        <v>5.0</v>
      </c>
      <c r="P361" s="736">
        <v>51.0</v>
      </c>
      <c r="Q361" s="731"/>
      <c r="R361" s="734"/>
      <c r="S361" s="731"/>
      <c r="T361" s="731"/>
      <c r="U361" s="734"/>
      <c r="V361" s="731"/>
      <c r="W361" s="731"/>
      <c r="X361" s="734"/>
      <c r="Y361" s="731"/>
      <c r="Z361" s="731"/>
    </row>
    <row r="362">
      <c r="C362" s="734"/>
      <c r="D362" s="731"/>
      <c r="E362" s="731"/>
      <c r="F362" s="734"/>
      <c r="G362" s="731"/>
      <c r="H362" s="731"/>
      <c r="I362" s="734"/>
      <c r="J362" s="731"/>
      <c r="K362" s="731"/>
      <c r="L362" s="734"/>
      <c r="M362" s="731"/>
      <c r="N362" s="731"/>
      <c r="O362" s="745">
        <v>6.0</v>
      </c>
      <c r="P362" s="736">
        <v>22.0</v>
      </c>
      <c r="Q362" s="731">
        <f>60*O362-60*O361-P361+P362</f>
        <v>31</v>
      </c>
      <c r="R362" s="734"/>
      <c r="S362" s="731"/>
      <c r="T362" s="731"/>
      <c r="U362" s="734"/>
      <c r="V362" s="731"/>
      <c r="W362" s="731"/>
      <c r="X362" s="734"/>
      <c r="Y362" s="731"/>
      <c r="Z362" s="731"/>
    </row>
    <row r="363">
      <c r="C363" s="734"/>
      <c r="D363" s="731"/>
      <c r="E363" s="731"/>
      <c r="F363" s="734"/>
      <c r="G363" s="731"/>
      <c r="H363" s="731"/>
      <c r="I363" s="734"/>
      <c r="J363" s="731"/>
      <c r="K363" s="731"/>
      <c r="L363" s="734"/>
      <c r="M363" s="731"/>
      <c r="N363" s="731"/>
      <c r="O363" s="745">
        <v>10.0</v>
      </c>
      <c r="P363" s="736">
        <v>6.0</v>
      </c>
      <c r="Q363" s="731"/>
      <c r="R363" s="734"/>
      <c r="S363" s="731"/>
      <c r="T363" s="731"/>
      <c r="U363" s="734"/>
      <c r="V363" s="731"/>
      <c r="W363" s="731"/>
      <c r="X363" s="734"/>
      <c r="Y363" s="731"/>
      <c r="Z363" s="731"/>
    </row>
    <row r="364">
      <c r="C364" s="734"/>
      <c r="D364" s="731"/>
      <c r="E364" s="731"/>
      <c r="F364" s="734"/>
      <c r="G364" s="731"/>
      <c r="H364" s="731"/>
      <c r="I364" s="734"/>
      <c r="J364" s="731"/>
      <c r="K364" s="731"/>
      <c r="L364" s="734"/>
      <c r="M364" s="731"/>
      <c r="N364" s="731"/>
      <c r="O364" s="745">
        <v>10.0</v>
      </c>
      <c r="P364" s="736">
        <v>37.0</v>
      </c>
      <c r="Q364" s="731">
        <f>60*O364-60*O363-P363+P364</f>
        <v>31</v>
      </c>
      <c r="R364" s="734"/>
      <c r="S364" s="731"/>
      <c r="T364" s="731"/>
      <c r="U364" s="734"/>
      <c r="V364" s="731"/>
      <c r="W364" s="731"/>
      <c r="X364" s="734"/>
      <c r="Y364" s="731"/>
      <c r="Z364" s="731"/>
    </row>
    <row r="365">
      <c r="C365" s="734"/>
      <c r="D365" s="731"/>
      <c r="E365" s="731"/>
      <c r="F365" s="734"/>
      <c r="G365" s="731"/>
      <c r="H365" s="731"/>
      <c r="I365" s="734"/>
      <c r="J365" s="731"/>
      <c r="K365" s="731"/>
      <c r="L365" s="734"/>
      <c r="M365" s="731"/>
      <c r="N365" s="736" t="s">
        <v>55</v>
      </c>
      <c r="O365" s="745">
        <v>15.0</v>
      </c>
      <c r="P365" s="736">
        <v>53.0</v>
      </c>
      <c r="Q365" s="731"/>
      <c r="R365" s="734"/>
      <c r="S365" s="731"/>
      <c r="T365" s="731"/>
      <c r="U365" s="734"/>
      <c r="V365" s="731"/>
      <c r="W365" s="731"/>
      <c r="X365" s="734"/>
      <c r="Y365" s="731"/>
      <c r="Z365" s="731"/>
    </row>
    <row r="366">
      <c r="C366" s="734"/>
      <c r="D366" s="731"/>
      <c r="E366" s="731"/>
      <c r="F366" s="734"/>
      <c r="G366" s="731"/>
      <c r="H366" s="731"/>
      <c r="I366" s="734"/>
      <c r="J366" s="731"/>
      <c r="K366" s="731"/>
      <c r="L366" s="734"/>
      <c r="M366" s="731"/>
      <c r="N366" s="731"/>
      <c r="O366" s="745">
        <v>16.0</v>
      </c>
      <c r="P366" s="736">
        <v>25.0</v>
      </c>
      <c r="Q366" s="731">
        <f>60*O366-60*O365-P365+P366</f>
        <v>32</v>
      </c>
      <c r="R366" s="734"/>
      <c r="S366" s="731"/>
      <c r="T366" s="731"/>
      <c r="U366" s="734"/>
      <c r="V366" s="731"/>
      <c r="W366" s="731"/>
      <c r="X366" s="734"/>
      <c r="Y366" s="731"/>
      <c r="Z366" s="731"/>
    </row>
    <row r="367">
      <c r="C367" s="734"/>
      <c r="D367" s="731"/>
      <c r="E367" s="731"/>
      <c r="F367" s="734"/>
      <c r="G367" s="731"/>
      <c r="H367" s="731"/>
      <c r="I367" s="734"/>
      <c r="J367" s="731"/>
      <c r="K367" s="731"/>
      <c r="L367" s="734"/>
      <c r="M367" s="731"/>
      <c r="N367" s="731"/>
      <c r="O367" s="745">
        <v>18.0</v>
      </c>
      <c r="P367" s="736">
        <v>17.0</v>
      </c>
      <c r="Q367" s="731"/>
      <c r="R367" s="734"/>
      <c r="S367" s="731"/>
      <c r="T367" s="731"/>
      <c r="U367" s="734"/>
      <c r="V367" s="731"/>
      <c r="W367" s="731"/>
      <c r="X367" s="734"/>
      <c r="Y367" s="731"/>
      <c r="Z367" s="731"/>
    </row>
    <row r="368">
      <c r="C368" s="734"/>
      <c r="D368" s="731"/>
      <c r="E368" s="731"/>
      <c r="F368" s="734"/>
      <c r="G368" s="731"/>
      <c r="H368" s="731"/>
      <c r="I368" s="734"/>
      <c r="J368" s="731"/>
      <c r="K368" s="731"/>
      <c r="L368" s="734"/>
      <c r="M368" s="731"/>
      <c r="N368" s="731"/>
      <c r="O368" s="745">
        <v>18.0</v>
      </c>
      <c r="P368" s="736">
        <v>49.0</v>
      </c>
      <c r="Q368" s="731">
        <f>60*O368-60*O367-P367+P368</f>
        <v>32</v>
      </c>
      <c r="R368" s="734"/>
      <c r="S368" s="731"/>
      <c r="T368" s="731"/>
      <c r="U368" s="734"/>
      <c r="V368" s="731"/>
      <c r="W368" s="731"/>
      <c r="X368" s="734"/>
      <c r="Y368" s="731"/>
      <c r="Z368" s="731"/>
    </row>
    <row r="369">
      <c r="C369" s="734"/>
      <c r="D369" s="731"/>
      <c r="E369" s="731"/>
      <c r="F369" s="734"/>
      <c r="G369" s="731"/>
      <c r="H369" s="731"/>
      <c r="I369" s="734"/>
      <c r="J369" s="731"/>
      <c r="K369" s="731"/>
      <c r="L369" s="734"/>
      <c r="M369" s="731"/>
      <c r="N369" s="736" t="s">
        <v>57</v>
      </c>
      <c r="O369" s="745">
        <v>2.0</v>
      </c>
      <c r="P369" s="736">
        <v>39.0</v>
      </c>
      <c r="Q369" s="731"/>
      <c r="R369" s="734"/>
      <c r="S369" s="731"/>
      <c r="T369" s="731"/>
      <c r="U369" s="734"/>
      <c r="V369" s="731"/>
      <c r="W369" s="731"/>
      <c r="X369" s="734"/>
      <c r="Y369" s="731"/>
      <c r="Z369" s="731"/>
    </row>
    <row r="370">
      <c r="C370" s="734"/>
      <c r="D370" s="731"/>
      <c r="E370" s="731"/>
      <c r="F370" s="734"/>
      <c r="G370" s="731"/>
      <c r="H370" s="731"/>
      <c r="I370" s="734"/>
      <c r="J370" s="731"/>
      <c r="K370" s="731"/>
      <c r="L370" s="734"/>
      <c r="M370" s="731"/>
      <c r="N370" s="731"/>
      <c r="O370" s="745">
        <v>2.0</v>
      </c>
      <c r="P370" s="736">
        <v>54.0</v>
      </c>
      <c r="Q370" s="731">
        <f>60*O370-60*O369-P369+P370</f>
        <v>15</v>
      </c>
      <c r="R370" s="734"/>
      <c r="S370" s="731"/>
      <c r="T370" s="731"/>
      <c r="U370" s="734"/>
      <c r="V370" s="731"/>
      <c r="W370" s="731"/>
      <c r="X370" s="734"/>
      <c r="Y370" s="731"/>
      <c r="Z370" s="731"/>
    </row>
    <row r="371">
      <c r="C371" s="734"/>
      <c r="D371" s="731"/>
      <c r="E371" s="731"/>
      <c r="F371" s="734"/>
      <c r="G371" s="731"/>
      <c r="H371" s="731"/>
      <c r="I371" s="734"/>
      <c r="J371" s="731"/>
      <c r="K371" s="731"/>
      <c r="L371" s="734"/>
      <c r="M371" s="731"/>
      <c r="N371" s="731"/>
      <c r="O371" s="745">
        <v>5.0</v>
      </c>
      <c r="P371" s="736">
        <v>20.0</v>
      </c>
      <c r="Q371" s="731"/>
      <c r="R371" s="734"/>
      <c r="S371" s="731"/>
      <c r="T371" s="731"/>
      <c r="U371" s="734"/>
      <c r="V371" s="731"/>
      <c r="W371" s="731"/>
      <c r="X371" s="734"/>
      <c r="Y371" s="731"/>
      <c r="Z371" s="731"/>
    </row>
    <row r="372">
      <c r="C372" s="734"/>
      <c r="D372" s="731"/>
      <c r="E372" s="731"/>
      <c r="F372" s="734"/>
      <c r="G372" s="731"/>
      <c r="H372" s="731"/>
      <c r="I372" s="734"/>
      <c r="J372" s="731"/>
      <c r="K372" s="731"/>
      <c r="L372" s="734"/>
      <c r="M372" s="731"/>
      <c r="N372" s="731"/>
      <c r="O372" s="745">
        <v>5.0</v>
      </c>
      <c r="P372" s="736">
        <v>35.0</v>
      </c>
      <c r="Q372" s="731">
        <f>60*O372-60*O371-P371+P372</f>
        <v>15</v>
      </c>
      <c r="R372" s="734"/>
      <c r="S372" s="731"/>
      <c r="T372" s="731"/>
      <c r="U372" s="734"/>
      <c r="V372" s="731"/>
      <c r="W372" s="731"/>
      <c r="X372" s="734"/>
      <c r="Y372" s="731"/>
      <c r="Z372" s="731"/>
    </row>
    <row r="373">
      <c r="C373" s="734"/>
      <c r="D373" s="731"/>
      <c r="E373" s="731"/>
      <c r="F373" s="734"/>
      <c r="G373" s="731"/>
      <c r="H373" s="731"/>
      <c r="I373" s="734"/>
      <c r="J373" s="731"/>
      <c r="K373" s="731"/>
      <c r="L373" s="734"/>
      <c r="M373" s="731"/>
      <c r="N373" s="736" t="s">
        <v>55</v>
      </c>
      <c r="O373" s="745">
        <v>9.0</v>
      </c>
      <c r="P373" s="736">
        <v>33.0</v>
      </c>
      <c r="Q373" s="731"/>
      <c r="R373" s="734"/>
      <c r="S373" s="731"/>
      <c r="T373" s="731"/>
      <c r="U373" s="734"/>
      <c r="V373" s="731"/>
      <c r="W373" s="731"/>
      <c r="X373" s="734"/>
      <c r="Y373" s="731"/>
      <c r="Z373" s="731"/>
    </row>
    <row r="374">
      <c r="C374" s="734"/>
      <c r="D374" s="731"/>
      <c r="E374" s="731"/>
      <c r="F374" s="734"/>
      <c r="G374" s="731"/>
      <c r="H374" s="731"/>
      <c r="I374" s="734"/>
      <c r="J374" s="731"/>
      <c r="K374" s="731"/>
      <c r="L374" s="734"/>
      <c r="M374" s="731"/>
      <c r="N374" s="731"/>
      <c r="O374" s="745">
        <v>9.0</v>
      </c>
      <c r="P374" s="736">
        <v>50.0</v>
      </c>
      <c r="Q374" s="731">
        <f>60*O374-60*O373-P373+P374</f>
        <v>17</v>
      </c>
      <c r="R374" s="734"/>
      <c r="S374" s="731"/>
      <c r="T374" s="731"/>
      <c r="U374" s="734"/>
      <c r="V374" s="731"/>
      <c r="W374" s="731"/>
      <c r="X374" s="734"/>
      <c r="Y374" s="731"/>
      <c r="Z374" s="731"/>
    </row>
    <row r="375">
      <c r="C375" s="734"/>
      <c r="D375" s="731"/>
      <c r="E375" s="731"/>
      <c r="F375" s="734"/>
      <c r="G375" s="731"/>
      <c r="H375" s="731"/>
      <c r="I375" s="734"/>
      <c r="J375" s="731"/>
      <c r="K375" s="731"/>
      <c r="L375" s="734"/>
      <c r="M375" s="731"/>
      <c r="N375" s="731"/>
      <c r="O375" s="745">
        <v>12.0</v>
      </c>
      <c r="P375" s="736">
        <v>23.0</v>
      </c>
      <c r="Q375" s="731"/>
      <c r="R375" s="734"/>
      <c r="S375" s="731"/>
      <c r="T375" s="731"/>
      <c r="U375" s="734"/>
      <c r="V375" s="731"/>
      <c r="W375" s="731"/>
      <c r="X375" s="734"/>
      <c r="Y375" s="731"/>
      <c r="Z375" s="731"/>
    </row>
    <row r="376">
      <c r="C376" s="734"/>
      <c r="D376" s="731"/>
      <c r="E376" s="731"/>
      <c r="F376" s="734"/>
      <c r="G376" s="731"/>
      <c r="H376" s="731"/>
      <c r="I376" s="734"/>
      <c r="J376" s="731"/>
      <c r="K376" s="731"/>
      <c r="L376" s="734"/>
      <c r="M376" s="731"/>
      <c r="N376" s="731"/>
      <c r="O376" s="745">
        <v>12.0</v>
      </c>
      <c r="P376" s="736">
        <v>38.0</v>
      </c>
      <c r="Q376" s="731">
        <f>60*O376-60*O375-P375+P376</f>
        <v>15</v>
      </c>
      <c r="R376" s="734"/>
      <c r="S376" s="731"/>
      <c r="T376" s="731"/>
      <c r="U376" s="734"/>
      <c r="V376" s="731"/>
      <c r="W376" s="731"/>
      <c r="X376" s="734"/>
      <c r="Y376" s="731"/>
      <c r="Z376" s="731"/>
    </row>
    <row r="377">
      <c r="C377" s="734"/>
      <c r="D377" s="731"/>
      <c r="E377" s="731"/>
      <c r="F377" s="734"/>
      <c r="G377" s="731"/>
      <c r="H377" s="731"/>
      <c r="I377" s="734"/>
      <c r="J377" s="731"/>
      <c r="K377" s="731"/>
      <c r="L377" s="734"/>
      <c r="M377" s="731"/>
      <c r="N377" s="731"/>
      <c r="O377" s="730"/>
      <c r="P377" s="731"/>
      <c r="Q377" s="731"/>
      <c r="R377" s="734"/>
      <c r="S377" s="731"/>
      <c r="T377" s="731"/>
      <c r="U377" s="734"/>
      <c r="V377" s="731"/>
      <c r="W377" s="731"/>
      <c r="X377" s="734"/>
      <c r="Y377" s="731"/>
      <c r="Z377" s="731"/>
    </row>
    <row r="378">
      <c r="C378" s="734"/>
      <c r="D378" s="731"/>
      <c r="E378" s="731"/>
      <c r="F378" s="734"/>
      <c r="G378" s="731"/>
      <c r="H378" s="731"/>
      <c r="I378" s="734"/>
      <c r="J378" s="731"/>
      <c r="K378" s="731"/>
      <c r="L378" s="734"/>
      <c r="M378" s="731"/>
      <c r="N378" s="731"/>
      <c r="O378" s="730"/>
      <c r="P378" s="731"/>
      <c r="Q378" s="731"/>
      <c r="R378" s="734"/>
      <c r="S378" s="731"/>
      <c r="T378" s="731"/>
      <c r="U378" s="734"/>
      <c r="V378" s="731"/>
      <c r="W378" s="731"/>
      <c r="X378" s="734"/>
      <c r="Y378" s="731"/>
      <c r="Z378" s="731"/>
    </row>
    <row r="379">
      <c r="C379" s="734"/>
      <c r="D379" s="731"/>
      <c r="E379" s="731"/>
      <c r="F379" s="734"/>
      <c r="G379" s="731"/>
      <c r="H379" s="731"/>
      <c r="I379" s="734"/>
      <c r="J379" s="731"/>
      <c r="K379" s="731"/>
      <c r="L379" s="734"/>
      <c r="M379" s="731"/>
      <c r="N379" s="731"/>
      <c r="O379" s="730"/>
      <c r="P379" s="731"/>
      <c r="Q379" s="731"/>
      <c r="R379" s="734"/>
      <c r="S379" s="731"/>
      <c r="T379" s="731"/>
      <c r="U379" s="734"/>
      <c r="V379" s="731"/>
      <c r="W379" s="731"/>
      <c r="X379" s="734"/>
      <c r="Y379" s="731"/>
      <c r="Z379" s="731"/>
    </row>
    <row r="380">
      <c r="C380" s="734"/>
      <c r="D380" s="731"/>
      <c r="E380" s="731"/>
      <c r="F380" s="734"/>
      <c r="G380" s="731"/>
      <c r="H380" s="731"/>
      <c r="I380" s="734"/>
      <c r="J380" s="731"/>
      <c r="K380" s="731"/>
      <c r="L380" s="734"/>
      <c r="M380" s="731"/>
      <c r="N380" s="731"/>
      <c r="O380" s="730"/>
      <c r="P380" s="731"/>
      <c r="Q380" s="731"/>
      <c r="R380" s="734"/>
      <c r="S380" s="731"/>
      <c r="T380" s="731"/>
      <c r="U380" s="734"/>
      <c r="V380" s="731"/>
      <c r="W380" s="731"/>
      <c r="X380" s="734"/>
      <c r="Y380" s="731"/>
      <c r="Z380" s="731"/>
    </row>
    <row r="381">
      <c r="C381" s="734"/>
      <c r="D381" s="731"/>
      <c r="E381" s="731"/>
      <c r="F381" s="734"/>
      <c r="G381" s="731"/>
      <c r="H381" s="731"/>
      <c r="I381" s="734"/>
      <c r="J381" s="731"/>
      <c r="K381" s="731"/>
      <c r="L381" s="734"/>
      <c r="M381" s="731"/>
      <c r="N381" s="731"/>
      <c r="O381" s="730"/>
      <c r="P381" s="731"/>
      <c r="Q381" s="731"/>
      <c r="R381" s="734"/>
      <c r="S381" s="731"/>
      <c r="T381" s="731"/>
      <c r="U381" s="734"/>
      <c r="V381" s="731"/>
      <c r="W381" s="731"/>
      <c r="X381" s="734"/>
      <c r="Y381" s="731"/>
      <c r="Z381" s="731"/>
    </row>
    <row r="382">
      <c r="C382" s="734"/>
      <c r="D382" s="731"/>
      <c r="E382" s="731"/>
      <c r="F382" s="734"/>
      <c r="G382" s="731"/>
      <c r="H382" s="731"/>
      <c r="I382" s="734"/>
      <c r="J382" s="731"/>
      <c r="K382" s="731"/>
      <c r="L382" s="734"/>
      <c r="M382" s="731"/>
      <c r="N382" s="731"/>
      <c r="O382" s="730"/>
      <c r="P382" s="731"/>
      <c r="Q382" s="731"/>
      <c r="R382" s="734"/>
      <c r="S382" s="731"/>
      <c r="T382" s="731"/>
      <c r="U382" s="734"/>
      <c r="V382" s="731"/>
      <c r="W382" s="731"/>
      <c r="X382" s="734"/>
      <c r="Y382" s="731"/>
      <c r="Z382" s="731"/>
    </row>
    <row r="383">
      <c r="C383" s="734"/>
      <c r="D383" s="731"/>
      <c r="E383" s="731"/>
      <c r="F383" s="734"/>
      <c r="G383" s="731"/>
      <c r="H383" s="731"/>
      <c r="I383" s="734"/>
      <c r="J383" s="731"/>
      <c r="K383" s="731"/>
      <c r="L383" s="734"/>
      <c r="M383" s="731"/>
      <c r="N383" s="731"/>
      <c r="O383" s="730"/>
      <c r="P383" s="731"/>
      <c r="Q383" s="731"/>
      <c r="R383" s="734"/>
      <c r="S383" s="731"/>
      <c r="T383" s="731"/>
      <c r="U383" s="734"/>
      <c r="V383" s="731"/>
      <c r="W383" s="731"/>
      <c r="X383" s="734"/>
      <c r="Y383" s="731"/>
      <c r="Z383" s="731"/>
    </row>
    <row r="384">
      <c r="C384" s="734"/>
      <c r="D384" s="731"/>
      <c r="E384" s="731"/>
      <c r="F384" s="734"/>
      <c r="G384" s="731"/>
      <c r="H384" s="731"/>
      <c r="I384" s="734"/>
      <c r="J384" s="731"/>
      <c r="K384" s="731"/>
      <c r="L384" s="734"/>
      <c r="M384" s="731"/>
      <c r="N384" s="731"/>
      <c r="O384" s="730"/>
      <c r="P384" s="731"/>
      <c r="Q384" s="731"/>
      <c r="R384" s="734"/>
      <c r="S384" s="731"/>
      <c r="T384" s="731"/>
      <c r="U384" s="734"/>
      <c r="V384" s="731"/>
      <c r="W384" s="731"/>
      <c r="X384" s="734"/>
      <c r="Y384" s="731"/>
      <c r="Z384" s="731"/>
    </row>
    <row r="385">
      <c r="C385" s="734"/>
      <c r="D385" s="731"/>
      <c r="E385" s="731"/>
      <c r="F385" s="734"/>
      <c r="G385" s="731"/>
      <c r="H385" s="731"/>
      <c r="I385" s="734"/>
      <c r="J385" s="731"/>
      <c r="K385" s="731"/>
      <c r="L385" s="734"/>
      <c r="M385" s="731"/>
      <c r="N385" s="731"/>
      <c r="O385" s="730"/>
      <c r="P385" s="731"/>
      <c r="Q385" s="731"/>
      <c r="R385" s="734"/>
      <c r="S385" s="731"/>
      <c r="T385" s="731"/>
      <c r="U385" s="734"/>
      <c r="V385" s="731"/>
      <c r="W385" s="731"/>
      <c r="X385" s="734"/>
      <c r="Y385" s="731"/>
      <c r="Z385" s="731"/>
    </row>
    <row r="386">
      <c r="C386" s="734"/>
      <c r="D386" s="731"/>
      <c r="E386" s="731"/>
      <c r="F386" s="734"/>
      <c r="G386" s="731"/>
      <c r="H386" s="731"/>
      <c r="I386" s="734"/>
      <c r="J386" s="731"/>
      <c r="K386" s="731"/>
      <c r="L386" s="734"/>
      <c r="M386" s="731"/>
      <c r="N386" s="731"/>
      <c r="O386" s="730"/>
      <c r="P386" s="731"/>
      <c r="Q386" s="731"/>
      <c r="R386" s="734"/>
      <c r="S386" s="731"/>
      <c r="T386" s="731"/>
      <c r="U386" s="734"/>
      <c r="V386" s="731"/>
      <c r="W386" s="731"/>
      <c r="X386" s="734"/>
      <c r="Y386" s="731"/>
      <c r="Z386" s="731"/>
    </row>
    <row r="387">
      <c r="C387" s="734"/>
      <c r="D387" s="731"/>
      <c r="E387" s="731"/>
      <c r="F387" s="734"/>
      <c r="G387" s="731"/>
      <c r="H387" s="731"/>
      <c r="I387" s="734"/>
      <c r="J387" s="731"/>
      <c r="K387" s="731"/>
      <c r="L387" s="734"/>
      <c r="M387" s="731"/>
      <c r="N387" s="731"/>
      <c r="O387" s="730"/>
      <c r="P387" s="731"/>
      <c r="Q387" s="731"/>
      <c r="R387" s="734"/>
      <c r="S387" s="731"/>
      <c r="T387" s="731"/>
      <c r="U387" s="734"/>
      <c r="V387" s="731"/>
      <c r="W387" s="731"/>
      <c r="X387" s="734"/>
      <c r="Y387" s="731"/>
      <c r="Z387" s="731"/>
    </row>
    <row r="388">
      <c r="C388" s="734"/>
      <c r="D388" s="731"/>
      <c r="E388" s="731"/>
      <c r="F388" s="734"/>
      <c r="G388" s="731"/>
      <c r="H388" s="731"/>
      <c r="I388" s="734"/>
      <c r="J388" s="731"/>
      <c r="K388" s="731"/>
      <c r="L388" s="734"/>
      <c r="M388" s="731"/>
      <c r="N388" s="731"/>
      <c r="O388" s="730"/>
      <c r="P388" s="731"/>
      <c r="Q388" s="731"/>
      <c r="R388" s="734"/>
      <c r="S388" s="731"/>
      <c r="T388" s="731"/>
      <c r="U388" s="734"/>
      <c r="V388" s="731"/>
      <c r="W388" s="731"/>
      <c r="X388" s="734"/>
      <c r="Y388" s="731"/>
      <c r="Z388" s="731"/>
    </row>
    <row r="389">
      <c r="C389" s="734"/>
      <c r="D389" s="731"/>
      <c r="E389" s="731"/>
      <c r="F389" s="734"/>
      <c r="G389" s="731"/>
      <c r="H389" s="731"/>
      <c r="I389" s="734"/>
      <c r="J389" s="731"/>
      <c r="K389" s="731"/>
      <c r="L389" s="734"/>
      <c r="M389" s="731"/>
      <c r="N389" s="731"/>
      <c r="O389" s="730"/>
      <c r="P389" s="731"/>
      <c r="Q389" s="731"/>
      <c r="R389" s="734"/>
      <c r="S389" s="731"/>
      <c r="T389" s="731"/>
      <c r="U389" s="734"/>
      <c r="V389" s="731"/>
      <c r="W389" s="731"/>
      <c r="X389" s="734"/>
      <c r="Y389" s="731"/>
      <c r="Z389" s="731"/>
    </row>
    <row r="390">
      <c r="C390" s="734"/>
      <c r="D390" s="731"/>
      <c r="E390" s="731"/>
      <c r="F390" s="734"/>
      <c r="G390" s="731"/>
      <c r="H390" s="731"/>
      <c r="I390" s="734"/>
      <c r="J390" s="731"/>
      <c r="K390" s="731"/>
      <c r="L390" s="734"/>
      <c r="M390" s="731"/>
      <c r="N390" s="731"/>
      <c r="O390" s="730"/>
      <c r="P390" s="731"/>
      <c r="Q390" s="731"/>
      <c r="R390" s="734"/>
      <c r="S390" s="731"/>
      <c r="T390" s="731"/>
      <c r="U390" s="734"/>
      <c r="V390" s="731"/>
      <c r="W390" s="731"/>
      <c r="X390" s="734"/>
      <c r="Y390" s="731"/>
      <c r="Z390" s="731"/>
    </row>
    <row r="391">
      <c r="C391" s="734"/>
      <c r="D391" s="731"/>
      <c r="E391" s="731"/>
      <c r="F391" s="734"/>
      <c r="G391" s="731"/>
      <c r="H391" s="731"/>
      <c r="I391" s="734"/>
      <c r="J391" s="731"/>
      <c r="K391" s="731"/>
      <c r="L391" s="734"/>
      <c r="M391" s="731"/>
      <c r="N391" s="731"/>
      <c r="O391" s="730"/>
      <c r="P391" s="731"/>
      <c r="Q391" s="731"/>
      <c r="R391" s="734"/>
      <c r="S391" s="731"/>
      <c r="T391" s="731"/>
      <c r="U391" s="734"/>
      <c r="V391" s="731"/>
      <c r="W391" s="731"/>
      <c r="X391" s="734"/>
      <c r="Y391" s="731"/>
      <c r="Z391" s="731"/>
    </row>
    <row r="392">
      <c r="C392" s="734"/>
      <c r="D392" s="731"/>
      <c r="E392" s="731"/>
      <c r="F392" s="734"/>
      <c r="G392" s="731"/>
      <c r="H392" s="731"/>
      <c r="I392" s="734"/>
      <c r="J392" s="731"/>
      <c r="K392" s="731"/>
      <c r="L392" s="734"/>
      <c r="M392" s="731"/>
      <c r="N392" s="731"/>
      <c r="O392" s="730"/>
      <c r="P392" s="731"/>
      <c r="Q392" s="731"/>
      <c r="R392" s="734"/>
      <c r="S392" s="731"/>
      <c r="T392" s="731"/>
      <c r="U392" s="734"/>
      <c r="V392" s="731"/>
      <c r="W392" s="731"/>
      <c r="X392" s="734"/>
      <c r="Y392" s="731"/>
      <c r="Z392" s="731"/>
    </row>
    <row r="393">
      <c r="C393" s="734"/>
      <c r="D393" s="731"/>
      <c r="E393" s="731"/>
      <c r="F393" s="734"/>
      <c r="G393" s="731"/>
      <c r="H393" s="731"/>
      <c r="I393" s="734"/>
      <c r="J393" s="731"/>
      <c r="K393" s="731"/>
      <c r="L393" s="734"/>
      <c r="M393" s="731"/>
      <c r="N393" s="731"/>
      <c r="O393" s="730"/>
      <c r="P393" s="731"/>
      <c r="Q393" s="731"/>
      <c r="R393" s="734"/>
      <c r="S393" s="731"/>
      <c r="T393" s="731"/>
      <c r="U393" s="734"/>
      <c r="V393" s="731"/>
      <c r="W393" s="731"/>
      <c r="X393" s="734"/>
      <c r="Y393" s="731"/>
      <c r="Z393" s="731"/>
    </row>
    <row r="394">
      <c r="C394" s="734"/>
      <c r="D394" s="731"/>
      <c r="E394" s="731"/>
      <c r="F394" s="734"/>
      <c r="G394" s="731"/>
      <c r="H394" s="731"/>
      <c r="I394" s="734"/>
      <c r="J394" s="731"/>
      <c r="K394" s="731"/>
      <c r="L394" s="734"/>
      <c r="M394" s="731"/>
      <c r="N394" s="731"/>
      <c r="O394" s="730"/>
      <c r="P394" s="731"/>
      <c r="Q394" s="731"/>
      <c r="R394" s="734"/>
      <c r="S394" s="731"/>
      <c r="T394" s="731"/>
      <c r="U394" s="734"/>
      <c r="V394" s="731"/>
      <c r="W394" s="731"/>
      <c r="X394" s="734"/>
      <c r="Y394" s="731"/>
      <c r="Z394" s="731"/>
    </row>
    <row r="395">
      <c r="C395" s="734"/>
      <c r="D395" s="731"/>
      <c r="E395" s="731"/>
      <c r="F395" s="734"/>
      <c r="G395" s="731"/>
      <c r="H395" s="731"/>
      <c r="I395" s="734"/>
      <c r="J395" s="731"/>
      <c r="K395" s="731"/>
      <c r="L395" s="734"/>
      <c r="M395" s="731"/>
      <c r="N395" s="731"/>
      <c r="O395" s="730"/>
      <c r="P395" s="731"/>
      <c r="Q395" s="731"/>
      <c r="R395" s="734"/>
      <c r="S395" s="731"/>
      <c r="T395" s="731"/>
      <c r="U395" s="734"/>
      <c r="V395" s="731"/>
      <c r="W395" s="731"/>
      <c r="X395" s="734"/>
      <c r="Y395" s="731"/>
      <c r="Z395" s="731"/>
    </row>
    <row r="396">
      <c r="C396" s="734"/>
      <c r="D396" s="731"/>
      <c r="E396" s="731"/>
      <c r="F396" s="734"/>
      <c r="G396" s="731"/>
      <c r="H396" s="731"/>
      <c r="I396" s="734"/>
      <c r="J396" s="731"/>
      <c r="K396" s="731"/>
      <c r="L396" s="734"/>
      <c r="M396" s="731"/>
      <c r="N396" s="731"/>
      <c r="O396" s="730"/>
      <c r="P396" s="731"/>
      <c r="Q396" s="731"/>
      <c r="R396" s="734"/>
      <c r="S396" s="731"/>
      <c r="T396" s="731"/>
      <c r="U396" s="734"/>
      <c r="V396" s="731"/>
      <c r="W396" s="731"/>
      <c r="X396" s="734"/>
      <c r="Y396" s="731"/>
      <c r="Z396" s="731"/>
    </row>
    <row r="397">
      <c r="C397" s="734"/>
      <c r="D397" s="731"/>
      <c r="E397" s="731"/>
      <c r="F397" s="734"/>
      <c r="G397" s="731"/>
      <c r="H397" s="731"/>
      <c r="I397" s="734"/>
      <c r="J397" s="731"/>
      <c r="K397" s="731"/>
      <c r="L397" s="734"/>
      <c r="M397" s="731"/>
      <c r="N397" s="731"/>
      <c r="O397" s="730"/>
      <c r="P397" s="731"/>
      <c r="Q397" s="731"/>
      <c r="R397" s="734"/>
      <c r="S397" s="731"/>
      <c r="T397" s="731"/>
      <c r="U397" s="734"/>
      <c r="V397" s="731"/>
      <c r="W397" s="731"/>
      <c r="X397" s="734"/>
      <c r="Y397" s="731"/>
      <c r="Z397" s="731"/>
    </row>
    <row r="398">
      <c r="C398" s="734"/>
      <c r="D398" s="731"/>
      <c r="E398" s="731"/>
      <c r="F398" s="734"/>
      <c r="G398" s="731"/>
      <c r="H398" s="731"/>
      <c r="I398" s="734"/>
      <c r="J398" s="731"/>
      <c r="K398" s="731"/>
      <c r="L398" s="734"/>
      <c r="M398" s="731"/>
      <c r="N398" s="731"/>
      <c r="O398" s="730"/>
      <c r="P398" s="731"/>
      <c r="Q398" s="731"/>
      <c r="R398" s="734"/>
      <c r="S398" s="731"/>
      <c r="T398" s="731"/>
      <c r="U398" s="734"/>
      <c r="V398" s="731"/>
      <c r="W398" s="731"/>
      <c r="X398" s="734"/>
      <c r="Y398" s="731"/>
      <c r="Z398" s="731"/>
    </row>
    <row r="399">
      <c r="C399" s="734"/>
      <c r="D399" s="731"/>
      <c r="E399" s="731"/>
      <c r="F399" s="734"/>
      <c r="G399" s="731"/>
      <c r="H399" s="731"/>
      <c r="I399" s="734"/>
      <c r="J399" s="731"/>
      <c r="K399" s="731"/>
      <c r="L399" s="734"/>
      <c r="M399" s="731"/>
      <c r="N399" s="731"/>
      <c r="O399" s="730"/>
      <c r="P399" s="731"/>
      <c r="Q399" s="731"/>
      <c r="R399" s="734"/>
      <c r="S399" s="731"/>
      <c r="T399" s="731"/>
      <c r="U399" s="734"/>
      <c r="V399" s="731"/>
      <c r="W399" s="731"/>
      <c r="X399" s="734"/>
      <c r="Y399" s="731"/>
      <c r="Z399" s="731"/>
    </row>
    <row r="400">
      <c r="C400" s="734"/>
      <c r="D400" s="731"/>
      <c r="E400" s="731"/>
      <c r="F400" s="734"/>
      <c r="G400" s="731"/>
      <c r="H400" s="731"/>
      <c r="I400" s="734"/>
      <c r="J400" s="731"/>
      <c r="K400" s="731"/>
      <c r="L400" s="734"/>
      <c r="M400" s="731"/>
      <c r="N400" s="731"/>
      <c r="O400" s="730"/>
      <c r="P400" s="731"/>
      <c r="Q400" s="731"/>
      <c r="R400" s="734"/>
      <c r="S400" s="731"/>
      <c r="T400" s="731"/>
      <c r="U400" s="734"/>
      <c r="V400" s="731"/>
      <c r="W400" s="731"/>
      <c r="X400" s="734"/>
      <c r="Y400" s="731"/>
      <c r="Z400" s="731"/>
    </row>
    <row r="401">
      <c r="C401" s="734"/>
      <c r="D401" s="731"/>
      <c r="E401" s="731"/>
      <c r="F401" s="734"/>
      <c r="G401" s="731"/>
      <c r="H401" s="731"/>
      <c r="I401" s="734"/>
      <c r="J401" s="731"/>
      <c r="K401" s="731"/>
      <c r="L401" s="734"/>
      <c r="M401" s="731"/>
      <c r="N401" s="731"/>
      <c r="O401" s="730"/>
      <c r="P401" s="731"/>
      <c r="Q401" s="731"/>
      <c r="R401" s="734"/>
      <c r="S401" s="731"/>
      <c r="T401" s="731"/>
      <c r="U401" s="734"/>
      <c r="V401" s="731"/>
      <c r="W401" s="731"/>
      <c r="X401" s="734"/>
      <c r="Y401" s="731"/>
      <c r="Z401" s="731"/>
    </row>
    <row r="402">
      <c r="C402" s="734"/>
      <c r="D402" s="731"/>
      <c r="E402" s="731"/>
      <c r="F402" s="734"/>
      <c r="G402" s="731"/>
      <c r="H402" s="731"/>
      <c r="I402" s="734"/>
      <c r="J402" s="731"/>
      <c r="K402" s="731"/>
      <c r="L402" s="734"/>
      <c r="M402" s="731"/>
      <c r="N402" s="731"/>
      <c r="O402" s="730"/>
      <c r="P402" s="731"/>
      <c r="Q402" s="731"/>
      <c r="R402" s="734"/>
      <c r="S402" s="731"/>
      <c r="T402" s="731"/>
      <c r="U402" s="734"/>
      <c r="V402" s="731"/>
      <c r="W402" s="731"/>
      <c r="X402" s="734"/>
      <c r="Y402" s="731"/>
      <c r="Z402" s="731"/>
    </row>
    <row r="403">
      <c r="C403" s="734"/>
      <c r="D403" s="731"/>
      <c r="E403" s="731"/>
      <c r="F403" s="734"/>
      <c r="G403" s="731"/>
      <c r="H403" s="731"/>
      <c r="I403" s="734"/>
      <c r="J403" s="731"/>
      <c r="K403" s="731"/>
      <c r="L403" s="734"/>
      <c r="M403" s="731"/>
      <c r="N403" s="731"/>
      <c r="O403" s="730"/>
      <c r="P403" s="731"/>
      <c r="Q403" s="731"/>
      <c r="R403" s="734"/>
      <c r="S403" s="731"/>
      <c r="T403" s="731"/>
      <c r="U403" s="734"/>
      <c r="V403" s="731"/>
      <c r="W403" s="731"/>
      <c r="X403" s="734"/>
      <c r="Y403" s="731"/>
      <c r="Z403" s="731"/>
    </row>
    <row r="404">
      <c r="C404" s="734"/>
      <c r="D404" s="731"/>
      <c r="E404" s="731"/>
      <c r="F404" s="734"/>
      <c r="G404" s="731"/>
      <c r="H404" s="731"/>
      <c r="I404" s="734"/>
      <c r="J404" s="731"/>
      <c r="K404" s="731"/>
      <c r="L404" s="734"/>
      <c r="M404" s="731"/>
      <c r="N404" s="731"/>
      <c r="O404" s="730"/>
      <c r="P404" s="731"/>
      <c r="Q404" s="731"/>
      <c r="R404" s="734"/>
      <c r="S404" s="731"/>
      <c r="T404" s="731"/>
      <c r="U404" s="734"/>
      <c r="V404" s="731"/>
      <c r="W404" s="731"/>
      <c r="X404" s="734"/>
      <c r="Y404" s="731"/>
      <c r="Z404" s="731"/>
    </row>
    <row r="405">
      <c r="C405" s="734"/>
      <c r="D405" s="731"/>
      <c r="E405" s="731"/>
      <c r="F405" s="734"/>
      <c r="G405" s="731"/>
      <c r="H405" s="731"/>
      <c r="I405" s="734"/>
      <c r="J405" s="731"/>
      <c r="K405" s="731"/>
      <c r="L405" s="734"/>
      <c r="M405" s="731"/>
      <c r="N405" s="731"/>
      <c r="O405" s="730"/>
      <c r="P405" s="731"/>
      <c r="Q405" s="731"/>
      <c r="R405" s="734"/>
      <c r="S405" s="731"/>
      <c r="T405" s="731"/>
      <c r="U405" s="734"/>
      <c r="V405" s="731"/>
      <c r="W405" s="731"/>
      <c r="X405" s="734"/>
      <c r="Y405" s="731"/>
      <c r="Z405" s="731"/>
    </row>
    <row r="406">
      <c r="C406" s="734"/>
      <c r="D406" s="731"/>
      <c r="E406" s="731"/>
      <c r="F406" s="734"/>
      <c r="G406" s="731"/>
      <c r="H406" s="731"/>
      <c r="I406" s="734"/>
      <c r="J406" s="731"/>
      <c r="K406" s="731"/>
      <c r="L406" s="734"/>
      <c r="M406" s="731"/>
      <c r="N406" s="731"/>
      <c r="O406" s="730"/>
      <c r="P406" s="731"/>
      <c r="Q406" s="731"/>
      <c r="R406" s="734"/>
      <c r="S406" s="731"/>
      <c r="T406" s="731"/>
      <c r="U406" s="734"/>
      <c r="V406" s="731"/>
      <c r="W406" s="731"/>
      <c r="X406" s="734"/>
      <c r="Y406" s="731"/>
      <c r="Z406" s="731"/>
    </row>
    <row r="407">
      <c r="C407" s="734"/>
      <c r="D407" s="731"/>
      <c r="E407" s="731"/>
      <c r="F407" s="734"/>
      <c r="G407" s="731"/>
      <c r="H407" s="731"/>
      <c r="I407" s="734"/>
      <c r="J407" s="731"/>
      <c r="K407" s="731"/>
      <c r="L407" s="734"/>
      <c r="M407" s="731"/>
      <c r="N407" s="731"/>
      <c r="O407" s="730"/>
      <c r="P407" s="731"/>
      <c r="Q407" s="731"/>
      <c r="R407" s="734"/>
      <c r="S407" s="731"/>
      <c r="T407" s="731"/>
      <c r="U407" s="734"/>
      <c r="V407" s="731"/>
      <c r="W407" s="731"/>
      <c r="X407" s="734"/>
      <c r="Y407" s="731"/>
      <c r="Z407" s="731"/>
    </row>
    <row r="408">
      <c r="C408" s="734"/>
      <c r="D408" s="731"/>
      <c r="E408" s="731"/>
      <c r="F408" s="734"/>
      <c r="G408" s="731"/>
      <c r="H408" s="731"/>
      <c r="I408" s="734"/>
      <c r="J408" s="731"/>
      <c r="K408" s="731"/>
      <c r="L408" s="734"/>
      <c r="M408" s="731"/>
      <c r="N408" s="731"/>
      <c r="O408" s="730"/>
      <c r="P408" s="731"/>
      <c r="Q408" s="731"/>
      <c r="R408" s="734"/>
      <c r="S408" s="731"/>
      <c r="T408" s="731"/>
      <c r="U408" s="734"/>
      <c r="V408" s="731"/>
      <c r="W408" s="731"/>
      <c r="X408" s="734"/>
      <c r="Y408" s="731"/>
      <c r="Z408" s="731"/>
    </row>
    <row r="409">
      <c r="C409" s="734"/>
      <c r="D409" s="731"/>
      <c r="E409" s="731"/>
      <c r="F409" s="734"/>
      <c r="G409" s="731"/>
      <c r="H409" s="731"/>
      <c r="I409" s="734"/>
      <c r="J409" s="731"/>
      <c r="K409" s="731"/>
      <c r="L409" s="734"/>
      <c r="M409" s="731"/>
      <c r="N409" s="731"/>
      <c r="O409" s="730"/>
      <c r="P409" s="731"/>
      <c r="Q409" s="731"/>
      <c r="R409" s="734"/>
      <c r="S409" s="731"/>
      <c r="T409" s="731"/>
      <c r="U409" s="734"/>
      <c r="V409" s="731"/>
      <c r="W409" s="731"/>
      <c r="X409" s="734"/>
      <c r="Y409" s="731"/>
      <c r="Z409" s="731"/>
    </row>
    <row r="410">
      <c r="C410" s="734"/>
      <c r="D410" s="731"/>
      <c r="E410" s="731"/>
      <c r="F410" s="734"/>
      <c r="G410" s="731"/>
      <c r="H410" s="731"/>
      <c r="I410" s="734"/>
      <c r="J410" s="731"/>
      <c r="K410" s="731"/>
      <c r="L410" s="734"/>
      <c r="M410" s="731"/>
      <c r="N410" s="731"/>
      <c r="O410" s="730"/>
      <c r="P410" s="731"/>
      <c r="Q410" s="731"/>
      <c r="R410" s="734"/>
      <c r="S410" s="731"/>
      <c r="T410" s="731"/>
      <c r="U410" s="734"/>
      <c r="V410" s="731"/>
      <c r="W410" s="731"/>
      <c r="X410" s="734"/>
      <c r="Y410" s="731"/>
      <c r="Z410" s="731"/>
    </row>
    <row r="411">
      <c r="C411" s="734"/>
      <c r="D411" s="731"/>
      <c r="E411" s="731"/>
      <c r="F411" s="734"/>
      <c r="G411" s="731"/>
      <c r="H411" s="731"/>
      <c r="I411" s="734"/>
      <c r="J411" s="731"/>
      <c r="K411" s="731"/>
      <c r="L411" s="734"/>
      <c r="M411" s="731"/>
      <c r="N411" s="731"/>
      <c r="O411" s="730"/>
      <c r="P411" s="731"/>
      <c r="Q411" s="731"/>
      <c r="R411" s="734"/>
      <c r="S411" s="731"/>
      <c r="T411" s="731"/>
      <c r="U411" s="734"/>
      <c r="V411" s="731"/>
      <c r="W411" s="731"/>
      <c r="X411" s="734"/>
      <c r="Y411" s="731"/>
      <c r="Z411" s="731"/>
    </row>
    <row r="412">
      <c r="C412" s="734"/>
      <c r="D412" s="731"/>
      <c r="E412" s="731"/>
      <c r="F412" s="734"/>
      <c r="G412" s="731"/>
      <c r="H412" s="731"/>
      <c r="I412" s="734"/>
      <c r="J412" s="731"/>
      <c r="K412" s="731"/>
      <c r="L412" s="734"/>
      <c r="M412" s="731"/>
      <c r="N412" s="731"/>
      <c r="O412" s="730"/>
      <c r="P412" s="731"/>
      <c r="Q412" s="731"/>
      <c r="R412" s="734"/>
      <c r="S412" s="731"/>
      <c r="T412" s="731"/>
      <c r="U412" s="734"/>
      <c r="V412" s="731"/>
      <c r="W412" s="731"/>
      <c r="X412" s="734"/>
      <c r="Y412" s="731"/>
      <c r="Z412" s="731"/>
    </row>
    <row r="413">
      <c r="C413" s="734"/>
      <c r="D413" s="731"/>
      <c r="E413" s="731"/>
      <c r="F413" s="734"/>
      <c r="G413" s="731"/>
      <c r="H413" s="731"/>
      <c r="I413" s="734"/>
      <c r="J413" s="731"/>
      <c r="K413" s="731"/>
      <c r="L413" s="734"/>
      <c r="M413" s="731"/>
      <c r="N413" s="731"/>
      <c r="O413" s="730"/>
      <c r="P413" s="731"/>
      <c r="Q413" s="731"/>
      <c r="R413" s="734"/>
      <c r="S413" s="731"/>
      <c r="T413" s="731"/>
      <c r="U413" s="734"/>
      <c r="V413" s="731"/>
      <c r="W413" s="731"/>
      <c r="X413" s="734"/>
      <c r="Y413" s="731"/>
      <c r="Z413" s="731"/>
    </row>
    <row r="414">
      <c r="C414" s="734"/>
      <c r="D414" s="731"/>
      <c r="E414" s="731"/>
      <c r="F414" s="734"/>
      <c r="G414" s="731"/>
      <c r="H414" s="731"/>
      <c r="I414" s="734"/>
      <c r="J414" s="731"/>
      <c r="K414" s="731"/>
      <c r="L414" s="734"/>
      <c r="M414" s="731"/>
      <c r="N414" s="731"/>
      <c r="O414" s="730"/>
      <c r="P414" s="731"/>
      <c r="Q414" s="731"/>
      <c r="R414" s="734"/>
      <c r="S414" s="731"/>
      <c r="T414" s="731"/>
      <c r="U414" s="734"/>
      <c r="V414" s="731"/>
      <c r="W414" s="731"/>
      <c r="X414" s="734"/>
      <c r="Y414" s="731"/>
      <c r="Z414" s="731"/>
    </row>
    <row r="415">
      <c r="C415" s="734"/>
      <c r="D415" s="731"/>
      <c r="E415" s="731"/>
      <c r="F415" s="734"/>
      <c r="G415" s="731"/>
      <c r="H415" s="731"/>
      <c r="I415" s="734"/>
      <c r="J415" s="731"/>
      <c r="K415" s="731"/>
      <c r="L415" s="734"/>
      <c r="M415" s="731"/>
      <c r="N415" s="731"/>
      <c r="O415" s="730"/>
      <c r="P415" s="731"/>
      <c r="Q415" s="731"/>
      <c r="R415" s="734"/>
      <c r="S415" s="731"/>
      <c r="T415" s="731"/>
      <c r="U415" s="734"/>
      <c r="V415" s="731"/>
      <c r="W415" s="731"/>
      <c r="X415" s="734"/>
      <c r="Y415" s="731"/>
      <c r="Z415" s="731"/>
    </row>
    <row r="416">
      <c r="C416" s="734"/>
      <c r="D416" s="731"/>
      <c r="E416" s="731"/>
      <c r="F416" s="734"/>
      <c r="G416" s="731"/>
      <c r="H416" s="731"/>
      <c r="I416" s="734"/>
      <c r="J416" s="731"/>
      <c r="K416" s="731"/>
      <c r="L416" s="734"/>
      <c r="M416" s="731"/>
      <c r="N416" s="731"/>
      <c r="O416" s="730"/>
      <c r="P416" s="731"/>
      <c r="Q416" s="731"/>
      <c r="R416" s="734"/>
      <c r="S416" s="731"/>
      <c r="T416" s="731"/>
      <c r="U416" s="734"/>
      <c r="V416" s="731"/>
      <c r="W416" s="731"/>
      <c r="X416" s="734"/>
      <c r="Y416" s="731"/>
      <c r="Z416" s="731"/>
    </row>
    <row r="417">
      <c r="C417" s="734"/>
      <c r="D417" s="731"/>
      <c r="E417" s="731"/>
      <c r="F417" s="734"/>
      <c r="G417" s="731"/>
      <c r="H417" s="731"/>
      <c r="I417" s="734"/>
      <c r="J417" s="731"/>
      <c r="K417" s="731"/>
      <c r="L417" s="734"/>
      <c r="M417" s="731"/>
      <c r="N417" s="731"/>
      <c r="O417" s="730"/>
      <c r="P417" s="731"/>
      <c r="Q417" s="731"/>
      <c r="R417" s="734"/>
      <c r="S417" s="731"/>
      <c r="T417" s="731"/>
      <c r="U417" s="734"/>
      <c r="V417" s="731"/>
      <c r="W417" s="731"/>
      <c r="X417" s="734"/>
      <c r="Y417" s="731"/>
      <c r="Z417" s="731"/>
    </row>
    <row r="418">
      <c r="C418" s="734"/>
      <c r="D418" s="731"/>
      <c r="E418" s="731"/>
      <c r="F418" s="734"/>
      <c r="G418" s="731"/>
      <c r="H418" s="731"/>
      <c r="I418" s="734"/>
      <c r="J418" s="731"/>
      <c r="K418" s="731"/>
      <c r="L418" s="734"/>
      <c r="M418" s="731"/>
      <c r="N418" s="731"/>
      <c r="O418" s="730"/>
      <c r="P418" s="731"/>
      <c r="Q418" s="731"/>
      <c r="R418" s="734"/>
      <c r="S418" s="731"/>
      <c r="T418" s="731"/>
      <c r="U418" s="734"/>
      <c r="V418" s="731"/>
      <c r="W418" s="731"/>
      <c r="X418" s="734"/>
      <c r="Y418" s="731"/>
      <c r="Z418" s="731"/>
    </row>
    <row r="419">
      <c r="C419" s="734"/>
      <c r="D419" s="731"/>
      <c r="E419" s="731"/>
      <c r="F419" s="734"/>
      <c r="G419" s="731"/>
      <c r="H419" s="731"/>
      <c r="I419" s="734"/>
      <c r="J419" s="731"/>
      <c r="K419" s="731"/>
      <c r="L419" s="734"/>
      <c r="M419" s="731"/>
      <c r="N419" s="731"/>
      <c r="O419" s="730"/>
      <c r="P419" s="731"/>
      <c r="Q419" s="731"/>
      <c r="R419" s="734"/>
      <c r="S419" s="731"/>
      <c r="T419" s="731"/>
      <c r="U419" s="734"/>
      <c r="V419" s="731"/>
      <c r="W419" s="731"/>
      <c r="X419" s="734"/>
      <c r="Y419" s="731"/>
      <c r="Z419" s="731"/>
    </row>
    <row r="420">
      <c r="C420" s="734"/>
      <c r="D420" s="731"/>
      <c r="E420" s="731"/>
      <c r="F420" s="734"/>
      <c r="G420" s="731"/>
      <c r="H420" s="731"/>
      <c r="I420" s="734"/>
      <c r="J420" s="731"/>
      <c r="K420" s="731"/>
      <c r="L420" s="734"/>
      <c r="M420" s="731"/>
      <c r="N420" s="731"/>
      <c r="O420" s="730"/>
      <c r="P420" s="731"/>
      <c r="Q420" s="731"/>
      <c r="R420" s="734"/>
      <c r="S420" s="731"/>
      <c r="T420" s="731"/>
      <c r="U420" s="734"/>
      <c r="V420" s="731"/>
      <c r="W420" s="731"/>
      <c r="X420" s="734"/>
      <c r="Y420" s="731"/>
      <c r="Z420" s="731"/>
    </row>
    <row r="421">
      <c r="C421" s="734"/>
      <c r="D421" s="731"/>
      <c r="E421" s="731"/>
      <c r="F421" s="734"/>
      <c r="G421" s="731"/>
      <c r="H421" s="731"/>
      <c r="I421" s="734"/>
      <c r="J421" s="731"/>
      <c r="K421" s="731"/>
      <c r="L421" s="734"/>
      <c r="M421" s="731"/>
      <c r="N421" s="731"/>
      <c r="O421" s="730"/>
      <c r="P421" s="731"/>
      <c r="Q421" s="731"/>
      <c r="R421" s="734"/>
      <c r="S421" s="731"/>
      <c r="T421" s="731"/>
      <c r="U421" s="734"/>
      <c r="V421" s="731"/>
      <c r="W421" s="731"/>
      <c r="X421" s="734"/>
      <c r="Y421" s="731"/>
      <c r="Z421" s="731"/>
    </row>
    <row r="422">
      <c r="C422" s="734"/>
      <c r="D422" s="731"/>
      <c r="E422" s="731"/>
      <c r="F422" s="734"/>
      <c r="G422" s="731"/>
      <c r="H422" s="731"/>
      <c r="I422" s="734"/>
      <c r="J422" s="731"/>
      <c r="K422" s="731"/>
      <c r="L422" s="734"/>
      <c r="M422" s="731"/>
      <c r="N422" s="731"/>
      <c r="O422" s="730"/>
      <c r="P422" s="731"/>
      <c r="Q422" s="731"/>
      <c r="R422" s="734"/>
      <c r="S422" s="731"/>
      <c r="T422" s="731"/>
      <c r="U422" s="734"/>
      <c r="V422" s="731"/>
      <c r="W422" s="731"/>
      <c r="X422" s="734"/>
      <c r="Y422" s="731"/>
      <c r="Z422" s="731"/>
    </row>
    <row r="423">
      <c r="C423" s="734"/>
      <c r="D423" s="731"/>
      <c r="E423" s="731"/>
      <c r="F423" s="734"/>
      <c r="G423" s="731"/>
      <c r="H423" s="731"/>
      <c r="I423" s="734"/>
      <c r="J423" s="731"/>
      <c r="K423" s="731"/>
      <c r="L423" s="734"/>
      <c r="M423" s="731"/>
      <c r="N423" s="731"/>
      <c r="O423" s="730"/>
      <c r="P423" s="731"/>
      <c r="Q423" s="731"/>
      <c r="R423" s="734"/>
      <c r="S423" s="731"/>
      <c r="T423" s="731"/>
      <c r="U423" s="734"/>
      <c r="V423" s="731"/>
      <c r="W423" s="731"/>
      <c r="X423" s="734"/>
      <c r="Y423" s="731"/>
      <c r="Z423" s="731"/>
    </row>
    <row r="424">
      <c r="C424" s="734"/>
      <c r="D424" s="731"/>
      <c r="E424" s="731"/>
      <c r="F424" s="734"/>
      <c r="G424" s="731"/>
      <c r="H424" s="731"/>
      <c r="I424" s="734"/>
      <c r="J424" s="731"/>
      <c r="K424" s="731"/>
      <c r="L424" s="734"/>
      <c r="M424" s="731"/>
      <c r="N424" s="731"/>
      <c r="O424" s="730"/>
      <c r="P424" s="731"/>
      <c r="Q424" s="731"/>
      <c r="R424" s="734"/>
      <c r="S424" s="731"/>
      <c r="T424" s="731"/>
      <c r="U424" s="734"/>
      <c r="V424" s="731"/>
      <c r="W424" s="731"/>
      <c r="X424" s="734"/>
      <c r="Y424" s="731"/>
      <c r="Z424" s="731"/>
    </row>
    <row r="425">
      <c r="C425" s="734"/>
      <c r="D425" s="731"/>
      <c r="E425" s="731"/>
      <c r="F425" s="734"/>
      <c r="G425" s="731"/>
      <c r="H425" s="731"/>
      <c r="I425" s="734"/>
      <c r="J425" s="731"/>
      <c r="K425" s="731"/>
      <c r="L425" s="734"/>
      <c r="M425" s="731"/>
      <c r="N425" s="731"/>
      <c r="O425" s="730"/>
      <c r="P425" s="731"/>
      <c r="Q425" s="731"/>
      <c r="R425" s="734"/>
      <c r="S425" s="731"/>
      <c r="T425" s="731"/>
      <c r="U425" s="734"/>
      <c r="V425" s="731"/>
      <c r="W425" s="731"/>
      <c r="X425" s="734"/>
      <c r="Y425" s="731"/>
      <c r="Z425" s="731"/>
    </row>
    <row r="426">
      <c r="C426" s="734"/>
      <c r="D426" s="731"/>
      <c r="E426" s="731"/>
      <c r="F426" s="734"/>
      <c r="G426" s="731"/>
      <c r="H426" s="731"/>
      <c r="I426" s="734"/>
      <c r="J426" s="731"/>
      <c r="K426" s="731"/>
      <c r="L426" s="734"/>
      <c r="M426" s="731"/>
      <c r="N426" s="731"/>
      <c r="O426" s="730"/>
      <c r="P426" s="731"/>
      <c r="Q426" s="731"/>
      <c r="R426" s="734"/>
      <c r="S426" s="731"/>
      <c r="T426" s="731"/>
      <c r="U426" s="734"/>
      <c r="V426" s="731"/>
      <c r="W426" s="731"/>
      <c r="X426" s="734"/>
      <c r="Y426" s="731"/>
      <c r="Z426" s="731"/>
    </row>
    <row r="427">
      <c r="C427" s="734"/>
      <c r="D427" s="731"/>
      <c r="E427" s="731"/>
      <c r="F427" s="734"/>
      <c r="G427" s="731"/>
      <c r="H427" s="731"/>
      <c r="I427" s="734"/>
      <c r="J427" s="731"/>
      <c r="K427" s="731"/>
      <c r="L427" s="734"/>
      <c r="M427" s="731"/>
      <c r="N427" s="731"/>
      <c r="O427" s="730"/>
      <c r="P427" s="731"/>
      <c r="Q427" s="731"/>
      <c r="R427" s="734"/>
      <c r="S427" s="731"/>
      <c r="T427" s="731"/>
      <c r="U427" s="734"/>
      <c r="V427" s="731"/>
      <c r="W427" s="731"/>
      <c r="X427" s="734"/>
      <c r="Y427" s="731"/>
      <c r="Z427" s="731"/>
    </row>
    <row r="428">
      <c r="C428" s="734"/>
      <c r="D428" s="731"/>
      <c r="E428" s="731"/>
      <c r="F428" s="734"/>
      <c r="G428" s="731"/>
      <c r="H428" s="731"/>
      <c r="I428" s="734"/>
      <c r="J428" s="731"/>
      <c r="K428" s="731"/>
      <c r="L428" s="734"/>
      <c r="M428" s="731"/>
      <c r="N428" s="731"/>
      <c r="O428" s="730"/>
      <c r="P428" s="731"/>
      <c r="Q428" s="731"/>
      <c r="R428" s="734"/>
      <c r="S428" s="731"/>
      <c r="T428" s="731"/>
      <c r="U428" s="734"/>
      <c r="V428" s="731"/>
      <c r="W428" s="731"/>
      <c r="X428" s="734"/>
      <c r="Y428" s="731"/>
      <c r="Z428" s="731"/>
    </row>
    <row r="429">
      <c r="C429" s="734"/>
      <c r="D429" s="731"/>
      <c r="E429" s="731"/>
      <c r="F429" s="734"/>
      <c r="G429" s="731"/>
      <c r="H429" s="731"/>
      <c r="I429" s="734"/>
      <c r="J429" s="731"/>
      <c r="K429" s="731"/>
      <c r="L429" s="734"/>
      <c r="M429" s="731"/>
      <c r="N429" s="731"/>
      <c r="O429" s="730"/>
      <c r="P429" s="731"/>
      <c r="Q429" s="731"/>
      <c r="R429" s="734"/>
      <c r="S429" s="731"/>
      <c r="T429" s="731"/>
      <c r="U429" s="734"/>
      <c r="V429" s="731"/>
      <c r="W429" s="731"/>
      <c r="X429" s="734"/>
      <c r="Y429" s="731"/>
      <c r="Z429" s="731"/>
    </row>
    <row r="430">
      <c r="C430" s="734"/>
      <c r="D430" s="731"/>
      <c r="E430" s="731"/>
      <c r="F430" s="734"/>
      <c r="G430" s="731"/>
      <c r="H430" s="731"/>
      <c r="I430" s="734"/>
      <c r="J430" s="731"/>
      <c r="K430" s="731"/>
      <c r="L430" s="734"/>
      <c r="M430" s="731"/>
      <c r="N430" s="731"/>
      <c r="O430" s="730"/>
      <c r="P430" s="731"/>
      <c r="Q430" s="731"/>
      <c r="R430" s="734"/>
      <c r="S430" s="731"/>
      <c r="T430" s="731"/>
      <c r="U430" s="734"/>
      <c r="V430" s="731"/>
      <c r="W430" s="731"/>
      <c r="X430" s="734"/>
      <c r="Y430" s="731"/>
      <c r="Z430" s="731"/>
    </row>
    <row r="431">
      <c r="C431" s="734"/>
      <c r="D431" s="731"/>
      <c r="E431" s="731"/>
      <c r="F431" s="734"/>
      <c r="G431" s="731"/>
      <c r="H431" s="731"/>
      <c r="I431" s="734"/>
      <c r="J431" s="731"/>
      <c r="K431" s="731"/>
      <c r="L431" s="734"/>
      <c r="M431" s="731"/>
      <c r="N431" s="731"/>
      <c r="O431" s="730"/>
      <c r="P431" s="731"/>
      <c r="Q431" s="731"/>
      <c r="R431" s="734"/>
      <c r="S431" s="731"/>
      <c r="T431" s="731"/>
      <c r="U431" s="734"/>
      <c r="V431" s="731"/>
      <c r="W431" s="731"/>
      <c r="X431" s="734"/>
      <c r="Y431" s="731"/>
      <c r="Z431" s="731"/>
    </row>
    <row r="432">
      <c r="C432" s="734"/>
      <c r="D432" s="731"/>
      <c r="E432" s="731"/>
      <c r="F432" s="734"/>
      <c r="G432" s="731"/>
      <c r="H432" s="731"/>
      <c r="I432" s="734"/>
      <c r="J432" s="731"/>
      <c r="K432" s="731"/>
      <c r="L432" s="734"/>
      <c r="M432" s="731"/>
      <c r="N432" s="731"/>
      <c r="O432" s="730"/>
      <c r="P432" s="731"/>
      <c r="Q432" s="731"/>
      <c r="R432" s="734"/>
      <c r="S432" s="731"/>
      <c r="T432" s="731"/>
      <c r="U432" s="734"/>
      <c r="V432" s="731"/>
      <c r="W432" s="731"/>
      <c r="X432" s="734"/>
      <c r="Y432" s="731"/>
      <c r="Z432" s="731"/>
    </row>
    <row r="433">
      <c r="C433" s="734"/>
      <c r="D433" s="731"/>
      <c r="E433" s="731"/>
      <c r="F433" s="734"/>
      <c r="G433" s="731"/>
      <c r="H433" s="731"/>
      <c r="I433" s="734"/>
      <c r="J433" s="731"/>
      <c r="K433" s="731"/>
      <c r="L433" s="734"/>
      <c r="M433" s="731"/>
      <c r="N433" s="731"/>
      <c r="O433" s="730"/>
      <c r="P433" s="731"/>
      <c r="Q433" s="731"/>
      <c r="R433" s="734"/>
      <c r="S433" s="731"/>
      <c r="T433" s="731"/>
      <c r="U433" s="734"/>
      <c r="V433" s="731"/>
      <c r="W433" s="731"/>
      <c r="X433" s="734"/>
      <c r="Y433" s="731"/>
      <c r="Z433" s="731"/>
    </row>
    <row r="434">
      <c r="C434" s="734"/>
      <c r="D434" s="731"/>
      <c r="E434" s="731"/>
      <c r="F434" s="734"/>
      <c r="G434" s="731"/>
      <c r="H434" s="731"/>
      <c r="I434" s="734"/>
      <c r="J434" s="731"/>
      <c r="K434" s="731"/>
      <c r="L434" s="734"/>
      <c r="M434" s="731"/>
      <c r="N434" s="731"/>
      <c r="O434" s="730"/>
      <c r="P434" s="731"/>
      <c r="Q434" s="731"/>
      <c r="R434" s="734"/>
      <c r="S434" s="731"/>
      <c r="T434" s="731"/>
      <c r="U434" s="734"/>
      <c r="V434" s="731"/>
      <c r="W434" s="731"/>
      <c r="X434" s="734"/>
      <c r="Y434" s="731"/>
      <c r="Z434" s="731"/>
    </row>
    <row r="435">
      <c r="C435" s="734"/>
      <c r="D435" s="731"/>
      <c r="E435" s="731"/>
      <c r="F435" s="734"/>
      <c r="G435" s="731"/>
      <c r="H435" s="731"/>
      <c r="I435" s="734"/>
      <c r="J435" s="731"/>
      <c r="K435" s="731"/>
      <c r="L435" s="734"/>
      <c r="M435" s="731"/>
      <c r="N435" s="731"/>
      <c r="O435" s="730"/>
      <c r="P435" s="731"/>
      <c r="Q435" s="731"/>
      <c r="R435" s="734"/>
      <c r="S435" s="731"/>
      <c r="T435" s="731"/>
      <c r="U435" s="734"/>
      <c r="V435" s="731"/>
      <c r="W435" s="731"/>
      <c r="X435" s="734"/>
      <c r="Y435" s="731"/>
      <c r="Z435" s="731"/>
    </row>
    <row r="436">
      <c r="C436" s="734"/>
      <c r="D436" s="731"/>
      <c r="E436" s="731"/>
      <c r="F436" s="734"/>
      <c r="G436" s="731"/>
      <c r="H436" s="731"/>
      <c r="I436" s="734"/>
      <c r="J436" s="731"/>
      <c r="K436" s="731"/>
      <c r="L436" s="734"/>
      <c r="M436" s="731"/>
      <c r="N436" s="731"/>
      <c r="O436" s="730"/>
      <c r="P436" s="731"/>
      <c r="Q436" s="731"/>
      <c r="R436" s="734"/>
      <c r="S436" s="731"/>
      <c r="T436" s="731"/>
      <c r="U436" s="734"/>
      <c r="V436" s="731"/>
      <c r="W436" s="731"/>
      <c r="X436" s="734"/>
      <c r="Y436" s="731"/>
      <c r="Z436" s="731"/>
    </row>
    <row r="437">
      <c r="C437" s="734"/>
      <c r="D437" s="731"/>
      <c r="E437" s="731"/>
      <c r="F437" s="734"/>
      <c r="G437" s="731"/>
      <c r="H437" s="731"/>
      <c r="I437" s="734"/>
      <c r="J437" s="731"/>
      <c r="K437" s="731"/>
      <c r="L437" s="734"/>
      <c r="M437" s="731"/>
      <c r="N437" s="731"/>
      <c r="O437" s="730"/>
      <c r="P437" s="731"/>
      <c r="Q437" s="731"/>
      <c r="R437" s="734"/>
      <c r="S437" s="731"/>
      <c r="T437" s="731"/>
      <c r="U437" s="734"/>
      <c r="V437" s="731"/>
      <c r="W437" s="731"/>
      <c r="X437" s="734"/>
      <c r="Y437" s="731"/>
      <c r="Z437" s="731"/>
    </row>
    <row r="438">
      <c r="C438" s="734"/>
      <c r="D438" s="731"/>
      <c r="E438" s="731"/>
      <c r="F438" s="734"/>
      <c r="G438" s="731"/>
      <c r="H438" s="731"/>
      <c r="I438" s="734"/>
      <c r="J438" s="731"/>
      <c r="K438" s="731"/>
      <c r="L438" s="734"/>
      <c r="M438" s="731"/>
      <c r="N438" s="731"/>
      <c r="O438" s="730"/>
      <c r="P438" s="731"/>
      <c r="Q438" s="731"/>
      <c r="R438" s="734"/>
      <c r="S438" s="731"/>
      <c r="T438" s="731"/>
      <c r="U438" s="734"/>
      <c r="V438" s="731"/>
      <c r="W438" s="731"/>
      <c r="X438" s="734"/>
      <c r="Y438" s="731"/>
      <c r="Z438" s="731"/>
    </row>
    <row r="439">
      <c r="C439" s="734"/>
      <c r="D439" s="731"/>
      <c r="E439" s="731"/>
      <c r="F439" s="734"/>
      <c r="G439" s="731"/>
      <c r="H439" s="731"/>
      <c r="I439" s="734"/>
      <c r="J439" s="731"/>
      <c r="K439" s="731"/>
      <c r="L439" s="734"/>
      <c r="M439" s="731"/>
      <c r="N439" s="731"/>
      <c r="O439" s="730"/>
      <c r="P439" s="731"/>
      <c r="Q439" s="731"/>
      <c r="R439" s="734"/>
      <c r="S439" s="731"/>
      <c r="T439" s="731"/>
      <c r="U439" s="734"/>
      <c r="V439" s="731"/>
      <c r="W439" s="731"/>
      <c r="X439" s="734"/>
      <c r="Y439" s="731"/>
      <c r="Z439" s="731"/>
    </row>
    <row r="440">
      <c r="C440" s="734"/>
      <c r="D440" s="731"/>
      <c r="E440" s="731"/>
      <c r="F440" s="734"/>
      <c r="G440" s="731"/>
      <c r="H440" s="731"/>
      <c r="I440" s="734"/>
      <c r="J440" s="731"/>
      <c r="K440" s="731"/>
      <c r="L440" s="734"/>
      <c r="M440" s="731"/>
      <c r="N440" s="731"/>
      <c r="O440" s="730"/>
      <c r="P440" s="731"/>
      <c r="Q440" s="731"/>
      <c r="R440" s="734"/>
      <c r="S440" s="731"/>
      <c r="T440" s="731"/>
      <c r="U440" s="734"/>
      <c r="V440" s="731"/>
      <c r="W440" s="731"/>
      <c r="X440" s="734"/>
      <c r="Y440" s="731"/>
      <c r="Z440" s="731"/>
    </row>
    <row r="441">
      <c r="C441" s="734"/>
      <c r="D441" s="731"/>
      <c r="E441" s="731"/>
      <c r="F441" s="734"/>
      <c r="G441" s="731"/>
      <c r="H441" s="731"/>
      <c r="I441" s="734"/>
      <c r="J441" s="731"/>
      <c r="K441" s="731"/>
      <c r="L441" s="734"/>
      <c r="M441" s="731"/>
      <c r="N441" s="731"/>
      <c r="O441" s="730"/>
      <c r="P441" s="731"/>
      <c r="Q441" s="731"/>
      <c r="R441" s="734"/>
      <c r="S441" s="731"/>
      <c r="T441" s="731"/>
      <c r="U441" s="734"/>
      <c r="V441" s="731"/>
      <c r="W441" s="731"/>
      <c r="X441" s="734"/>
      <c r="Y441" s="731"/>
      <c r="Z441" s="731"/>
    </row>
    <row r="442">
      <c r="C442" s="734"/>
      <c r="D442" s="731"/>
      <c r="E442" s="731"/>
      <c r="F442" s="734"/>
      <c r="G442" s="731"/>
      <c r="H442" s="731"/>
      <c r="I442" s="734"/>
      <c r="J442" s="731"/>
      <c r="K442" s="731"/>
      <c r="L442" s="734"/>
      <c r="M442" s="731"/>
      <c r="N442" s="731"/>
      <c r="O442" s="730"/>
      <c r="P442" s="731"/>
      <c r="Q442" s="731"/>
      <c r="R442" s="734"/>
      <c r="S442" s="731"/>
      <c r="T442" s="731"/>
      <c r="U442" s="734"/>
      <c r="V442" s="731"/>
      <c r="W442" s="731"/>
      <c r="X442" s="734"/>
      <c r="Y442" s="731"/>
      <c r="Z442" s="731"/>
    </row>
    <row r="443">
      <c r="C443" s="734"/>
      <c r="D443" s="731"/>
      <c r="E443" s="731"/>
      <c r="F443" s="734"/>
      <c r="G443" s="731"/>
      <c r="H443" s="731"/>
      <c r="I443" s="734"/>
      <c r="J443" s="731"/>
      <c r="K443" s="731"/>
      <c r="L443" s="734"/>
      <c r="M443" s="731"/>
      <c r="N443" s="731"/>
      <c r="O443" s="730"/>
      <c r="P443" s="731"/>
      <c r="Q443" s="731"/>
      <c r="R443" s="734"/>
      <c r="S443" s="731"/>
      <c r="T443" s="731"/>
      <c r="U443" s="734"/>
      <c r="V443" s="731"/>
      <c r="W443" s="731"/>
      <c r="X443" s="734"/>
      <c r="Y443" s="731"/>
      <c r="Z443" s="731"/>
    </row>
    <row r="444">
      <c r="C444" s="734"/>
      <c r="D444" s="731"/>
      <c r="E444" s="731"/>
      <c r="F444" s="734"/>
      <c r="G444" s="731"/>
      <c r="H444" s="731"/>
      <c r="I444" s="734"/>
      <c r="J444" s="731"/>
      <c r="K444" s="731"/>
      <c r="L444" s="734"/>
      <c r="M444" s="731"/>
      <c r="N444" s="731"/>
      <c r="O444" s="730"/>
      <c r="P444" s="731"/>
      <c r="Q444" s="731"/>
      <c r="R444" s="734"/>
      <c r="S444" s="731"/>
      <c r="T444" s="731"/>
      <c r="U444" s="734"/>
      <c r="V444" s="731"/>
      <c r="W444" s="731"/>
      <c r="X444" s="734"/>
      <c r="Y444" s="731"/>
      <c r="Z444" s="731"/>
    </row>
    <row r="445">
      <c r="C445" s="734"/>
      <c r="D445" s="731"/>
      <c r="E445" s="731"/>
      <c r="F445" s="734"/>
      <c r="G445" s="731"/>
      <c r="H445" s="731"/>
      <c r="I445" s="734"/>
      <c r="J445" s="731"/>
      <c r="K445" s="731"/>
      <c r="L445" s="734"/>
      <c r="M445" s="731"/>
      <c r="N445" s="731"/>
      <c r="O445" s="730"/>
      <c r="P445" s="731"/>
      <c r="Q445" s="731"/>
      <c r="R445" s="734"/>
      <c r="S445" s="731"/>
      <c r="T445" s="731"/>
      <c r="U445" s="734"/>
      <c r="V445" s="731"/>
      <c r="W445" s="731"/>
      <c r="X445" s="734"/>
      <c r="Y445" s="731"/>
      <c r="Z445" s="731"/>
    </row>
    <row r="446">
      <c r="C446" s="734"/>
      <c r="D446" s="731"/>
      <c r="E446" s="731"/>
      <c r="F446" s="734"/>
      <c r="G446" s="731"/>
      <c r="H446" s="731"/>
      <c r="I446" s="734"/>
      <c r="J446" s="731"/>
      <c r="K446" s="731"/>
      <c r="L446" s="734"/>
      <c r="M446" s="731"/>
      <c r="N446" s="731"/>
      <c r="O446" s="730"/>
      <c r="P446" s="731"/>
      <c r="Q446" s="731"/>
      <c r="R446" s="734"/>
      <c r="S446" s="731"/>
      <c r="T446" s="731"/>
      <c r="U446" s="734"/>
      <c r="V446" s="731"/>
      <c r="W446" s="731"/>
      <c r="X446" s="734"/>
      <c r="Y446" s="731"/>
      <c r="Z446" s="731"/>
    </row>
    <row r="447">
      <c r="C447" s="734"/>
      <c r="D447" s="731"/>
      <c r="E447" s="731"/>
      <c r="F447" s="734"/>
      <c r="G447" s="731"/>
      <c r="H447" s="731"/>
      <c r="I447" s="734"/>
      <c r="J447" s="731"/>
      <c r="K447" s="731"/>
      <c r="L447" s="734"/>
      <c r="M447" s="731"/>
      <c r="N447" s="731"/>
      <c r="O447" s="730"/>
      <c r="P447" s="731"/>
      <c r="Q447" s="731"/>
      <c r="R447" s="734"/>
      <c r="S447" s="731"/>
      <c r="T447" s="731"/>
      <c r="U447" s="734"/>
      <c r="V447" s="731"/>
      <c r="W447" s="731"/>
      <c r="X447" s="734"/>
      <c r="Y447" s="731"/>
      <c r="Z447" s="731"/>
    </row>
    <row r="448">
      <c r="C448" s="734"/>
      <c r="D448" s="731"/>
      <c r="E448" s="731"/>
      <c r="F448" s="734"/>
      <c r="G448" s="731"/>
      <c r="H448" s="731"/>
      <c r="I448" s="734"/>
      <c r="J448" s="731"/>
      <c r="K448" s="731"/>
      <c r="L448" s="734"/>
      <c r="M448" s="731"/>
      <c r="N448" s="731"/>
      <c r="O448" s="730"/>
      <c r="P448" s="731"/>
      <c r="Q448" s="731"/>
      <c r="R448" s="734"/>
      <c r="S448" s="731"/>
      <c r="T448" s="731"/>
      <c r="U448" s="734"/>
      <c r="V448" s="731"/>
      <c r="W448" s="731"/>
      <c r="X448" s="734"/>
      <c r="Y448" s="731"/>
      <c r="Z448" s="731"/>
    </row>
    <row r="449">
      <c r="C449" s="734"/>
      <c r="D449" s="731"/>
      <c r="E449" s="731"/>
      <c r="F449" s="734"/>
      <c r="G449" s="731"/>
      <c r="H449" s="731"/>
      <c r="I449" s="734"/>
      <c r="J449" s="731"/>
      <c r="K449" s="731"/>
      <c r="L449" s="734"/>
      <c r="M449" s="731"/>
      <c r="N449" s="731"/>
      <c r="O449" s="730"/>
      <c r="P449" s="731"/>
      <c r="Q449" s="731"/>
      <c r="R449" s="734"/>
      <c r="S449" s="731"/>
      <c r="T449" s="731"/>
      <c r="U449" s="734"/>
      <c r="V449" s="731"/>
      <c r="W449" s="731"/>
      <c r="X449" s="734"/>
      <c r="Y449" s="731"/>
      <c r="Z449" s="731"/>
    </row>
    <row r="450">
      <c r="C450" s="734"/>
      <c r="D450" s="731"/>
      <c r="E450" s="731"/>
      <c r="F450" s="734"/>
      <c r="G450" s="731"/>
      <c r="H450" s="731"/>
      <c r="I450" s="734"/>
      <c r="J450" s="731"/>
      <c r="K450" s="731"/>
      <c r="L450" s="734"/>
      <c r="M450" s="731"/>
      <c r="N450" s="731"/>
      <c r="O450" s="730"/>
      <c r="P450" s="731"/>
      <c r="Q450" s="731"/>
      <c r="R450" s="734"/>
      <c r="S450" s="731"/>
      <c r="T450" s="731"/>
      <c r="U450" s="734"/>
      <c r="V450" s="731"/>
      <c r="W450" s="731"/>
      <c r="X450" s="734"/>
      <c r="Y450" s="731"/>
      <c r="Z450" s="731"/>
    </row>
    <row r="451">
      <c r="C451" s="734"/>
      <c r="D451" s="731"/>
      <c r="E451" s="731"/>
      <c r="F451" s="734"/>
      <c r="G451" s="731"/>
      <c r="H451" s="731"/>
      <c r="I451" s="734"/>
      <c r="J451" s="731"/>
      <c r="K451" s="731"/>
      <c r="L451" s="734"/>
      <c r="M451" s="731"/>
      <c r="N451" s="731"/>
      <c r="O451" s="730"/>
      <c r="P451" s="731"/>
      <c r="Q451" s="731"/>
      <c r="R451" s="734"/>
      <c r="S451" s="731"/>
      <c r="T451" s="731"/>
      <c r="U451" s="734"/>
      <c r="V451" s="731"/>
      <c r="W451" s="731"/>
      <c r="X451" s="734"/>
      <c r="Y451" s="731"/>
      <c r="Z451" s="731"/>
    </row>
    <row r="452">
      <c r="C452" s="734"/>
      <c r="D452" s="731"/>
      <c r="E452" s="731"/>
      <c r="F452" s="734"/>
      <c r="G452" s="731"/>
      <c r="H452" s="731"/>
      <c r="I452" s="734"/>
      <c r="J452" s="731"/>
      <c r="K452" s="731"/>
      <c r="L452" s="734"/>
      <c r="M452" s="731"/>
      <c r="N452" s="731"/>
      <c r="O452" s="730"/>
      <c r="P452" s="731"/>
      <c r="Q452" s="731"/>
      <c r="R452" s="734"/>
      <c r="S452" s="731"/>
      <c r="T452" s="731"/>
      <c r="U452" s="734"/>
      <c r="V452" s="731"/>
      <c r="W452" s="731"/>
      <c r="X452" s="734"/>
      <c r="Y452" s="731"/>
      <c r="Z452" s="731"/>
    </row>
    <row r="453">
      <c r="C453" s="734"/>
      <c r="D453" s="731"/>
      <c r="E453" s="731"/>
      <c r="F453" s="734"/>
      <c r="G453" s="731"/>
      <c r="H453" s="731"/>
      <c r="I453" s="734"/>
      <c r="J453" s="731"/>
      <c r="K453" s="731"/>
      <c r="L453" s="734"/>
      <c r="M453" s="731"/>
      <c r="N453" s="731"/>
      <c r="O453" s="730"/>
      <c r="P453" s="731"/>
      <c r="Q453" s="731"/>
      <c r="R453" s="734"/>
      <c r="S453" s="731"/>
      <c r="T453" s="731"/>
      <c r="U453" s="734"/>
      <c r="V453" s="731"/>
      <c r="W453" s="731"/>
      <c r="X453" s="734"/>
      <c r="Y453" s="731"/>
      <c r="Z453" s="731"/>
    </row>
    <row r="454">
      <c r="C454" s="734"/>
      <c r="D454" s="731"/>
      <c r="E454" s="731"/>
      <c r="F454" s="734"/>
      <c r="G454" s="731"/>
      <c r="H454" s="731"/>
      <c r="I454" s="734"/>
      <c r="J454" s="731"/>
      <c r="K454" s="731"/>
      <c r="L454" s="734"/>
      <c r="M454" s="731"/>
      <c r="N454" s="731"/>
      <c r="O454" s="730"/>
      <c r="P454" s="731"/>
      <c r="Q454" s="731"/>
      <c r="R454" s="734"/>
      <c r="S454" s="731"/>
      <c r="T454" s="731"/>
      <c r="U454" s="734"/>
      <c r="V454" s="731"/>
      <c r="W454" s="731"/>
      <c r="X454" s="734"/>
      <c r="Y454" s="731"/>
      <c r="Z454" s="731"/>
    </row>
    <row r="455">
      <c r="C455" s="734"/>
      <c r="D455" s="731"/>
      <c r="E455" s="731"/>
      <c r="F455" s="734"/>
      <c r="G455" s="731"/>
      <c r="H455" s="731"/>
      <c r="I455" s="734"/>
      <c r="J455" s="731"/>
      <c r="K455" s="731"/>
      <c r="L455" s="734"/>
      <c r="M455" s="731"/>
      <c r="N455" s="731"/>
      <c r="O455" s="730"/>
      <c r="P455" s="731"/>
      <c r="Q455" s="731"/>
      <c r="R455" s="734"/>
      <c r="S455" s="731"/>
      <c r="T455" s="731"/>
      <c r="U455" s="734"/>
      <c r="V455" s="731"/>
      <c r="W455" s="731"/>
      <c r="X455" s="734"/>
      <c r="Y455" s="731"/>
      <c r="Z455" s="731"/>
    </row>
    <row r="456">
      <c r="C456" s="734"/>
      <c r="D456" s="731"/>
      <c r="E456" s="731"/>
      <c r="F456" s="734"/>
      <c r="G456" s="731"/>
      <c r="H456" s="731"/>
      <c r="I456" s="734"/>
      <c r="J456" s="731"/>
      <c r="K456" s="731"/>
      <c r="L456" s="734"/>
      <c r="M456" s="731"/>
      <c r="N456" s="731"/>
      <c r="O456" s="730"/>
      <c r="P456" s="731"/>
      <c r="Q456" s="731"/>
      <c r="R456" s="734"/>
      <c r="S456" s="731"/>
      <c r="T456" s="731"/>
      <c r="U456" s="734"/>
      <c r="V456" s="731"/>
      <c r="W456" s="731"/>
      <c r="X456" s="734"/>
      <c r="Y456" s="731"/>
      <c r="Z456" s="731"/>
    </row>
    <row r="457">
      <c r="C457" s="734"/>
      <c r="D457" s="731"/>
      <c r="E457" s="731"/>
      <c r="F457" s="734"/>
      <c r="G457" s="731"/>
      <c r="H457" s="731"/>
      <c r="I457" s="734"/>
      <c r="J457" s="731"/>
      <c r="K457" s="731"/>
      <c r="L457" s="734"/>
      <c r="M457" s="731"/>
      <c r="N457" s="731"/>
      <c r="O457" s="730"/>
      <c r="P457" s="731"/>
      <c r="Q457" s="731"/>
      <c r="R457" s="734"/>
      <c r="S457" s="731"/>
      <c r="T457" s="731"/>
      <c r="U457" s="734"/>
      <c r="V457" s="731"/>
      <c r="W457" s="731"/>
      <c r="X457" s="734"/>
      <c r="Y457" s="731"/>
      <c r="Z457" s="731"/>
    </row>
    <row r="458">
      <c r="C458" s="734"/>
      <c r="D458" s="731"/>
      <c r="E458" s="731"/>
      <c r="F458" s="734"/>
      <c r="G458" s="731"/>
      <c r="H458" s="731"/>
      <c r="I458" s="734"/>
      <c r="J458" s="731"/>
      <c r="K458" s="731"/>
      <c r="L458" s="734"/>
      <c r="M458" s="731"/>
      <c r="N458" s="731"/>
      <c r="O458" s="730"/>
      <c r="P458" s="731"/>
      <c r="Q458" s="731"/>
      <c r="R458" s="734"/>
      <c r="S458" s="731"/>
      <c r="T458" s="731"/>
      <c r="U458" s="734"/>
      <c r="V458" s="731"/>
      <c r="W458" s="731"/>
      <c r="X458" s="734"/>
      <c r="Y458" s="731"/>
      <c r="Z458" s="731"/>
    </row>
    <row r="459">
      <c r="C459" s="734"/>
      <c r="D459" s="731"/>
      <c r="E459" s="731"/>
      <c r="F459" s="734"/>
      <c r="G459" s="731"/>
      <c r="H459" s="731"/>
      <c r="I459" s="734"/>
      <c r="J459" s="731"/>
      <c r="K459" s="731"/>
      <c r="L459" s="734"/>
      <c r="M459" s="731"/>
      <c r="N459" s="731"/>
      <c r="O459" s="730"/>
      <c r="P459" s="731"/>
      <c r="Q459" s="731"/>
      <c r="R459" s="734"/>
      <c r="S459" s="731"/>
      <c r="T459" s="731"/>
      <c r="U459" s="734"/>
      <c r="V459" s="731"/>
      <c r="W459" s="731"/>
      <c r="X459" s="734"/>
      <c r="Y459" s="731"/>
      <c r="Z459" s="731"/>
    </row>
    <row r="460">
      <c r="C460" s="734"/>
      <c r="D460" s="731"/>
      <c r="E460" s="731"/>
      <c r="F460" s="734"/>
      <c r="G460" s="731"/>
      <c r="H460" s="731"/>
      <c r="I460" s="734"/>
      <c r="J460" s="731"/>
      <c r="K460" s="731"/>
      <c r="L460" s="734"/>
      <c r="M460" s="731"/>
      <c r="N460" s="731"/>
      <c r="O460" s="730"/>
      <c r="P460" s="731"/>
      <c r="Q460" s="731"/>
      <c r="R460" s="734"/>
      <c r="S460" s="731"/>
      <c r="T460" s="731"/>
      <c r="U460" s="734"/>
      <c r="V460" s="731"/>
      <c r="W460" s="731"/>
      <c r="X460" s="734"/>
      <c r="Y460" s="731"/>
      <c r="Z460" s="731"/>
    </row>
    <row r="461">
      <c r="C461" s="734"/>
      <c r="D461" s="731"/>
      <c r="E461" s="731"/>
      <c r="F461" s="734"/>
      <c r="G461" s="731"/>
      <c r="H461" s="731"/>
      <c r="I461" s="734"/>
      <c r="J461" s="731"/>
      <c r="K461" s="731"/>
      <c r="L461" s="734"/>
      <c r="M461" s="731"/>
      <c r="N461" s="731"/>
      <c r="O461" s="730"/>
      <c r="P461" s="731"/>
      <c r="Q461" s="731"/>
      <c r="R461" s="734"/>
      <c r="S461" s="731"/>
      <c r="T461" s="731"/>
      <c r="U461" s="734"/>
      <c r="V461" s="731"/>
      <c r="W461" s="731"/>
      <c r="X461" s="734"/>
      <c r="Y461" s="731"/>
      <c r="Z461" s="731"/>
    </row>
    <row r="462">
      <c r="C462" s="734"/>
      <c r="D462" s="731"/>
      <c r="E462" s="731"/>
      <c r="F462" s="734"/>
      <c r="G462" s="731"/>
      <c r="H462" s="731"/>
      <c r="I462" s="734"/>
      <c r="J462" s="731"/>
      <c r="K462" s="731"/>
      <c r="L462" s="734"/>
      <c r="M462" s="731"/>
      <c r="N462" s="731"/>
      <c r="O462" s="730"/>
      <c r="P462" s="731"/>
      <c r="Q462" s="731"/>
      <c r="R462" s="734"/>
      <c r="S462" s="731"/>
      <c r="T462" s="731"/>
      <c r="U462" s="734"/>
      <c r="V462" s="731"/>
      <c r="W462" s="731"/>
      <c r="X462" s="734"/>
      <c r="Y462" s="731"/>
      <c r="Z462" s="731"/>
    </row>
    <row r="463">
      <c r="C463" s="734"/>
      <c r="D463" s="731"/>
      <c r="E463" s="731"/>
      <c r="F463" s="734"/>
      <c r="G463" s="731"/>
      <c r="H463" s="731"/>
      <c r="I463" s="734"/>
      <c r="J463" s="731"/>
      <c r="K463" s="731"/>
      <c r="L463" s="734"/>
      <c r="M463" s="731"/>
      <c r="N463" s="731"/>
      <c r="O463" s="730"/>
      <c r="P463" s="731"/>
      <c r="Q463" s="731"/>
      <c r="R463" s="734"/>
      <c r="S463" s="731"/>
      <c r="T463" s="731"/>
      <c r="U463" s="734"/>
      <c r="V463" s="731"/>
      <c r="W463" s="731"/>
      <c r="X463" s="734"/>
      <c r="Y463" s="731"/>
      <c r="Z463" s="731"/>
    </row>
    <row r="464">
      <c r="C464" s="734"/>
      <c r="D464" s="731"/>
      <c r="E464" s="731"/>
      <c r="F464" s="734"/>
      <c r="G464" s="731"/>
      <c r="H464" s="731"/>
      <c r="I464" s="734"/>
      <c r="J464" s="731"/>
      <c r="K464" s="731"/>
      <c r="L464" s="734"/>
      <c r="M464" s="731"/>
      <c r="N464" s="731"/>
      <c r="O464" s="730"/>
      <c r="P464" s="731"/>
      <c r="Q464" s="731"/>
      <c r="R464" s="734"/>
      <c r="S464" s="731"/>
      <c r="T464" s="731"/>
      <c r="U464" s="734"/>
      <c r="V464" s="731"/>
      <c r="W464" s="731"/>
      <c r="X464" s="734"/>
      <c r="Y464" s="731"/>
      <c r="Z464" s="731"/>
    </row>
    <row r="465">
      <c r="C465" s="734"/>
      <c r="D465" s="731"/>
      <c r="E465" s="731"/>
      <c r="F465" s="734"/>
      <c r="G465" s="731"/>
      <c r="H465" s="731"/>
      <c r="I465" s="734"/>
      <c r="J465" s="731"/>
      <c r="K465" s="731"/>
      <c r="L465" s="734"/>
      <c r="M465" s="731"/>
      <c r="N465" s="731"/>
      <c r="O465" s="730"/>
      <c r="P465" s="731"/>
      <c r="Q465" s="731"/>
      <c r="R465" s="734"/>
      <c r="S465" s="731"/>
      <c r="T465" s="731"/>
      <c r="U465" s="734"/>
      <c r="V465" s="731"/>
      <c r="W465" s="731"/>
      <c r="X465" s="734"/>
      <c r="Y465" s="731"/>
      <c r="Z465" s="731"/>
    </row>
    <row r="466">
      <c r="C466" s="734"/>
      <c r="D466" s="731"/>
      <c r="E466" s="731"/>
      <c r="F466" s="734"/>
      <c r="G466" s="731"/>
      <c r="H466" s="731"/>
      <c r="I466" s="734"/>
      <c r="J466" s="731"/>
      <c r="K466" s="731"/>
      <c r="L466" s="734"/>
      <c r="M466" s="731"/>
      <c r="N466" s="731"/>
      <c r="O466" s="730"/>
      <c r="P466" s="731"/>
      <c r="Q466" s="731"/>
      <c r="R466" s="734"/>
      <c r="S466" s="731"/>
      <c r="T466" s="731"/>
      <c r="U466" s="734"/>
      <c r="V466" s="731"/>
      <c r="W466" s="731"/>
      <c r="X466" s="734"/>
      <c r="Y466" s="731"/>
      <c r="Z466" s="731"/>
    </row>
    <row r="467">
      <c r="C467" s="734"/>
      <c r="D467" s="731"/>
      <c r="E467" s="731"/>
      <c r="F467" s="734"/>
      <c r="G467" s="731"/>
      <c r="H467" s="731"/>
      <c r="I467" s="734"/>
      <c r="J467" s="731"/>
      <c r="K467" s="731"/>
      <c r="L467" s="734"/>
      <c r="M467" s="731"/>
      <c r="N467" s="731"/>
      <c r="O467" s="730"/>
      <c r="P467" s="731"/>
      <c r="Q467" s="731"/>
      <c r="R467" s="734"/>
      <c r="S467" s="731"/>
      <c r="T467" s="731"/>
      <c r="U467" s="734"/>
      <c r="V467" s="731"/>
      <c r="W467" s="731"/>
      <c r="X467" s="734"/>
      <c r="Y467" s="731"/>
      <c r="Z467" s="731"/>
    </row>
    <row r="468">
      <c r="C468" s="734"/>
      <c r="D468" s="731"/>
      <c r="E468" s="731"/>
      <c r="F468" s="734"/>
      <c r="G468" s="731"/>
      <c r="H468" s="731"/>
      <c r="I468" s="734"/>
      <c r="J468" s="731"/>
      <c r="K468" s="731"/>
      <c r="L468" s="734"/>
      <c r="M468" s="731"/>
      <c r="N468" s="731"/>
      <c r="O468" s="730"/>
      <c r="P468" s="731"/>
      <c r="Q468" s="731"/>
      <c r="R468" s="734"/>
      <c r="S468" s="731"/>
      <c r="T468" s="731"/>
      <c r="U468" s="734"/>
      <c r="V468" s="731"/>
      <c r="W468" s="731"/>
      <c r="X468" s="734"/>
      <c r="Y468" s="731"/>
      <c r="Z468" s="731"/>
    </row>
    <row r="469">
      <c r="C469" s="734"/>
      <c r="D469" s="731"/>
      <c r="E469" s="731"/>
      <c r="F469" s="734"/>
      <c r="G469" s="731"/>
      <c r="H469" s="731"/>
      <c r="I469" s="734"/>
      <c r="J469" s="731"/>
      <c r="K469" s="731"/>
      <c r="L469" s="734"/>
      <c r="M469" s="731"/>
      <c r="N469" s="731"/>
      <c r="O469" s="730"/>
      <c r="P469" s="731"/>
      <c r="Q469" s="731"/>
      <c r="R469" s="734"/>
      <c r="S469" s="731"/>
      <c r="T469" s="731"/>
      <c r="U469" s="734"/>
      <c r="V469" s="731"/>
      <c r="W469" s="731"/>
      <c r="X469" s="734"/>
      <c r="Y469" s="731"/>
      <c r="Z469" s="731"/>
    </row>
    <row r="470">
      <c r="C470" s="734"/>
      <c r="D470" s="731"/>
      <c r="E470" s="731"/>
      <c r="F470" s="734"/>
      <c r="G470" s="731"/>
      <c r="H470" s="731"/>
      <c r="I470" s="734"/>
      <c r="J470" s="731"/>
      <c r="K470" s="731"/>
      <c r="L470" s="734"/>
      <c r="M470" s="731"/>
      <c r="N470" s="731"/>
      <c r="O470" s="730"/>
      <c r="P470" s="731"/>
      <c r="Q470" s="731"/>
      <c r="R470" s="734"/>
      <c r="S470" s="731"/>
      <c r="T470" s="731"/>
      <c r="U470" s="734"/>
      <c r="V470" s="731"/>
      <c r="W470" s="731"/>
      <c r="X470" s="734"/>
      <c r="Y470" s="731"/>
      <c r="Z470" s="731"/>
    </row>
    <row r="471">
      <c r="C471" s="734"/>
      <c r="D471" s="731"/>
      <c r="E471" s="731"/>
      <c r="F471" s="734"/>
      <c r="G471" s="731"/>
      <c r="H471" s="731"/>
      <c r="I471" s="734"/>
      <c r="J471" s="731"/>
      <c r="K471" s="731"/>
      <c r="L471" s="734"/>
      <c r="M471" s="731"/>
      <c r="N471" s="731"/>
      <c r="O471" s="730"/>
      <c r="P471" s="731"/>
      <c r="Q471" s="731"/>
      <c r="R471" s="734"/>
      <c r="S471" s="731"/>
      <c r="T471" s="731"/>
      <c r="U471" s="734"/>
      <c r="V471" s="731"/>
      <c r="W471" s="731"/>
      <c r="X471" s="734"/>
      <c r="Y471" s="731"/>
      <c r="Z471" s="731"/>
    </row>
    <row r="472">
      <c r="C472" s="734"/>
      <c r="D472" s="731"/>
      <c r="E472" s="731"/>
      <c r="F472" s="734"/>
      <c r="G472" s="731"/>
      <c r="H472" s="731"/>
      <c r="I472" s="734"/>
      <c r="J472" s="731"/>
      <c r="K472" s="731"/>
      <c r="L472" s="734"/>
      <c r="M472" s="731"/>
      <c r="N472" s="731"/>
      <c r="O472" s="730"/>
      <c r="P472" s="731"/>
      <c r="Q472" s="731"/>
      <c r="R472" s="734"/>
      <c r="S472" s="731"/>
      <c r="T472" s="731"/>
      <c r="U472" s="734"/>
      <c r="V472" s="731"/>
      <c r="W472" s="731"/>
      <c r="X472" s="734"/>
      <c r="Y472" s="731"/>
      <c r="Z472" s="731"/>
    </row>
    <row r="473">
      <c r="C473" s="734"/>
      <c r="D473" s="731"/>
      <c r="E473" s="731"/>
      <c r="F473" s="734"/>
      <c r="G473" s="731"/>
      <c r="H473" s="731"/>
      <c r="I473" s="734"/>
      <c r="J473" s="731"/>
      <c r="K473" s="731"/>
      <c r="L473" s="734"/>
      <c r="M473" s="731"/>
      <c r="N473" s="731"/>
      <c r="O473" s="730"/>
      <c r="P473" s="731"/>
      <c r="Q473" s="731"/>
      <c r="R473" s="734"/>
      <c r="S473" s="731"/>
      <c r="T473" s="731"/>
      <c r="U473" s="734"/>
      <c r="V473" s="731"/>
      <c r="W473" s="731"/>
      <c r="X473" s="734"/>
      <c r="Y473" s="731"/>
      <c r="Z473" s="731"/>
    </row>
    <row r="474">
      <c r="C474" s="734"/>
      <c r="D474" s="731"/>
      <c r="E474" s="731"/>
      <c r="F474" s="734"/>
      <c r="G474" s="731"/>
      <c r="H474" s="731"/>
      <c r="I474" s="734"/>
      <c r="J474" s="731"/>
      <c r="K474" s="731"/>
      <c r="L474" s="734"/>
      <c r="M474" s="731"/>
      <c r="N474" s="731"/>
      <c r="O474" s="730"/>
      <c r="P474" s="731"/>
      <c r="Q474" s="731"/>
      <c r="R474" s="734"/>
      <c r="S474" s="731"/>
      <c r="T474" s="731"/>
      <c r="U474" s="734"/>
      <c r="V474" s="731"/>
      <c r="W474" s="731"/>
      <c r="X474" s="734"/>
      <c r="Y474" s="731"/>
      <c r="Z474" s="731"/>
    </row>
    <row r="475">
      <c r="C475" s="734"/>
      <c r="D475" s="731"/>
      <c r="E475" s="731"/>
      <c r="F475" s="734"/>
      <c r="G475" s="731"/>
      <c r="H475" s="731"/>
      <c r="I475" s="734"/>
      <c r="J475" s="731"/>
      <c r="K475" s="731"/>
      <c r="L475" s="734"/>
      <c r="M475" s="731"/>
      <c r="N475" s="731"/>
      <c r="O475" s="730"/>
      <c r="P475" s="731"/>
      <c r="Q475" s="731"/>
      <c r="R475" s="734"/>
      <c r="S475" s="731"/>
      <c r="T475" s="731"/>
      <c r="U475" s="734"/>
      <c r="V475" s="731"/>
      <c r="W475" s="731"/>
      <c r="X475" s="734"/>
      <c r="Y475" s="731"/>
      <c r="Z475" s="731"/>
    </row>
    <row r="476">
      <c r="C476" s="734"/>
      <c r="D476" s="731"/>
      <c r="E476" s="731"/>
      <c r="F476" s="734"/>
      <c r="G476" s="731"/>
      <c r="H476" s="731"/>
      <c r="I476" s="734"/>
      <c r="J476" s="731"/>
      <c r="K476" s="731"/>
      <c r="L476" s="734"/>
      <c r="M476" s="731"/>
      <c r="N476" s="731"/>
      <c r="O476" s="730"/>
      <c r="P476" s="731"/>
      <c r="Q476" s="731"/>
      <c r="R476" s="734"/>
      <c r="S476" s="731"/>
      <c r="T476" s="731"/>
      <c r="U476" s="734"/>
      <c r="V476" s="731"/>
      <c r="W476" s="731"/>
      <c r="X476" s="734"/>
      <c r="Y476" s="731"/>
      <c r="Z476" s="731"/>
    </row>
    <row r="477">
      <c r="C477" s="734"/>
      <c r="D477" s="731"/>
      <c r="E477" s="731"/>
      <c r="F477" s="734"/>
      <c r="G477" s="731"/>
      <c r="H477" s="731"/>
      <c r="I477" s="734"/>
      <c r="J477" s="731"/>
      <c r="K477" s="731"/>
      <c r="L477" s="734"/>
      <c r="M477" s="731"/>
      <c r="N477" s="731"/>
      <c r="O477" s="730"/>
      <c r="P477" s="731"/>
      <c r="Q477" s="731"/>
      <c r="R477" s="734"/>
      <c r="S477" s="731"/>
      <c r="T477" s="731"/>
      <c r="U477" s="734"/>
      <c r="V477" s="731"/>
      <c r="W477" s="731"/>
      <c r="X477" s="734"/>
      <c r="Y477" s="731"/>
      <c r="Z477" s="731"/>
    </row>
    <row r="478">
      <c r="C478" s="734"/>
      <c r="D478" s="731"/>
      <c r="E478" s="731"/>
      <c r="F478" s="734"/>
      <c r="G478" s="731"/>
      <c r="H478" s="731"/>
      <c r="I478" s="734"/>
      <c r="J478" s="731"/>
      <c r="K478" s="731"/>
      <c r="L478" s="734"/>
      <c r="M478" s="731"/>
      <c r="N478" s="731"/>
      <c r="O478" s="730"/>
      <c r="P478" s="731"/>
      <c r="Q478" s="731"/>
      <c r="R478" s="734"/>
      <c r="S478" s="731"/>
      <c r="T478" s="731"/>
      <c r="U478" s="734"/>
      <c r="V478" s="731"/>
      <c r="W478" s="731"/>
      <c r="X478" s="734"/>
      <c r="Y478" s="731"/>
      <c r="Z478" s="731"/>
    </row>
    <row r="479">
      <c r="C479" s="734"/>
      <c r="D479" s="731"/>
      <c r="E479" s="731"/>
      <c r="F479" s="734"/>
      <c r="G479" s="731"/>
      <c r="H479" s="731"/>
      <c r="I479" s="734"/>
      <c r="J479" s="731"/>
      <c r="K479" s="731"/>
      <c r="L479" s="734"/>
      <c r="M479" s="731"/>
      <c r="N479" s="731"/>
      <c r="O479" s="730"/>
      <c r="P479" s="731"/>
      <c r="Q479" s="731"/>
      <c r="R479" s="734"/>
      <c r="S479" s="731"/>
      <c r="T479" s="731"/>
      <c r="U479" s="734"/>
      <c r="V479" s="731"/>
      <c r="W479" s="731"/>
      <c r="X479" s="734"/>
      <c r="Y479" s="731"/>
      <c r="Z479" s="731"/>
    </row>
    <row r="480">
      <c r="C480" s="734"/>
      <c r="D480" s="731"/>
      <c r="E480" s="731"/>
      <c r="F480" s="734"/>
      <c r="G480" s="731"/>
      <c r="H480" s="731"/>
      <c r="I480" s="734"/>
      <c r="J480" s="731"/>
      <c r="K480" s="731"/>
      <c r="L480" s="734"/>
      <c r="M480" s="731"/>
      <c r="N480" s="731"/>
      <c r="O480" s="730"/>
      <c r="P480" s="731"/>
      <c r="Q480" s="731"/>
      <c r="R480" s="734"/>
      <c r="S480" s="731"/>
      <c r="T480" s="731"/>
      <c r="U480" s="734"/>
      <c r="V480" s="731"/>
      <c r="W480" s="731"/>
      <c r="X480" s="734"/>
      <c r="Y480" s="731"/>
      <c r="Z480" s="731"/>
    </row>
    <row r="481">
      <c r="C481" s="734"/>
      <c r="D481" s="731"/>
      <c r="E481" s="731"/>
      <c r="F481" s="734"/>
      <c r="G481" s="731"/>
      <c r="H481" s="731"/>
      <c r="I481" s="734"/>
      <c r="J481" s="731"/>
      <c r="K481" s="731"/>
      <c r="L481" s="734"/>
      <c r="M481" s="731"/>
      <c r="N481" s="731"/>
      <c r="O481" s="730"/>
      <c r="P481" s="731"/>
      <c r="Q481" s="731"/>
      <c r="R481" s="734"/>
      <c r="S481" s="731"/>
      <c r="T481" s="731"/>
      <c r="U481" s="734"/>
      <c r="V481" s="731"/>
      <c r="W481" s="731"/>
      <c r="X481" s="734"/>
      <c r="Y481" s="731"/>
      <c r="Z481" s="731"/>
    </row>
    <row r="482">
      <c r="C482" s="734"/>
      <c r="D482" s="731"/>
      <c r="E482" s="731"/>
      <c r="F482" s="734"/>
      <c r="G482" s="731"/>
      <c r="H482" s="731"/>
      <c r="I482" s="734"/>
      <c r="J482" s="731"/>
      <c r="K482" s="731"/>
      <c r="L482" s="734"/>
      <c r="M482" s="731"/>
      <c r="N482" s="731"/>
      <c r="O482" s="730"/>
      <c r="P482" s="731"/>
      <c r="Q482" s="731"/>
      <c r="R482" s="734"/>
      <c r="S482" s="731"/>
      <c r="T482" s="731"/>
      <c r="U482" s="734"/>
      <c r="V482" s="731"/>
      <c r="W482" s="731"/>
      <c r="X482" s="734"/>
      <c r="Y482" s="731"/>
      <c r="Z482" s="731"/>
    </row>
    <row r="483">
      <c r="C483" s="734"/>
      <c r="D483" s="731"/>
      <c r="E483" s="731"/>
      <c r="F483" s="734"/>
      <c r="G483" s="731"/>
      <c r="H483" s="731"/>
      <c r="I483" s="734"/>
      <c r="J483" s="731"/>
      <c r="K483" s="731"/>
      <c r="L483" s="734"/>
      <c r="M483" s="731"/>
      <c r="N483" s="731"/>
      <c r="O483" s="730"/>
      <c r="P483" s="731"/>
      <c r="Q483" s="731"/>
      <c r="R483" s="734"/>
      <c r="S483" s="731"/>
      <c r="T483" s="731"/>
      <c r="U483" s="734"/>
      <c r="V483" s="731"/>
      <c r="W483" s="731"/>
      <c r="X483" s="734"/>
      <c r="Y483" s="731"/>
      <c r="Z483" s="731"/>
    </row>
    <row r="484">
      <c r="C484" s="734"/>
      <c r="D484" s="731"/>
      <c r="E484" s="731"/>
      <c r="F484" s="734"/>
      <c r="G484" s="731"/>
      <c r="H484" s="731"/>
      <c r="I484" s="734"/>
      <c r="J484" s="731"/>
      <c r="K484" s="731"/>
      <c r="L484" s="734"/>
      <c r="M484" s="731"/>
      <c r="N484" s="731"/>
      <c r="O484" s="730"/>
      <c r="P484" s="731"/>
      <c r="Q484" s="731"/>
      <c r="R484" s="734"/>
      <c r="S484" s="731"/>
      <c r="T484" s="731"/>
      <c r="U484" s="734"/>
      <c r="V484" s="731"/>
      <c r="W484" s="731"/>
      <c r="X484" s="734"/>
      <c r="Y484" s="731"/>
      <c r="Z484" s="731"/>
    </row>
    <row r="485">
      <c r="C485" s="734"/>
      <c r="D485" s="731"/>
      <c r="E485" s="731"/>
      <c r="F485" s="734"/>
      <c r="G485" s="731"/>
      <c r="H485" s="731"/>
      <c r="I485" s="734"/>
      <c r="J485" s="731"/>
      <c r="K485" s="731"/>
      <c r="L485" s="734"/>
      <c r="M485" s="731"/>
      <c r="N485" s="731"/>
      <c r="O485" s="730"/>
      <c r="P485" s="731"/>
      <c r="Q485" s="731"/>
      <c r="R485" s="734"/>
      <c r="S485" s="731"/>
      <c r="T485" s="731"/>
      <c r="U485" s="734"/>
      <c r="V485" s="731"/>
      <c r="W485" s="731"/>
      <c r="X485" s="734"/>
      <c r="Y485" s="731"/>
      <c r="Z485" s="731"/>
    </row>
    <row r="486">
      <c r="C486" s="734"/>
      <c r="D486" s="731"/>
      <c r="E486" s="731"/>
      <c r="F486" s="734"/>
      <c r="G486" s="731"/>
      <c r="H486" s="731"/>
      <c r="I486" s="734"/>
      <c r="J486" s="731"/>
      <c r="K486" s="731"/>
      <c r="L486" s="734"/>
      <c r="M486" s="731"/>
      <c r="N486" s="731"/>
      <c r="O486" s="730"/>
      <c r="P486" s="731"/>
      <c r="Q486" s="731"/>
      <c r="R486" s="734"/>
      <c r="S486" s="731"/>
      <c r="T486" s="731"/>
      <c r="U486" s="734"/>
      <c r="V486" s="731"/>
      <c r="W486" s="731"/>
      <c r="X486" s="734"/>
      <c r="Y486" s="731"/>
      <c r="Z486" s="731"/>
    </row>
    <row r="487">
      <c r="C487" s="734"/>
      <c r="D487" s="731"/>
      <c r="E487" s="731"/>
      <c r="F487" s="734"/>
      <c r="G487" s="731"/>
      <c r="H487" s="731"/>
      <c r="I487" s="734"/>
      <c r="J487" s="731"/>
      <c r="K487" s="731"/>
      <c r="L487" s="734"/>
      <c r="M487" s="731"/>
      <c r="N487" s="731"/>
      <c r="O487" s="730"/>
      <c r="P487" s="731"/>
      <c r="Q487" s="731"/>
      <c r="R487" s="734"/>
      <c r="S487" s="731"/>
      <c r="T487" s="731"/>
      <c r="U487" s="734"/>
      <c r="V487" s="731"/>
      <c r="W487" s="731"/>
      <c r="X487" s="734"/>
      <c r="Y487" s="731"/>
      <c r="Z487" s="731"/>
    </row>
    <row r="488">
      <c r="C488" s="734"/>
      <c r="D488" s="731"/>
      <c r="E488" s="731"/>
      <c r="F488" s="734"/>
      <c r="G488" s="731"/>
      <c r="H488" s="731"/>
      <c r="I488" s="734"/>
      <c r="J488" s="731"/>
      <c r="K488" s="731"/>
      <c r="L488" s="734"/>
      <c r="M488" s="731"/>
      <c r="N488" s="731"/>
      <c r="O488" s="730"/>
      <c r="P488" s="731"/>
      <c r="Q488" s="731"/>
      <c r="R488" s="734"/>
      <c r="S488" s="731"/>
      <c r="T488" s="731"/>
      <c r="U488" s="734"/>
      <c r="V488" s="731"/>
      <c r="W488" s="731"/>
      <c r="X488" s="734"/>
      <c r="Y488" s="731"/>
      <c r="Z488" s="731"/>
    </row>
    <row r="489">
      <c r="C489" s="734"/>
      <c r="D489" s="731"/>
      <c r="E489" s="731"/>
      <c r="F489" s="734"/>
      <c r="G489" s="731"/>
      <c r="H489" s="731"/>
      <c r="I489" s="734"/>
      <c r="J489" s="731"/>
      <c r="K489" s="731"/>
      <c r="L489" s="734"/>
      <c r="M489" s="731"/>
      <c r="N489" s="731"/>
      <c r="O489" s="730"/>
      <c r="P489" s="731"/>
      <c r="Q489" s="731"/>
      <c r="R489" s="734"/>
      <c r="S489" s="731"/>
      <c r="T489" s="731"/>
      <c r="U489" s="734"/>
      <c r="V489" s="731"/>
      <c r="W489" s="731"/>
      <c r="X489" s="734"/>
      <c r="Y489" s="731"/>
      <c r="Z489" s="731"/>
    </row>
    <row r="490">
      <c r="C490" s="734"/>
      <c r="D490" s="731"/>
      <c r="E490" s="731"/>
      <c r="F490" s="734"/>
      <c r="G490" s="731"/>
      <c r="H490" s="731"/>
      <c r="I490" s="734"/>
      <c r="J490" s="731"/>
      <c r="K490" s="731"/>
      <c r="L490" s="734"/>
      <c r="M490" s="731"/>
      <c r="N490" s="731"/>
      <c r="O490" s="730"/>
      <c r="P490" s="731"/>
      <c r="Q490" s="731"/>
      <c r="R490" s="734"/>
      <c r="S490" s="731"/>
      <c r="T490" s="731"/>
      <c r="U490" s="734"/>
      <c r="V490" s="731"/>
      <c r="W490" s="731"/>
      <c r="X490" s="734"/>
      <c r="Y490" s="731"/>
      <c r="Z490" s="731"/>
    </row>
    <row r="491">
      <c r="C491" s="734"/>
      <c r="D491" s="731"/>
      <c r="E491" s="731"/>
      <c r="F491" s="734"/>
      <c r="G491" s="731"/>
      <c r="H491" s="731"/>
      <c r="I491" s="734"/>
      <c r="J491" s="731"/>
      <c r="K491" s="731"/>
      <c r="L491" s="734"/>
      <c r="M491" s="731"/>
      <c r="N491" s="731"/>
      <c r="O491" s="730"/>
      <c r="P491" s="731"/>
      <c r="Q491" s="731"/>
      <c r="R491" s="734"/>
      <c r="S491" s="731"/>
      <c r="T491" s="731"/>
      <c r="U491" s="734"/>
      <c r="V491" s="731"/>
      <c r="W491" s="731"/>
      <c r="X491" s="734"/>
      <c r="Y491" s="731"/>
      <c r="Z491" s="731"/>
    </row>
    <row r="492">
      <c r="C492" s="734"/>
      <c r="D492" s="731"/>
      <c r="E492" s="731"/>
      <c r="F492" s="734"/>
      <c r="G492" s="731"/>
      <c r="H492" s="731"/>
      <c r="I492" s="734"/>
      <c r="J492" s="731"/>
      <c r="K492" s="731"/>
      <c r="L492" s="734"/>
      <c r="M492" s="731"/>
      <c r="N492" s="731"/>
      <c r="O492" s="730"/>
      <c r="P492" s="731"/>
      <c r="Q492" s="731"/>
      <c r="R492" s="734"/>
      <c r="S492" s="731"/>
      <c r="T492" s="731"/>
      <c r="U492" s="734"/>
      <c r="V492" s="731"/>
      <c r="W492" s="731"/>
      <c r="X492" s="734"/>
      <c r="Y492" s="731"/>
      <c r="Z492" s="731"/>
    </row>
    <row r="493">
      <c r="C493" s="734"/>
      <c r="D493" s="731"/>
      <c r="E493" s="731"/>
      <c r="F493" s="734"/>
      <c r="G493" s="731"/>
      <c r="H493" s="731"/>
      <c r="I493" s="734"/>
      <c r="J493" s="731"/>
      <c r="K493" s="731"/>
      <c r="L493" s="734"/>
      <c r="M493" s="731"/>
      <c r="N493" s="731"/>
      <c r="O493" s="730"/>
      <c r="P493" s="731"/>
      <c r="Q493" s="731"/>
      <c r="R493" s="734"/>
      <c r="S493" s="731"/>
      <c r="T493" s="731"/>
      <c r="U493" s="734"/>
      <c r="V493" s="731"/>
      <c r="W493" s="731"/>
      <c r="X493" s="734"/>
      <c r="Y493" s="731"/>
      <c r="Z493" s="731"/>
    </row>
    <row r="494">
      <c r="C494" s="734"/>
      <c r="D494" s="731"/>
      <c r="E494" s="731"/>
      <c r="F494" s="734"/>
      <c r="G494" s="731"/>
      <c r="H494" s="731"/>
      <c r="I494" s="734"/>
      <c r="J494" s="731"/>
      <c r="K494" s="731"/>
      <c r="L494" s="734"/>
      <c r="M494" s="731"/>
      <c r="N494" s="731"/>
      <c r="O494" s="730"/>
      <c r="P494" s="731"/>
      <c r="Q494" s="731"/>
      <c r="R494" s="734"/>
      <c r="S494" s="731"/>
      <c r="T494" s="731"/>
      <c r="U494" s="734"/>
      <c r="V494" s="731"/>
      <c r="W494" s="731"/>
      <c r="X494" s="734"/>
      <c r="Y494" s="731"/>
      <c r="Z494" s="731"/>
    </row>
    <row r="495">
      <c r="C495" s="734"/>
      <c r="D495" s="731"/>
      <c r="E495" s="731"/>
      <c r="F495" s="734"/>
      <c r="G495" s="731"/>
      <c r="H495" s="731"/>
      <c r="I495" s="734"/>
      <c r="J495" s="731"/>
      <c r="K495" s="731"/>
      <c r="L495" s="734"/>
      <c r="M495" s="731"/>
      <c r="N495" s="731"/>
      <c r="O495" s="730"/>
      <c r="P495" s="731"/>
      <c r="Q495" s="731"/>
      <c r="R495" s="734"/>
      <c r="S495" s="731"/>
      <c r="T495" s="731"/>
      <c r="U495" s="734"/>
      <c r="V495" s="731"/>
      <c r="W495" s="731"/>
      <c r="X495" s="734"/>
      <c r="Y495" s="731"/>
      <c r="Z495" s="731"/>
    </row>
    <row r="496">
      <c r="C496" s="734"/>
      <c r="D496" s="731"/>
      <c r="E496" s="731"/>
      <c r="F496" s="734"/>
      <c r="G496" s="731"/>
      <c r="H496" s="731"/>
      <c r="I496" s="734"/>
      <c r="J496" s="731"/>
      <c r="K496" s="731"/>
      <c r="L496" s="734"/>
      <c r="M496" s="731"/>
      <c r="N496" s="731"/>
      <c r="O496" s="730"/>
      <c r="P496" s="731"/>
      <c r="Q496" s="731"/>
      <c r="R496" s="734"/>
      <c r="S496" s="731"/>
      <c r="T496" s="731"/>
      <c r="U496" s="734"/>
      <c r="V496" s="731"/>
      <c r="W496" s="731"/>
      <c r="X496" s="734"/>
      <c r="Y496" s="731"/>
      <c r="Z496" s="731"/>
    </row>
    <row r="497">
      <c r="C497" s="734"/>
      <c r="D497" s="731"/>
      <c r="E497" s="731"/>
      <c r="F497" s="734"/>
      <c r="G497" s="731"/>
      <c r="H497" s="731"/>
      <c r="I497" s="734"/>
      <c r="J497" s="731"/>
      <c r="K497" s="731"/>
      <c r="L497" s="734"/>
      <c r="M497" s="731"/>
      <c r="N497" s="731"/>
      <c r="O497" s="730"/>
      <c r="P497" s="731"/>
      <c r="Q497" s="731"/>
      <c r="R497" s="734"/>
      <c r="S497" s="731"/>
      <c r="T497" s="731"/>
      <c r="U497" s="734"/>
      <c r="V497" s="731"/>
      <c r="W497" s="731"/>
      <c r="X497" s="734"/>
      <c r="Y497" s="731"/>
      <c r="Z497" s="731"/>
    </row>
    <row r="498">
      <c r="C498" s="734"/>
      <c r="D498" s="731"/>
      <c r="E498" s="731"/>
      <c r="F498" s="734"/>
      <c r="G498" s="731"/>
      <c r="H498" s="731"/>
      <c r="I498" s="734"/>
      <c r="J498" s="731"/>
      <c r="K498" s="731"/>
      <c r="L498" s="734"/>
      <c r="M498" s="731"/>
      <c r="N498" s="731"/>
      <c r="O498" s="730"/>
      <c r="P498" s="731"/>
      <c r="Q498" s="731"/>
      <c r="R498" s="734"/>
      <c r="S498" s="731"/>
      <c r="T498" s="731"/>
      <c r="U498" s="734"/>
      <c r="V498" s="731"/>
      <c r="W498" s="731"/>
      <c r="X498" s="734"/>
      <c r="Y498" s="731"/>
      <c r="Z498" s="731"/>
    </row>
    <row r="499">
      <c r="C499" s="734"/>
      <c r="D499" s="731"/>
      <c r="E499" s="731"/>
      <c r="F499" s="734"/>
      <c r="G499" s="731"/>
      <c r="H499" s="731"/>
      <c r="I499" s="734"/>
      <c r="J499" s="731"/>
      <c r="K499" s="731"/>
      <c r="L499" s="734"/>
      <c r="M499" s="731"/>
      <c r="N499" s="731"/>
      <c r="O499" s="730"/>
      <c r="P499" s="731"/>
      <c r="Q499" s="731"/>
      <c r="R499" s="734"/>
      <c r="S499" s="731"/>
      <c r="T499" s="731"/>
      <c r="U499" s="734"/>
      <c r="V499" s="731"/>
      <c r="W499" s="731"/>
      <c r="X499" s="734"/>
      <c r="Y499" s="731"/>
      <c r="Z499" s="731"/>
    </row>
    <row r="500">
      <c r="C500" s="734"/>
      <c r="D500" s="731"/>
      <c r="E500" s="731"/>
      <c r="F500" s="734"/>
      <c r="G500" s="731"/>
      <c r="H500" s="731"/>
      <c r="I500" s="734"/>
      <c r="J500" s="731"/>
      <c r="K500" s="731"/>
      <c r="L500" s="734"/>
      <c r="M500" s="731"/>
      <c r="N500" s="731"/>
      <c r="O500" s="730"/>
      <c r="P500" s="731"/>
      <c r="Q500" s="731"/>
      <c r="R500" s="734"/>
      <c r="S500" s="731"/>
      <c r="T500" s="731"/>
      <c r="U500" s="734"/>
      <c r="V500" s="731"/>
      <c r="W500" s="731"/>
      <c r="X500" s="734"/>
      <c r="Y500" s="731"/>
      <c r="Z500" s="731"/>
    </row>
    <row r="501">
      <c r="C501" s="734"/>
      <c r="D501" s="731"/>
      <c r="E501" s="731"/>
      <c r="F501" s="734"/>
      <c r="G501" s="731"/>
      <c r="H501" s="731"/>
      <c r="I501" s="734"/>
      <c r="J501" s="731"/>
      <c r="K501" s="731"/>
      <c r="L501" s="734"/>
      <c r="M501" s="731"/>
      <c r="N501" s="731"/>
      <c r="O501" s="730"/>
      <c r="P501" s="731"/>
      <c r="Q501" s="731"/>
      <c r="R501" s="734"/>
      <c r="S501" s="731"/>
      <c r="T501" s="731"/>
      <c r="U501" s="734"/>
      <c r="V501" s="731"/>
      <c r="W501" s="731"/>
      <c r="X501" s="734"/>
      <c r="Y501" s="731"/>
      <c r="Z501" s="731"/>
    </row>
    <row r="502">
      <c r="C502" s="734"/>
      <c r="D502" s="731"/>
      <c r="E502" s="731"/>
      <c r="F502" s="734"/>
      <c r="G502" s="731"/>
      <c r="H502" s="731"/>
      <c r="I502" s="734"/>
      <c r="J502" s="731"/>
      <c r="K502" s="731"/>
      <c r="L502" s="734"/>
      <c r="M502" s="731"/>
      <c r="N502" s="731"/>
      <c r="O502" s="730"/>
      <c r="P502" s="731"/>
      <c r="Q502" s="731"/>
      <c r="R502" s="734"/>
      <c r="S502" s="731"/>
      <c r="T502" s="731"/>
      <c r="U502" s="734"/>
      <c r="V502" s="731"/>
      <c r="W502" s="731"/>
      <c r="X502" s="734"/>
      <c r="Y502" s="731"/>
      <c r="Z502" s="731"/>
    </row>
    <row r="503">
      <c r="C503" s="734"/>
      <c r="D503" s="731"/>
      <c r="E503" s="731"/>
      <c r="F503" s="734"/>
      <c r="G503" s="731"/>
      <c r="H503" s="731"/>
      <c r="I503" s="734"/>
      <c r="J503" s="731"/>
      <c r="K503" s="731"/>
      <c r="L503" s="734"/>
      <c r="M503" s="731"/>
      <c r="N503" s="731"/>
      <c r="O503" s="730"/>
      <c r="P503" s="731"/>
      <c r="Q503" s="731"/>
      <c r="R503" s="734"/>
      <c r="S503" s="731"/>
      <c r="T503" s="731"/>
      <c r="U503" s="734"/>
      <c r="V503" s="731"/>
      <c r="W503" s="731"/>
      <c r="X503" s="734"/>
      <c r="Y503" s="731"/>
      <c r="Z503" s="731"/>
    </row>
    <row r="504">
      <c r="C504" s="734"/>
      <c r="D504" s="731"/>
      <c r="E504" s="731"/>
      <c r="F504" s="734"/>
      <c r="G504" s="731"/>
      <c r="H504" s="731"/>
      <c r="I504" s="734"/>
      <c r="J504" s="731"/>
      <c r="K504" s="731"/>
      <c r="L504" s="734"/>
      <c r="M504" s="731"/>
      <c r="N504" s="731"/>
      <c r="O504" s="730"/>
      <c r="P504" s="731"/>
      <c r="Q504" s="731"/>
      <c r="R504" s="734"/>
      <c r="S504" s="731"/>
      <c r="T504" s="731"/>
      <c r="U504" s="734"/>
      <c r="V504" s="731"/>
      <c r="W504" s="731"/>
      <c r="X504" s="734"/>
      <c r="Y504" s="731"/>
      <c r="Z504" s="731"/>
    </row>
    <row r="505">
      <c r="C505" s="734"/>
      <c r="D505" s="731"/>
      <c r="E505" s="731"/>
      <c r="F505" s="734"/>
      <c r="G505" s="731"/>
      <c r="H505" s="731"/>
      <c r="I505" s="734"/>
      <c r="J505" s="731"/>
      <c r="K505" s="731"/>
      <c r="L505" s="734"/>
      <c r="M505" s="731"/>
      <c r="N505" s="731"/>
      <c r="O505" s="730"/>
      <c r="P505" s="731"/>
      <c r="Q505" s="731"/>
      <c r="R505" s="734"/>
      <c r="S505" s="731"/>
      <c r="T505" s="731"/>
      <c r="U505" s="734"/>
      <c r="V505" s="731"/>
      <c r="W505" s="731"/>
      <c r="X505" s="734"/>
      <c r="Y505" s="731"/>
      <c r="Z505" s="731"/>
    </row>
    <row r="506">
      <c r="C506" s="734"/>
      <c r="D506" s="731"/>
      <c r="E506" s="731"/>
      <c r="F506" s="734"/>
      <c r="G506" s="731"/>
      <c r="H506" s="731"/>
      <c r="I506" s="734"/>
      <c r="J506" s="731"/>
      <c r="K506" s="731"/>
      <c r="L506" s="734"/>
      <c r="M506" s="731"/>
      <c r="N506" s="731"/>
      <c r="O506" s="730"/>
      <c r="P506" s="731"/>
      <c r="Q506" s="731"/>
      <c r="R506" s="734"/>
      <c r="S506" s="731"/>
      <c r="T506" s="731"/>
      <c r="U506" s="734"/>
      <c r="V506" s="731"/>
      <c r="W506" s="731"/>
      <c r="X506" s="734"/>
      <c r="Y506" s="731"/>
      <c r="Z506" s="731"/>
    </row>
    <row r="507">
      <c r="C507" s="734"/>
      <c r="D507" s="731"/>
      <c r="E507" s="731"/>
      <c r="F507" s="734"/>
      <c r="G507" s="731"/>
      <c r="H507" s="731"/>
      <c r="I507" s="734"/>
      <c r="J507" s="731"/>
      <c r="K507" s="731"/>
      <c r="L507" s="734"/>
      <c r="M507" s="731"/>
      <c r="N507" s="731"/>
      <c r="O507" s="730"/>
      <c r="P507" s="731"/>
      <c r="Q507" s="731"/>
      <c r="R507" s="734"/>
      <c r="S507" s="731"/>
      <c r="T507" s="731"/>
      <c r="U507" s="734"/>
      <c r="V507" s="731"/>
      <c r="W507" s="731"/>
      <c r="X507" s="734"/>
      <c r="Y507" s="731"/>
      <c r="Z507" s="731"/>
    </row>
    <row r="508">
      <c r="C508" s="734"/>
      <c r="D508" s="731"/>
      <c r="E508" s="731"/>
      <c r="F508" s="734"/>
      <c r="G508" s="731"/>
      <c r="H508" s="731"/>
      <c r="I508" s="734"/>
      <c r="J508" s="731"/>
      <c r="K508" s="731"/>
      <c r="L508" s="734"/>
      <c r="M508" s="731"/>
      <c r="N508" s="731"/>
      <c r="O508" s="730"/>
      <c r="P508" s="731"/>
      <c r="Q508" s="731"/>
      <c r="R508" s="734"/>
      <c r="S508" s="731"/>
      <c r="T508" s="731"/>
      <c r="U508" s="734"/>
      <c r="V508" s="731"/>
      <c r="W508" s="731"/>
      <c r="X508" s="734"/>
      <c r="Y508" s="731"/>
      <c r="Z508" s="731"/>
    </row>
    <row r="509">
      <c r="C509" s="734"/>
      <c r="D509" s="731"/>
      <c r="E509" s="731"/>
      <c r="F509" s="734"/>
      <c r="G509" s="731"/>
      <c r="H509" s="731"/>
      <c r="I509" s="734"/>
      <c r="J509" s="731"/>
      <c r="K509" s="731"/>
      <c r="L509" s="734"/>
      <c r="M509" s="731"/>
      <c r="N509" s="731"/>
      <c r="O509" s="730"/>
      <c r="P509" s="731"/>
      <c r="Q509" s="731"/>
      <c r="R509" s="734"/>
      <c r="S509" s="731"/>
      <c r="T509" s="731"/>
      <c r="U509" s="734"/>
      <c r="V509" s="731"/>
      <c r="W509" s="731"/>
      <c r="X509" s="734"/>
      <c r="Y509" s="731"/>
      <c r="Z509" s="731"/>
    </row>
    <row r="510">
      <c r="C510" s="734"/>
      <c r="D510" s="731"/>
      <c r="E510" s="731"/>
      <c r="F510" s="734"/>
      <c r="G510" s="731"/>
      <c r="H510" s="731"/>
      <c r="I510" s="734"/>
      <c r="J510" s="731"/>
      <c r="K510" s="731"/>
      <c r="L510" s="734"/>
      <c r="M510" s="731"/>
      <c r="N510" s="731"/>
      <c r="O510" s="730"/>
      <c r="P510" s="731"/>
      <c r="Q510" s="731"/>
      <c r="R510" s="734"/>
      <c r="S510" s="731"/>
      <c r="T510" s="731"/>
      <c r="U510" s="734"/>
      <c r="V510" s="731"/>
      <c r="W510" s="731"/>
      <c r="X510" s="734"/>
      <c r="Y510" s="731"/>
      <c r="Z510" s="731"/>
    </row>
    <row r="511">
      <c r="C511" s="734"/>
      <c r="D511" s="731"/>
      <c r="E511" s="731"/>
      <c r="F511" s="734"/>
      <c r="G511" s="731"/>
      <c r="H511" s="731"/>
      <c r="I511" s="734"/>
      <c r="J511" s="731"/>
      <c r="K511" s="731"/>
      <c r="L511" s="734"/>
      <c r="M511" s="731"/>
      <c r="N511" s="731"/>
      <c r="O511" s="730"/>
      <c r="P511" s="731"/>
      <c r="Q511" s="731"/>
      <c r="R511" s="734"/>
      <c r="S511" s="731"/>
      <c r="T511" s="731"/>
      <c r="U511" s="734"/>
      <c r="V511" s="731"/>
      <c r="W511" s="731"/>
      <c r="X511" s="734"/>
      <c r="Y511" s="731"/>
      <c r="Z511" s="731"/>
    </row>
    <row r="512">
      <c r="C512" s="734"/>
      <c r="D512" s="731"/>
      <c r="E512" s="731"/>
      <c r="F512" s="734"/>
      <c r="G512" s="731"/>
      <c r="H512" s="731"/>
      <c r="I512" s="734"/>
      <c r="J512" s="731"/>
      <c r="K512" s="731"/>
      <c r="L512" s="734"/>
      <c r="M512" s="731"/>
      <c r="N512" s="731"/>
      <c r="O512" s="730"/>
      <c r="P512" s="731"/>
      <c r="Q512" s="731"/>
      <c r="R512" s="734"/>
      <c r="S512" s="731"/>
      <c r="T512" s="731"/>
      <c r="U512" s="734"/>
      <c r="V512" s="731"/>
      <c r="W512" s="731"/>
      <c r="X512" s="734"/>
      <c r="Y512" s="731"/>
      <c r="Z512" s="731"/>
    </row>
    <row r="513">
      <c r="C513" s="734"/>
      <c r="D513" s="731"/>
      <c r="E513" s="731"/>
      <c r="F513" s="734"/>
      <c r="G513" s="731"/>
      <c r="H513" s="731"/>
      <c r="I513" s="734"/>
      <c r="J513" s="731"/>
      <c r="K513" s="731"/>
      <c r="L513" s="734"/>
      <c r="M513" s="731"/>
      <c r="N513" s="731"/>
      <c r="O513" s="730"/>
      <c r="P513" s="731"/>
      <c r="Q513" s="731"/>
      <c r="R513" s="734"/>
      <c r="S513" s="731"/>
      <c r="T513" s="731"/>
      <c r="U513" s="734"/>
      <c r="V513" s="731"/>
      <c r="W513" s="731"/>
      <c r="X513" s="734"/>
      <c r="Y513" s="731"/>
      <c r="Z513" s="731"/>
    </row>
    <row r="514">
      <c r="C514" s="734"/>
      <c r="D514" s="731"/>
      <c r="E514" s="731"/>
      <c r="F514" s="734"/>
      <c r="G514" s="731"/>
      <c r="H514" s="731"/>
      <c r="I514" s="734"/>
      <c r="J514" s="731"/>
      <c r="K514" s="731"/>
      <c r="L514" s="734"/>
      <c r="M514" s="731"/>
      <c r="N514" s="731"/>
      <c r="O514" s="730"/>
      <c r="P514" s="731"/>
      <c r="Q514" s="731"/>
      <c r="R514" s="734"/>
      <c r="S514" s="731"/>
      <c r="T514" s="731"/>
      <c r="U514" s="734"/>
      <c r="V514" s="731"/>
      <c r="W514" s="731"/>
      <c r="X514" s="734"/>
      <c r="Y514" s="731"/>
      <c r="Z514" s="731"/>
    </row>
    <row r="515">
      <c r="C515" s="734"/>
      <c r="D515" s="731"/>
      <c r="E515" s="731"/>
      <c r="F515" s="734"/>
      <c r="G515" s="731"/>
      <c r="H515" s="731"/>
      <c r="I515" s="734"/>
      <c r="J515" s="731"/>
      <c r="K515" s="731"/>
      <c r="L515" s="734"/>
      <c r="M515" s="731"/>
      <c r="N515" s="731"/>
      <c r="O515" s="730"/>
      <c r="P515" s="731"/>
      <c r="Q515" s="731"/>
      <c r="R515" s="734"/>
      <c r="S515" s="731"/>
      <c r="T515" s="731"/>
      <c r="U515" s="734"/>
      <c r="V515" s="731"/>
      <c r="W515" s="731"/>
      <c r="X515" s="734"/>
      <c r="Y515" s="731"/>
      <c r="Z515" s="731"/>
    </row>
    <row r="516">
      <c r="C516" s="734"/>
      <c r="D516" s="731"/>
      <c r="E516" s="731"/>
      <c r="F516" s="734"/>
      <c r="G516" s="731"/>
      <c r="H516" s="731"/>
      <c r="I516" s="734"/>
      <c r="J516" s="731"/>
      <c r="K516" s="731"/>
      <c r="L516" s="734"/>
      <c r="M516" s="731"/>
      <c r="N516" s="731"/>
      <c r="O516" s="730"/>
      <c r="P516" s="731"/>
      <c r="Q516" s="731"/>
      <c r="R516" s="734"/>
      <c r="S516" s="731"/>
      <c r="T516" s="731"/>
      <c r="U516" s="734"/>
      <c r="V516" s="731"/>
      <c r="W516" s="731"/>
      <c r="X516" s="734"/>
      <c r="Y516" s="731"/>
      <c r="Z516" s="731"/>
    </row>
    <row r="517">
      <c r="C517" s="734"/>
      <c r="D517" s="731"/>
      <c r="E517" s="731"/>
      <c r="F517" s="734"/>
      <c r="G517" s="731"/>
      <c r="H517" s="731"/>
      <c r="I517" s="734"/>
      <c r="J517" s="731"/>
      <c r="K517" s="731"/>
      <c r="L517" s="734"/>
      <c r="M517" s="731"/>
      <c r="N517" s="731"/>
      <c r="O517" s="730"/>
      <c r="P517" s="731"/>
      <c r="Q517" s="731"/>
      <c r="R517" s="734"/>
      <c r="S517" s="731"/>
      <c r="T517" s="731"/>
      <c r="U517" s="734"/>
      <c r="V517" s="731"/>
      <c r="W517" s="731"/>
      <c r="X517" s="734"/>
      <c r="Y517" s="731"/>
      <c r="Z517" s="731"/>
    </row>
    <row r="518">
      <c r="C518" s="734"/>
      <c r="D518" s="731"/>
      <c r="E518" s="731"/>
      <c r="F518" s="734"/>
      <c r="G518" s="731"/>
      <c r="H518" s="731"/>
      <c r="I518" s="734"/>
      <c r="J518" s="731"/>
      <c r="K518" s="731"/>
      <c r="L518" s="734"/>
      <c r="M518" s="731"/>
      <c r="N518" s="731"/>
      <c r="O518" s="730"/>
      <c r="P518" s="731"/>
      <c r="Q518" s="731"/>
      <c r="R518" s="734"/>
      <c r="S518" s="731"/>
      <c r="T518" s="731"/>
      <c r="U518" s="734"/>
      <c r="V518" s="731"/>
      <c r="W518" s="731"/>
      <c r="X518" s="734"/>
      <c r="Y518" s="731"/>
      <c r="Z518" s="731"/>
    </row>
    <row r="519">
      <c r="C519" s="734"/>
      <c r="D519" s="731"/>
      <c r="E519" s="731"/>
      <c r="F519" s="734"/>
      <c r="G519" s="731"/>
      <c r="H519" s="731"/>
      <c r="I519" s="734"/>
      <c r="J519" s="731"/>
      <c r="K519" s="731"/>
      <c r="L519" s="734"/>
      <c r="M519" s="731"/>
      <c r="N519" s="731"/>
      <c r="O519" s="730"/>
      <c r="P519" s="731"/>
      <c r="Q519" s="731"/>
      <c r="R519" s="734"/>
      <c r="S519" s="731"/>
      <c r="T519" s="731"/>
      <c r="U519" s="734"/>
      <c r="V519" s="731"/>
      <c r="W519" s="731"/>
      <c r="X519" s="734"/>
      <c r="Y519" s="731"/>
      <c r="Z519" s="731"/>
    </row>
    <row r="520">
      <c r="C520" s="734"/>
      <c r="D520" s="731"/>
      <c r="E520" s="731"/>
      <c r="F520" s="734"/>
      <c r="G520" s="731"/>
      <c r="H520" s="731"/>
      <c r="I520" s="734"/>
      <c r="J520" s="731"/>
      <c r="K520" s="731"/>
      <c r="L520" s="734"/>
      <c r="M520" s="731"/>
      <c r="N520" s="731"/>
      <c r="O520" s="730"/>
      <c r="P520" s="731"/>
      <c r="Q520" s="731"/>
      <c r="R520" s="734"/>
      <c r="S520" s="731"/>
      <c r="T520" s="731"/>
      <c r="U520" s="734"/>
      <c r="V520" s="731"/>
      <c r="W520" s="731"/>
      <c r="X520" s="734"/>
      <c r="Y520" s="731"/>
      <c r="Z520" s="731"/>
    </row>
    <row r="521">
      <c r="C521" s="734"/>
      <c r="D521" s="731"/>
      <c r="E521" s="731"/>
      <c r="F521" s="734"/>
      <c r="G521" s="731"/>
      <c r="H521" s="731"/>
      <c r="I521" s="734"/>
      <c r="J521" s="731"/>
      <c r="K521" s="731"/>
      <c r="L521" s="734"/>
      <c r="M521" s="731"/>
      <c r="N521" s="731"/>
      <c r="O521" s="730"/>
      <c r="P521" s="731"/>
      <c r="Q521" s="731"/>
      <c r="R521" s="734"/>
      <c r="S521" s="731"/>
      <c r="T521" s="731"/>
      <c r="U521" s="734"/>
      <c r="V521" s="731"/>
      <c r="W521" s="731"/>
      <c r="X521" s="734"/>
      <c r="Y521" s="731"/>
      <c r="Z521" s="731"/>
    </row>
    <row r="522">
      <c r="C522" s="734"/>
      <c r="D522" s="731"/>
      <c r="E522" s="731"/>
      <c r="F522" s="734"/>
      <c r="G522" s="731"/>
      <c r="H522" s="731"/>
      <c r="I522" s="734"/>
      <c r="J522" s="731"/>
      <c r="K522" s="731"/>
      <c r="L522" s="734"/>
      <c r="M522" s="731"/>
      <c r="N522" s="731"/>
      <c r="O522" s="730"/>
      <c r="P522" s="731"/>
      <c r="Q522" s="731"/>
      <c r="R522" s="734"/>
      <c r="S522" s="731"/>
      <c r="T522" s="731"/>
      <c r="U522" s="734"/>
      <c r="V522" s="731"/>
      <c r="W522" s="731"/>
      <c r="X522" s="734"/>
      <c r="Y522" s="731"/>
      <c r="Z522" s="731"/>
    </row>
    <row r="523">
      <c r="C523" s="734"/>
      <c r="D523" s="731"/>
      <c r="E523" s="731"/>
      <c r="F523" s="734"/>
      <c r="G523" s="731"/>
      <c r="H523" s="731"/>
      <c r="I523" s="734"/>
      <c r="J523" s="731"/>
      <c r="K523" s="731"/>
      <c r="L523" s="734"/>
      <c r="M523" s="731"/>
      <c r="N523" s="731"/>
      <c r="O523" s="730"/>
      <c r="P523" s="731"/>
      <c r="Q523" s="731"/>
      <c r="R523" s="734"/>
      <c r="S523" s="731"/>
      <c r="T523" s="731"/>
      <c r="U523" s="734"/>
      <c r="V523" s="731"/>
      <c r="W523" s="731"/>
      <c r="X523" s="734"/>
      <c r="Y523" s="731"/>
      <c r="Z523" s="731"/>
    </row>
    <row r="524">
      <c r="C524" s="734"/>
      <c r="D524" s="731"/>
      <c r="E524" s="731"/>
      <c r="F524" s="734"/>
      <c r="G524" s="731"/>
      <c r="H524" s="731"/>
      <c r="I524" s="734"/>
      <c r="J524" s="731"/>
      <c r="K524" s="731"/>
      <c r="L524" s="734"/>
      <c r="M524" s="731"/>
      <c r="N524" s="731"/>
      <c r="O524" s="730"/>
      <c r="P524" s="731"/>
      <c r="Q524" s="731"/>
      <c r="R524" s="734"/>
      <c r="S524" s="731"/>
      <c r="T524" s="731"/>
      <c r="U524" s="734"/>
      <c r="V524" s="731"/>
      <c r="W524" s="731"/>
      <c r="X524" s="734"/>
      <c r="Y524" s="731"/>
      <c r="Z524" s="731"/>
    </row>
    <row r="525">
      <c r="C525" s="734"/>
      <c r="D525" s="731"/>
      <c r="E525" s="731"/>
      <c r="F525" s="734"/>
      <c r="G525" s="731"/>
      <c r="H525" s="731"/>
      <c r="I525" s="734"/>
      <c r="J525" s="731"/>
      <c r="K525" s="731"/>
      <c r="L525" s="734"/>
      <c r="M525" s="731"/>
      <c r="N525" s="731"/>
      <c r="O525" s="730"/>
      <c r="P525" s="731"/>
      <c r="Q525" s="731"/>
      <c r="R525" s="734"/>
      <c r="S525" s="731"/>
      <c r="T525" s="731"/>
      <c r="U525" s="734"/>
      <c r="V525" s="731"/>
      <c r="W525" s="731"/>
      <c r="X525" s="734"/>
      <c r="Y525" s="731"/>
      <c r="Z525" s="731"/>
    </row>
    <row r="526">
      <c r="C526" s="734"/>
      <c r="D526" s="731"/>
      <c r="E526" s="731"/>
      <c r="F526" s="734"/>
      <c r="G526" s="731"/>
      <c r="H526" s="731"/>
      <c r="I526" s="734"/>
      <c r="J526" s="731"/>
      <c r="K526" s="731"/>
      <c r="L526" s="734"/>
      <c r="M526" s="731"/>
      <c r="N526" s="731"/>
      <c r="O526" s="730"/>
      <c r="P526" s="731"/>
      <c r="Q526" s="731"/>
      <c r="R526" s="734"/>
      <c r="S526" s="731"/>
      <c r="T526" s="731"/>
      <c r="U526" s="734"/>
      <c r="V526" s="731"/>
      <c r="W526" s="731"/>
      <c r="X526" s="734"/>
      <c r="Y526" s="731"/>
      <c r="Z526" s="731"/>
    </row>
    <row r="527">
      <c r="C527" s="734"/>
      <c r="D527" s="731"/>
      <c r="E527" s="731"/>
      <c r="F527" s="734"/>
      <c r="G527" s="731"/>
      <c r="H527" s="731"/>
      <c r="I527" s="734"/>
      <c r="J527" s="731"/>
      <c r="K527" s="731"/>
      <c r="L527" s="734"/>
      <c r="M527" s="731"/>
      <c r="N527" s="731"/>
      <c r="O527" s="730"/>
      <c r="P527" s="731"/>
      <c r="Q527" s="731"/>
      <c r="R527" s="734"/>
      <c r="S527" s="731"/>
      <c r="T527" s="731"/>
      <c r="U527" s="734"/>
      <c r="V527" s="731"/>
      <c r="W527" s="731"/>
      <c r="X527" s="734"/>
      <c r="Y527" s="731"/>
      <c r="Z527" s="731"/>
    </row>
    <row r="528">
      <c r="C528" s="734"/>
      <c r="D528" s="731"/>
      <c r="E528" s="731"/>
      <c r="F528" s="734"/>
      <c r="G528" s="731"/>
      <c r="H528" s="731"/>
      <c r="I528" s="734"/>
      <c r="J528" s="731"/>
      <c r="K528" s="731"/>
      <c r="L528" s="734"/>
      <c r="M528" s="731"/>
      <c r="N528" s="731"/>
      <c r="O528" s="730"/>
      <c r="P528" s="731"/>
      <c r="Q528" s="731"/>
      <c r="R528" s="734"/>
      <c r="S528" s="731"/>
      <c r="T528" s="731"/>
      <c r="U528" s="734"/>
      <c r="V528" s="731"/>
      <c r="W528" s="731"/>
      <c r="X528" s="734"/>
      <c r="Y528" s="731"/>
      <c r="Z528" s="731"/>
    </row>
    <row r="529">
      <c r="C529" s="734"/>
      <c r="D529" s="731"/>
      <c r="E529" s="731"/>
      <c r="F529" s="734"/>
      <c r="G529" s="731"/>
      <c r="H529" s="731"/>
      <c r="I529" s="734"/>
      <c r="J529" s="731"/>
      <c r="K529" s="731"/>
      <c r="L529" s="734"/>
      <c r="M529" s="731"/>
      <c r="N529" s="731"/>
      <c r="O529" s="730"/>
      <c r="P529" s="731"/>
      <c r="Q529" s="731"/>
      <c r="R529" s="734"/>
      <c r="S529" s="731"/>
      <c r="T529" s="731"/>
      <c r="U529" s="734"/>
      <c r="V529" s="731"/>
      <c r="W529" s="731"/>
      <c r="X529" s="734"/>
      <c r="Y529" s="731"/>
      <c r="Z529" s="731"/>
    </row>
    <row r="530">
      <c r="C530" s="734"/>
      <c r="D530" s="731"/>
      <c r="E530" s="731"/>
      <c r="F530" s="734"/>
      <c r="G530" s="731"/>
      <c r="H530" s="731"/>
      <c r="I530" s="734"/>
      <c r="J530" s="731"/>
      <c r="K530" s="731"/>
      <c r="L530" s="734"/>
      <c r="M530" s="731"/>
      <c r="N530" s="731"/>
      <c r="O530" s="730"/>
      <c r="P530" s="731"/>
      <c r="Q530" s="731"/>
      <c r="R530" s="734"/>
      <c r="S530" s="731"/>
      <c r="T530" s="731"/>
      <c r="U530" s="734"/>
      <c r="V530" s="731"/>
      <c r="W530" s="731"/>
      <c r="X530" s="734"/>
      <c r="Y530" s="731"/>
      <c r="Z530" s="731"/>
    </row>
    <row r="531">
      <c r="C531" s="734"/>
      <c r="D531" s="731"/>
      <c r="E531" s="731"/>
      <c r="F531" s="734"/>
      <c r="G531" s="731"/>
      <c r="H531" s="731"/>
      <c r="I531" s="734"/>
      <c r="J531" s="731"/>
      <c r="K531" s="731"/>
      <c r="L531" s="734"/>
      <c r="M531" s="731"/>
      <c r="N531" s="731"/>
      <c r="O531" s="730"/>
      <c r="P531" s="731"/>
      <c r="Q531" s="731"/>
      <c r="R531" s="734"/>
      <c r="S531" s="731"/>
      <c r="T531" s="731"/>
      <c r="U531" s="734"/>
      <c r="V531" s="731"/>
      <c r="W531" s="731"/>
      <c r="X531" s="734"/>
      <c r="Y531" s="731"/>
      <c r="Z531" s="731"/>
    </row>
    <row r="532">
      <c r="C532" s="734"/>
      <c r="D532" s="731"/>
      <c r="E532" s="731"/>
      <c r="F532" s="734"/>
      <c r="G532" s="731"/>
      <c r="H532" s="731"/>
      <c r="I532" s="734"/>
      <c r="J532" s="731"/>
      <c r="K532" s="731"/>
      <c r="L532" s="734"/>
      <c r="M532" s="731"/>
      <c r="N532" s="731"/>
      <c r="O532" s="730"/>
      <c r="P532" s="731"/>
      <c r="Q532" s="731"/>
      <c r="R532" s="734"/>
      <c r="S532" s="731"/>
      <c r="T532" s="731"/>
      <c r="U532" s="734"/>
      <c r="V532" s="731"/>
      <c r="W532" s="731"/>
      <c r="X532" s="734"/>
      <c r="Y532" s="731"/>
      <c r="Z532" s="731"/>
    </row>
    <row r="533">
      <c r="C533" s="734"/>
      <c r="D533" s="731"/>
      <c r="E533" s="731"/>
      <c r="F533" s="734"/>
      <c r="G533" s="731"/>
      <c r="H533" s="731"/>
      <c r="I533" s="734"/>
      <c r="J533" s="731"/>
      <c r="K533" s="731"/>
      <c r="L533" s="734"/>
      <c r="M533" s="731"/>
      <c r="N533" s="731"/>
      <c r="O533" s="730"/>
      <c r="P533" s="731"/>
      <c r="Q533" s="731"/>
      <c r="R533" s="734"/>
      <c r="S533" s="731"/>
      <c r="T533" s="731"/>
      <c r="U533" s="734"/>
      <c r="V533" s="731"/>
      <c r="W533" s="731"/>
      <c r="X533" s="734"/>
      <c r="Y533" s="731"/>
      <c r="Z533" s="731"/>
    </row>
    <row r="534">
      <c r="C534" s="734"/>
      <c r="D534" s="731"/>
      <c r="E534" s="731"/>
      <c r="F534" s="734"/>
      <c r="G534" s="731"/>
      <c r="H534" s="731"/>
      <c r="I534" s="734"/>
      <c r="J534" s="731"/>
      <c r="K534" s="731"/>
      <c r="L534" s="734"/>
      <c r="M534" s="731"/>
      <c r="N534" s="731"/>
      <c r="O534" s="730"/>
      <c r="P534" s="731"/>
      <c r="Q534" s="731"/>
      <c r="R534" s="734"/>
      <c r="S534" s="731"/>
      <c r="T534" s="731"/>
      <c r="U534" s="734"/>
      <c r="V534" s="731"/>
      <c r="W534" s="731"/>
      <c r="X534" s="734"/>
      <c r="Y534" s="731"/>
      <c r="Z534" s="731"/>
    </row>
    <row r="535">
      <c r="C535" s="734"/>
      <c r="D535" s="731"/>
      <c r="E535" s="731"/>
      <c r="F535" s="734"/>
      <c r="G535" s="731"/>
      <c r="H535" s="731"/>
      <c r="I535" s="734"/>
      <c r="J535" s="731"/>
      <c r="K535" s="731"/>
      <c r="L535" s="734"/>
      <c r="M535" s="731"/>
      <c r="N535" s="731"/>
      <c r="O535" s="730"/>
      <c r="P535" s="731"/>
      <c r="Q535" s="731"/>
      <c r="R535" s="734"/>
      <c r="S535" s="731"/>
      <c r="T535" s="731"/>
      <c r="U535" s="734"/>
      <c r="V535" s="731"/>
      <c r="W535" s="731"/>
      <c r="X535" s="734"/>
      <c r="Y535" s="731"/>
      <c r="Z535" s="731"/>
    </row>
    <row r="536">
      <c r="C536" s="734"/>
      <c r="D536" s="731"/>
      <c r="E536" s="731"/>
      <c r="F536" s="734"/>
      <c r="G536" s="731"/>
      <c r="H536" s="731"/>
      <c r="I536" s="734"/>
      <c r="J536" s="731"/>
      <c r="K536" s="731"/>
      <c r="L536" s="734"/>
      <c r="M536" s="731"/>
      <c r="N536" s="731"/>
      <c r="O536" s="730"/>
      <c r="P536" s="731"/>
      <c r="Q536" s="731"/>
      <c r="R536" s="734"/>
      <c r="S536" s="731"/>
      <c r="T536" s="731"/>
      <c r="U536" s="734"/>
      <c r="V536" s="731"/>
      <c r="W536" s="731"/>
      <c r="X536" s="734"/>
      <c r="Y536" s="731"/>
      <c r="Z536" s="731"/>
    </row>
    <row r="537">
      <c r="C537" s="734"/>
      <c r="D537" s="731"/>
      <c r="E537" s="731"/>
      <c r="F537" s="734"/>
      <c r="G537" s="731"/>
      <c r="H537" s="731"/>
      <c r="I537" s="734"/>
      <c r="J537" s="731"/>
      <c r="K537" s="731"/>
      <c r="L537" s="734"/>
      <c r="M537" s="731"/>
      <c r="N537" s="731"/>
      <c r="O537" s="730"/>
      <c r="P537" s="731"/>
      <c r="Q537" s="731"/>
      <c r="R537" s="734"/>
      <c r="S537" s="731"/>
      <c r="T537" s="731"/>
      <c r="U537" s="734"/>
      <c r="V537" s="731"/>
      <c r="W537" s="731"/>
      <c r="X537" s="734"/>
      <c r="Y537" s="731"/>
      <c r="Z537" s="731"/>
    </row>
    <row r="538">
      <c r="C538" s="734"/>
      <c r="D538" s="731"/>
      <c r="E538" s="731"/>
      <c r="F538" s="734"/>
      <c r="G538" s="731"/>
      <c r="H538" s="731"/>
      <c r="I538" s="734"/>
      <c r="J538" s="731"/>
      <c r="K538" s="731"/>
      <c r="L538" s="734"/>
      <c r="M538" s="731"/>
      <c r="N538" s="731"/>
      <c r="O538" s="730"/>
      <c r="P538" s="731"/>
      <c r="Q538" s="731"/>
      <c r="R538" s="734"/>
      <c r="S538" s="731"/>
      <c r="T538" s="731"/>
      <c r="U538" s="734"/>
      <c r="V538" s="731"/>
      <c r="W538" s="731"/>
      <c r="X538" s="734"/>
      <c r="Y538" s="731"/>
      <c r="Z538" s="731"/>
    </row>
    <row r="539">
      <c r="C539" s="734"/>
      <c r="D539" s="731"/>
      <c r="E539" s="731"/>
      <c r="F539" s="734"/>
      <c r="G539" s="731"/>
      <c r="H539" s="731"/>
      <c r="I539" s="734"/>
      <c r="J539" s="731"/>
      <c r="K539" s="731"/>
      <c r="L539" s="734"/>
      <c r="M539" s="731"/>
      <c r="N539" s="731"/>
      <c r="O539" s="730"/>
      <c r="P539" s="731"/>
      <c r="Q539" s="731"/>
      <c r="R539" s="734"/>
      <c r="S539" s="731"/>
      <c r="T539" s="731"/>
      <c r="U539" s="734"/>
      <c r="V539" s="731"/>
      <c r="W539" s="731"/>
      <c r="X539" s="734"/>
      <c r="Y539" s="731"/>
      <c r="Z539" s="731"/>
    </row>
    <row r="540">
      <c r="C540" s="734"/>
      <c r="D540" s="731"/>
      <c r="E540" s="731"/>
      <c r="F540" s="734"/>
      <c r="G540" s="731"/>
      <c r="H540" s="731"/>
      <c r="I540" s="734"/>
      <c r="J540" s="731"/>
      <c r="K540" s="731"/>
      <c r="L540" s="734"/>
      <c r="M540" s="731"/>
      <c r="N540" s="731"/>
      <c r="O540" s="730"/>
      <c r="P540" s="731"/>
      <c r="Q540" s="731"/>
      <c r="R540" s="734"/>
      <c r="S540" s="731"/>
      <c r="T540" s="731"/>
      <c r="U540" s="734"/>
      <c r="V540" s="731"/>
      <c r="W540" s="731"/>
      <c r="X540" s="734"/>
      <c r="Y540" s="731"/>
      <c r="Z540" s="731"/>
    </row>
    <row r="541">
      <c r="C541" s="734"/>
      <c r="D541" s="731"/>
      <c r="E541" s="731"/>
      <c r="F541" s="734"/>
      <c r="G541" s="731"/>
      <c r="H541" s="731"/>
      <c r="I541" s="734"/>
      <c r="J541" s="731"/>
      <c r="K541" s="731"/>
      <c r="L541" s="734"/>
      <c r="M541" s="731"/>
      <c r="N541" s="731"/>
      <c r="O541" s="730"/>
      <c r="P541" s="731"/>
      <c r="Q541" s="731"/>
      <c r="R541" s="734"/>
      <c r="S541" s="731"/>
      <c r="T541" s="731"/>
      <c r="U541" s="734"/>
      <c r="V541" s="731"/>
      <c r="W541" s="731"/>
      <c r="X541" s="734"/>
      <c r="Y541" s="731"/>
      <c r="Z541" s="731"/>
    </row>
    <row r="542">
      <c r="C542" s="734"/>
      <c r="D542" s="731"/>
      <c r="E542" s="731"/>
      <c r="F542" s="734"/>
      <c r="G542" s="731"/>
      <c r="H542" s="731"/>
      <c r="I542" s="734"/>
      <c r="J542" s="731"/>
      <c r="K542" s="731"/>
      <c r="L542" s="734"/>
      <c r="M542" s="731"/>
      <c r="N542" s="731"/>
      <c r="O542" s="730"/>
      <c r="P542" s="731"/>
      <c r="Q542" s="731"/>
      <c r="R542" s="734"/>
      <c r="S542" s="731"/>
      <c r="T542" s="731"/>
      <c r="U542" s="734"/>
      <c r="V542" s="731"/>
      <c r="W542" s="731"/>
      <c r="X542" s="734"/>
      <c r="Y542" s="731"/>
      <c r="Z542" s="731"/>
    </row>
    <row r="543">
      <c r="C543" s="734"/>
      <c r="D543" s="731"/>
      <c r="E543" s="731"/>
      <c r="F543" s="734"/>
      <c r="G543" s="731"/>
      <c r="H543" s="731"/>
      <c r="I543" s="734"/>
      <c r="J543" s="731"/>
      <c r="K543" s="731"/>
      <c r="L543" s="734"/>
      <c r="M543" s="731"/>
      <c r="N543" s="731"/>
      <c r="O543" s="730"/>
      <c r="P543" s="731"/>
      <c r="Q543" s="731"/>
      <c r="R543" s="734"/>
      <c r="S543" s="731"/>
      <c r="T543" s="731"/>
      <c r="U543" s="734"/>
      <c r="V543" s="731"/>
      <c r="W543" s="731"/>
      <c r="X543" s="734"/>
      <c r="Y543" s="731"/>
      <c r="Z543" s="731"/>
    </row>
    <row r="544">
      <c r="C544" s="734"/>
      <c r="D544" s="731"/>
      <c r="E544" s="731"/>
      <c r="F544" s="734"/>
      <c r="G544" s="731"/>
      <c r="H544" s="731"/>
      <c r="I544" s="734"/>
      <c r="J544" s="731"/>
      <c r="K544" s="731"/>
      <c r="L544" s="734"/>
      <c r="M544" s="731"/>
      <c r="N544" s="731"/>
      <c r="O544" s="730"/>
      <c r="P544" s="731"/>
      <c r="Q544" s="731"/>
      <c r="R544" s="734"/>
      <c r="S544" s="731"/>
      <c r="T544" s="731"/>
      <c r="U544" s="734"/>
      <c r="V544" s="731"/>
      <c r="W544" s="731"/>
      <c r="X544" s="734"/>
      <c r="Y544" s="731"/>
      <c r="Z544" s="731"/>
    </row>
    <row r="545">
      <c r="C545" s="734"/>
      <c r="D545" s="731"/>
      <c r="E545" s="731"/>
      <c r="F545" s="734"/>
      <c r="G545" s="731"/>
      <c r="H545" s="731"/>
      <c r="I545" s="734"/>
      <c r="J545" s="731"/>
      <c r="K545" s="731"/>
      <c r="L545" s="734"/>
      <c r="M545" s="731"/>
      <c r="N545" s="731"/>
      <c r="O545" s="730"/>
      <c r="P545" s="731"/>
      <c r="Q545" s="731"/>
      <c r="R545" s="734"/>
      <c r="S545" s="731"/>
      <c r="T545" s="731"/>
      <c r="U545" s="734"/>
      <c r="V545" s="731"/>
      <c r="W545" s="731"/>
      <c r="X545" s="734"/>
      <c r="Y545" s="731"/>
      <c r="Z545" s="731"/>
    </row>
    <row r="546">
      <c r="C546" s="734"/>
      <c r="D546" s="731"/>
      <c r="E546" s="731"/>
      <c r="F546" s="734"/>
      <c r="G546" s="731"/>
      <c r="H546" s="731"/>
      <c r="I546" s="734"/>
      <c r="J546" s="731"/>
      <c r="K546" s="731"/>
      <c r="L546" s="734"/>
      <c r="M546" s="731"/>
      <c r="N546" s="731"/>
      <c r="O546" s="730"/>
      <c r="P546" s="731"/>
      <c r="Q546" s="731"/>
      <c r="R546" s="734"/>
      <c r="S546" s="731"/>
      <c r="T546" s="731"/>
      <c r="U546" s="734"/>
      <c r="V546" s="731"/>
      <c r="W546" s="731"/>
      <c r="X546" s="734"/>
      <c r="Y546" s="731"/>
      <c r="Z546" s="731"/>
    </row>
    <row r="547">
      <c r="C547" s="734"/>
      <c r="D547" s="731"/>
      <c r="E547" s="731"/>
      <c r="F547" s="734"/>
      <c r="G547" s="731"/>
      <c r="H547" s="731"/>
      <c r="I547" s="734"/>
      <c r="J547" s="731"/>
      <c r="K547" s="731"/>
      <c r="L547" s="734"/>
      <c r="M547" s="731"/>
      <c r="N547" s="731"/>
      <c r="O547" s="730"/>
      <c r="P547" s="731"/>
      <c r="Q547" s="731"/>
      <c r="R547" s="734"/>
      <c r="S547" s="731"/>
      <c r="T547" s="731"/>
      <c r="U547" s="734"/>
      <c r="V547" s="731"/>
      <c r="W547" s="731"/>
      <c r="X547" s="734"/>
      <c r="Y547" s="731"/>
      <c r="Z547" s="731"/>
    </row>
    <row r="548">
      <c r="C548" s="734"/>
      <c r="D548" s="731"/>
      <c r="E548" s="731"/>
      <c r="F548" s="734"/>
      <c r="G548" s="731"/>
      <c r="H548" s="731"/>
      <c r="I548" s="734"/>
      <c r="J548" s="731"/>
      <c r="K548" s="731"/>
      <c r="L548" s="734"/>
      <c r="M548" s="731"/>
      <c r="N548" s="731"/>
      <c r="O548" s="730"/>
      <c r="P548" s="731"/>
      <c r="Q548" s="731"/>
      <c r="R548" s="734"/>
      <c r="S548" s="731"/>
      <c r="T548" s="731"/>
      <c r="U548" s="734"/>
      <c r="V548" s="731"/>
      <c r="W548" s="731"/>
      <c r="X548" s="734"/>
      <c r="Y548" s="731"/>
      <c r="Z548" s="731"/>
    </row>
    <row r="549">
      <c r="C549" s="734"/>
      <c r="D549" s="731"/>
      <c r="E549" s="731"/>
      <c r="F549" s="734"/>
      <c r="G549" s="731"/>
      <c r="H549" s="731"/>
      <c r="I549" s="734"/>
      <c r="J549" s="731"/>
      <c r="K549" s="731"/>
      <c r="L549" s="734"/>
      <c r="M549" s="731"/>
      <c r="N549" s="731"/>
      <c r="O549" s="730"/>
      <c r="P549" s="731"/>
      <c r="Q549" s="731"/>
      <c r="R549" s="734"/>
      <c r="S549" s="731"/>
      <c r="T549" s="731"/>
      <c r="U549" s="734"/>
      <c r="V549" s="731"/>
      <c r="W549" s="731"/>
      <c r="X549" s="734"/>
      <c r="Y549" s="731"/>
      <c r="Z549" s="731"/>
    </row>
    <row r="550">
      <c r="C550" s="734"/>
      <c r="D550" s="731"/>
      <c r="E550" s="731"/>
      <c r="F550" s="734"/>
      <c r="G550" s="731"/>
      <c r="H550" s="731"/>
      <c r="I550" s="734"/>
      <c r="J550" s="731"/>
      <c r="K550" s="731"/>
      <c r="L550" s="734"/>
      <c r="M550" s="731"/>
      <c r="N550" s="731"/>
      <c r="O550" s="730"/>
      <c r="P550" s="731"/>
      <c r="Q550" s="731"/>
      <c r="R550" s="734"/>
      <c r="S550" s="731"/>
      <c r="T550" s="731"/>
      <c r="U550" s="734"/>
      <c r="V550" s="731"/>
      <c r="W550" s="731"/>
      <c r="X550" s="734"/>
      <c r="Y550" s="731"/>
      <c r="Z550" s="731"/>
    </row>
    <row r="551">
      <c r="C551" s="734"/>
      <c r="D551" s="731"/>
      <c r="E551" s="731"/>
      <c r="F551" s="734"/>
      <c r="G551" s="731"/>
      <c r="H551" s="731"/>
      <c r="I551" s="734"/>
      <c r="J551" s="731"/>
      <c r="K551" s="731"/>
      <c r="L551" s="734"/>
      <c r="M551" s="731"/>
      <c r="N551" s="731"/>
      <c r="O551" s="730"/>
      <c r="P551" s="731"/>
      <c r="Q551" s="731"/>
      <c r="R551" s="734"/>
      <c r="S551" s="731"/>
      <c r="T551" s="731"/>
      <c r="U551" s="734"/>
      <c r="V551" s="731"/>
      <c r="W551" s="731"/>
      <c r="X551" s="734"/>
      <c r="Y551" s="731"/>
      <c r="Z551" s="731"/>
    </row>
    <row r="552">
      <c r="C552" s="734"/>
      <c r="D552" s="731"/>
      <c r="E552" s="731"/>
      <c r="F552" s="734"/>
      <c r="G552" s="731"/>
      <c r="H552" s="731"/>
      <c r="I552" s="734"/>
      <c r="J552" s="731"/>
      <c r="K552" s="731"/>
      <c r="L552" s="734"/>
      <c r="M552" s="731"/>
      <c r="N552" s="731"/>
      <c r="O552" s="730"/>
      <c r="P552" s="731"/>
      <c r="Q552" s="731"/>
      <c r="R552" s="734"/>
      <c r="S552" s="731"/>
      <c r="T552" s="731"/>
      <c r="U552" s="734"/>
      <c r="V552" s="731"/>
      <c r="W552" s="731"/>
      <c r="X552" s="734"/>
      <c r="Y552" s="731"/>
      <c r="Z552" s="731"/>
    </row>
    <row r="553">
      <c r="C553" s="734"/>
      <c r="D553" s="731"/>
      <c r="E553" s="731"/>
      <c r="F553" s="734"/>
      <c r="G553" s="731"/>
      <c r="H553" s="731"/>
      <c r="I553" s="734"/>
      <c r="J553" s="731"/>
      <c r="K553" s="731"/>
      <c r="L553" s="734"/>
      <c r="M553" s="731"/>
      <c r="N553" s="731"/>
      <c r="O553" s="730"/>
      <c r="P553" s="731"/>
      <c r="Q553" s="731"/>
      <c r="R553" s="734"/>
      <c r="S553" s="731"/>
      <c r="T553" s="731"/>
      <c r="U553" s="734"/>
      <c r="V553" s="731"/>
      <c r="W553" s="731"/>
      <c r="X553" s="734"/>
      <c r="Y553" s="731"/>
      <c r="Z553" s="731"/>
    </row>
    <row r="554">
      <c r="C554" s="734"/>
      <c r="D554" s="731"/>
      <c r="E554" s="731"/>
      <c r="F554" s="734"/>
      <c r="G554" s="731"/>
      <c r="H554" s="731"/>
      <c r="I554" s="734"/>
      <c r="J554" s="731"/>
      <c r="K554" s="731"/>
      <c r="L554" s="734"/>
      <c r="M554" s="731"/>
      <c r="N554" s="731"/>
      <c r="O554" s="730"/>
      <c r="P554" s="731"/>
      <c r="Q554" s="731"/>
      <c r="R554" s="734"/>
      <c r="S554" s="731"/>
      <c r="T554" s="731"/>
      <c r="U554" s="734"/>
      <c r="V554" s="731"/>
      <c r="W554" s="731"/>
      <c r="X554" s="734"/>
      <c r="Y554" s="731"/>
      <c r="Z554" s="731"/>
    </row>
    <row r="555">
      <c r="C555" s="734"/>
      <c r="D555" s="731"/>
      <c r="E555" s="731"/>
      <c r="F555" s="734"/>
      <c r="G555" s="731"/>
      <c r="H555" s="731"/>
      <c r="I555" s="734"/>
      <c r="J555" s="731"/>
      <c r="K555" s="731"/>
      <c r="L555" s="734"/>
      <c r="M555" s="731"/>
      <c r="N555" s="731"/>
      <c r="O555" s="730"/>
      <c r="P555" s="731"/>
      <c r="Q555" s="731"/>
      <c r="R555" s="734"/>
      <c r="S555" s="731"/>
      <c r="T555" s="731"/>
      <c r="U555" s="734"/>
      <c r="V555" s="731"/>
      <c r="W555" s="731"/>
      <c r="X555" s="734"/>
      <c r="Y555" s="731"/>
      <c r="Z555" s="731"/>
    </row>
    <row r="556">
      <c r="C556" s="734"/>
      <c r="D556" s="731"/>
      <c r="E556" s="731"/>
      <c r="F556" s="734"/>
      <c r="G556" s="731"/>
      <c r="H556" s="731"/>
      <c r="I556" s="734"/>
      <c r="J556" s="731"/>
      <c r="K556" s="731"/>
      <c r="L556" s="734"/>
      <c r="M556" s="731"/>
      <c r="N556" s="731"/>
      <c r="O556" s="730"/>
      <c r="P556" s="731"/>
      <c r="Q556" s="731"/>
      <c r="R556" s="734"/>
      <c r="S556" s="731"/>
      <c r="T556" s="731"/>
      <c r="U556" s="734"/>
      <c r="V556" s="731"/>
      <c r="W556" s="731"/>
      <c r="X556" s="734"/>
      <c r="Y556" s="731"/>
      <c r="Z556" s="731"/>
    </row>
    <row r="557">
      <c r="C557" s="734"/>
      <c r="D557" s="731"/>
      <c r="E557" s="731"/>
      <c r="F557" s="734"/>
      <c r="G557" s="731"/>
      <c r="H557" s="731"/>
      <c r="I557" s="734"/>
      <c r="J557" s="731"/>
      <c r="K557" s="731"/>
      <c r="L557" s="734"/>
      <c r="M557" s="731"/>
      <c r="N557" s="731"/>
      <c r="O557" s="730"/>
      <c r="P557" s="731"/>
      <c r="Q557" s="731"/>
      <c r="R557" s="734"/>
      <c r="S557" s="731"/>
      <c r="T557" s="731"/>
      <c r="U557" s="734"/>
      <c r="V557" s="731"/>
      <c r="W557" s="731"/>
      <c r="X557" s="734"/>
      <c r="Y557" s="731"/>
      <c r="Z557" s="731"/>
    </row>
    <row r="558">
      <c r="C558" s="734"/>
      <c r="D558" s="731"/>
      <c r="E558" s="731"/>
      <c r="F558" s="734"/>
      <c r="G558" s="731"/>
      <c r="H558" s="731"/>
      <c r="I558" s="734"/>
      <c r="J558" s="731"/>
      <c r="K558" s="731"/>
      <c r="L558" s="734"/>
      <c r="M558" s="731"/>
      <c r="N558" s="731"/>
      <c r="O558" s="730"/>
      <c r="P558" s="731"/>
      <c r="Q558" s="731"/>
      <c r="R558" s="734"/>
      <c r="S558" s="731"/>
      <c r="T558" s="731"/>
      <c r="U558" s="734"/>
      <c r="V558" s="731"/>
      <c r="W558" s="731"/>
      <c r="X558" s="734"/>
      <c r="Y558" s="731"/>
      <c r="Z558" s="731"/>
    </row>
    <row r="559">
      <c r="C559" s="734"/>
      <c r="D559" s="731"/>
      <c r="E559" s="731"/>
      <c r="F559" s="734"/>
      <c r="G559" s="731"/>
      <c r="H559" s="731"/>
      <c r="I559" s="734"/>
      <c r="J559" s="731"/>
      <c r="K559" s="731"/>
      <c r="L559" s="734"/>
      <c r="M559" s="731"/>
      <c r="N559" s="731"/>
      <c r="O559" s="730"/>
      <c r="P559" s="731"/>
      <c r="Q559" s="731"/>
      <c r="R559" s="734"/>
      <c r="S559" s="731"/>
      <c r="T559" s="731"/>
      <c r="U559" s="734"/>
      <c r="V559" s="731"/>
      <c r="W559" s="731"/>
      <c r="X559" s="734"/>
      <c r="Y559" s="731"/>
      <c r="Z559" s="731"/>
    </row>
    <row r="560">
      <c r="C560" s="734"/>
      <c r="D560" s="731"/>
      <c r="E560" s="731"/>
      <c r="F560" s="734"/>
      <c r="G560" s="731"/>
      <c r="H560" s="731"/>
      <c r="I560" s="734"/>
      <c r="J560" s="731"/>
      <c r="K560" s="731"/>
      <c r="L560" s="734"/>
      <c r="M560" s="731"/>
      <c r="N560" s="731"/>
      <c r="O560" s="730"/>
      <c r="P560" s="731"/>
      <c r="Q560" s="731"/>
      <c r="R560" s="734"/>
      <c r="S560" s="731"/>
      <c r="T560" s="731"/>
      <c r="U560" s="734"/>
      <c r="V560" s="731"/>
      <c r="W560" s="731"/>
      <c r="X560" s="734"/>
      <c r="Y560" s="731"/>
      <c r="Z560" s="731"/>
    </row>
    <row r="561">
      <c r="C561" s="734"/>
      <c r="D561" s="731"/>
      <c r="E561" s="731"/>
      <c r="F561" s="734"/>
      <c r="G561" s="731"/>
      <c r="H561" s="731"/>
      <c r="I561" s="734"/>
      <c r="J561" s="731"/>
      <c r="K561" s="731"/>
      <c r="L561" s="734"/>
      <c r="M561" s="731"/>
      <c r="N561" s="731"/>
      <c r="O561" s="730"/>
      <c r="P561" s="731"/>
      <c r="Q561" s="731"/>
      <c r="R561" s="734"/>
      <c r="S561" s="731"/>
      <c r="T561" s="731"/>
      <c r="U561" s="734"/>
      <c r="V561" s="731"/>
      <c r="W561" s="731"/>
      <c r="X561" s="734"/>
      <c r="Y561" s="731"/>
      <c r="Z561" s="731"/>
    </row>
    <row r="562">
      <c r="C562" s="734"/>
      <c r="D562" s="731"/>
      <c r="E562" s="731"/>
      <c r="F562" s="734"/>
      <c r="G562" s="731"/>
      <c r="H562" s="731"/>
      <c r="I562" s="734"/>
      <c r="J562" s="731"/>
      <c r="K562" s="731"/>
      <c r="L562" s="734"/>
      <c r="M562" s="731"/>
      <c r="N562" s="731"/>
      <c r="O562" s="730"/>
      <c r="P562" s="731"/>
      <c r="Q562" s="731"/>
      <c r="R562" s="734"/>
      <c r="S562" s="731"/>
      <c r="T562" s="731"/>
      <c r="U562" s="734"/>
      <c r="V562" s="731"/>
      <c r="W562" s="731"/>
      <c r="X562" s="734"/>
      <c r="Y562" s="731"/>
      <c r="Z562" s="731"/>
    </row>
    <row r="563">
      <c r="C563" s="734"/>
      <c r="D563" s="731"/>
      <c r="E563" s="731"/>
      <c r="F563" s="734"/>
      <c r="G563" s="731"/>
      <c r="H563" s="731"/>
      <c r="I563" s="734"/>
      <c r="J563" s="731"/>
      <c r="K563" s="731"/>
      <c r="L563" s="734"/>
      <c r="M563" s="731"/>
      <c r="N563" s="731"/>
      <c r="O563" s="730"/>
      <c r="P563" s="731"/>
      <c r="Q563" s="731"/>
      <c r="R563" s="734"/>
      <c r="S563" s="731"/>
      <c r="T563" s="731"/>
      <c r="U563" s="734"/>
      <c r="V563" s="731"/>
      <c r="W563" s="731"/>
      <c r="X563" s="734"/>
      <c r="Y563" s="731"/>
      <c r="Z563" s="731"/>
    </row>
    <row r="564">
      <c r="C564" s="734"/>
      <c r="D564" s="731"/>
      <c r="E564" s="731"/>
      <c r="F564" s="734"/>
      <c r="G564" s="731"/>
      <c r="H564" s="731"/>
      <c r="I564" s="734"/>
      <c r="J564" s="731"/>
      <c r="K564" s="731"/>
      <c r="L564" s="734"/>
      <c r="M564" s="731"/>
      <c r="N564" s="731"/>
      <c r="O564" s="730"/>
      <c r="P564" s="731"/>
      <c r="Q564" s="731"/>
      <c r="R564" s="734"/>
      <c r="S564" s="731"/>
      <c r="T564" s="731"/>
      <c r="U564" s="734"/>
      <c r="V564" s="731"/>
      <c r="W564" s="731"/>
      <c r="X564" s="734"/>
      <c r="Y564" s="731"/>
      <c r="Z564" s="731"/>
    </row>
    <row r="565">
      <c r="C565" s="734"/>
      <c r="D565" s="731"/>
      <c r="E565" s="731"/>
      <c r="F565" s="734"/>
      <c r="G565" s="731"/>
      <c r="H565" s="731"/>
      <c r="I565" s="734"/>
      <c r="J565" s="731"/>
      <c r="K565" s="731"/>
      <c r="L565" s="734"/>
      <c r="M565" s="731"/>
      <c r="N565" s="731"/>
      <c r="O565" s="730"/>
      <c r="P565" s="731"/>
      <c r="Q565" s="731"/>
      <c r="R565" s="734"/>
      <c r="S565" s="731"/>
      <c r="T565" s="731"/>
      <c r="U565" s="734"/>
      <c r="V565" s="731"/>
      <c r="W565" s="731"/>
      <c r="X565" s="734"/>
      <c r="Y565" s="731"/>
      <c r="Z565" s="731"/>
    </row>
    <row r="566">
      <c r="C566" s="734"/>
      <c r="D566" s="731"/>
      <c r="E566" s="731"/>
      <c r="F566" s="734"/>
      <c r="G566" s="731"/>
      <c r="H566" s="731"/>
      <c r="I566" s="734"/>
      <c r="J566" s="731"/>
      <c r="K566" s="731"/>
      <c r="L566" s="734"/>
      <c r="M566" s="731"/>
      <c r="N566" s="731"/>
      <c r="O566" s="730"/>
      <c r="P566" s="731"/>
      <c r="Q566" s="731"/>
      <c r="R566" s="734"/>
      <c r="S566" s="731"/>
      <c r="T566" s="731"/>
      <c r="U566" s="734"/>
      <c r="V566" s="731"/>
      <c r="W566" s="731"/>
      <c r="X566" s="734"/>
      <c r="Y566" s="731"/>
      <c r="Z566" s="731"/>
    </row>
    <row r="567">
      <c r="C567" s="734"/>
      <c r="D567" s="731"/>
      <c r="E567" s="731"/>
      <c r="F567" s="734"/>
      <c r="G567" s="731"/>
      <c r="H567" s="731"/>
      <c r="I567" s="734"/>
      <c r="J567" s="731"/>
      <c r="K567" s="731"/>
      <c r="L567" s="734"/>
      <c r="M567" s="731"/>
      <c r="N567" s="731"/>
      <c r="O567" s="730"/>
      <c r="P567" s="731"/>
      <c r="Q567" s="731"/>
      <c r="R567" s="734"/>
      <c r="S567" s="731"/>
      <c r="T567" s="731"/>
      <c r="U567" s="734"/>
      <c r="V567" s="731"/>
      <c r="W567" s="731"/>
      <c r="X567" s="734"/>
      <c r="Y567" s="731"/>
      <c r="Z567" s="731"/>
    </row>
    <row r="568">
      <c r="C568" s="734"/>
      <c r="D568" s="731"/>
      <c r="E568" s="731"/>
      <c r="F568" s="734"/>
      <c r="G568" s="731"/>
      <c r="H568" s="731"/>
      <c r="I568" s="734"/>
      <c r="J568" s="731"/>
      <c r="K568" s="731"/>
      <c r="L568" s="734"/>
      <c r="M568" s="731"/>
      <c r="N568" s="731"/>
      <c r="O568" s="730"/>
      <c r="P568" s="731"/>
      <c r="Q568" s="731"/>
      <c r="R568" s="734"/>
      <c r="S568" s="731"/>
      <c r="T568" s="731"/>
      <c r="U568" s="734"/>
      <c r="V568" s="731"/>
      <c r="W568" s="731"/>
      <c r="X568" s="734"/>
      <c r="Y568" s="731"/>
      <c r="Z568" s="731"/>
    </row>
    <row r="569">
      <c r="C569" s="734"/>
      <c r="D569" s="731"/>
      <c r="E569" s="731"/>
      <c r="F569" s="734"/>
      <c r="G569" s="731"/>
      <c r="H569" s="731"/>
      <c r="I569" s="734"/>
      <c r="J569" s="731"/>
      <c r="K569" s="731"/>
      <c r="L569" s="734"/>
      <c r="M569" s="731"/>
      <c r="N569" s="731"/>
      <c r="O569" s="730"/>
      <c r="P569" s="731"/>
      <c r="Q569" s="731"/>
      <c r="R569" s="734"/>
      <c r="S569" s="731"/>
      <c r="T569" s="731"/>
      <c r="U569" s="734"/>
      <c r="V569" s="731"/>
      <c r="W569" s="731"/>
      <c r="X569" s="734"/>
      <c r="Y569" s="731"/>
      <c r="Z569" s="731"/>
    </row>
    <row r="570">
      <c r="C570" s="734"/>
      <c r="D570" s="731"/>
      <c r="E570" s="731"/>
      <c r="F570" s="734"/>
      <c r="G570" s="731"/>
      <c r="H570" s="731"/>
      <c r="I570" s="734"/>
      <c r="J570" s="731"/>
      <c r="K570" s="731"/>
      <c r="L570" s="734"/>
      <c r="M570" s="731"/>
      <c r="N570" s="731"/>
      <c r="O570" s="730"/>
      <c r="P570" s="731"/>
      <c r="Q570" s="731"/>
      <c r="R570" s="734"/>
      <c r="S570" s="731"/>
      <c r="T570" s="731"/>
      <c r="U570" s="734"/>
      <c r="V570" s="731"/>
      <c r="W570" s="731"/>
      <c r="X570" s="734"/>
      <c r="Y570" s="731"/>
      <c r="Z570" s="731"/>
    </row>
    <row r="571">
      <c r="C571" s="734"/>
      <c r="D571" s="731"/>
      <c r="E571" s="731"/>
      <c r="F571" s="734"/>
      <c r="G571" s="731"/>
      <c r="H571" s="731"/>
      <c r="I571" s="734"/>
      <c r="J571" s="731"/>
      <c r="K571" s="731"/>
      <c r="L571" s="734"/>
      <c r="M571" s="731"/>
      <c r="N571" s="731"/>
      <c r="O571" s="730"/>
      <c r="P571" s="731"/>
      <c r="Q571" s="731"/>
      <c r="R571" s="734"/>
      <c r="S571" s="731"/>
      <c r="T571" s="731"/>
      <c r="U571" s="734"/>
      <c r="V571" s="731"/>
      <c r="W571" s="731"/>
      <c r="X571" s="734"/>
      <c r="Y571" s="731"/>
      <c r="Z571" s="731"/>
    </row>
    <row r="572">
      <c r="C572" s="734"/>
      <c r="D572" s="731"/>
      <c r="E572" s="731"/>
      <c r="F572" s="734"/>
      <c r="G572" s="731"/>
      <c r="H572" s="731"/>
      <c r="I572" s="734"/>
      <c r="J572" s="731"/>
      <c r="K572" s="731"/>
      <c r="L572" s="734"/>
      <c r="M572" s="731"/>
      <c r="N572" s="731"/>
      <c r="O572" s="730"/>
      <c r="P572" s="731"/>
      <c r="Q572" s="731"/>
      <c r="R572" s="734"/>
      <c r="S572" s="731"/>
      <c r="T572" s="731"/>
      <c r="U572" s="734"/>
      <c r="V572" s="731"/>
      <c r="W572" s="731"/>
      <c r="X572" s="734"/>
      <c r="Y572" s="731"/>
      <c r="Z572" s="731"/>
    </row>
    <row r="573">
      <c r="C573" s="734"/>
      <c r="D573" s="731"/>
      <c r="E573" s="731"/>
      <c r="F573" s="734"/>
      <c r="G573" s="731"/>
      <c r="H573" s="731"/>
      <c r="I573" s="734"/>
      <c r="J573" s="731"/>
      <c r="K573" s="731"/>
      <c r="L573" s="734"/>
      <c r="M573" s="731"/>
      <c r="N573" s="731"/>
      <c r="O573" s="730"/>
      <c r="P573" s="731"/>
      <c r="Q573" s="731"/>
      <c r="R573" s="734"/>
      <c r="S573" s="731"/>
      <c r="T573" s="731"/>
      <c r="U573" s="734"/>
      <c r="V573" s="731"/>
      <c r="W573" s="731"/>
      <c r="X573" s="734"/>
      <c r="Y573" s="731"/>
      <c r="Z573" s="731"/>
    </row>
    <row r="574">
      <c r="C574" s="734"/>
      <c r="D574" s="731"/>
      <c r="E574" s="731"/>
      <c r="F574" s="734"/>
      <c r="G574" s="731"/>
      <c r="H574" s="731"/>
      <c r="I574" s="734"/>
      <c r="J574" s="731"/>
      <c r="K574" s="731"/>
      <c r="L574" s="734"/>
      <c r="M574" s="731"/>
      <c r="N574" s="731"/>
      <c r="O574" s="730"/>
      <c r="P574" s="731"/>
      <c r="Q574" s="731"/>
      <c r="R574" s="734"/>
      <c r="S574" s="731"/>
      <c r="T574" s="731"/>
      <c r="U574" s="734"/>
      <c r="V574" s="731"/>
      <c r="W574" s="731"/>
      <c r="X574" s="734"/>
      <c r="Y574" s="731"/>
      <c r="Z574" s="731"/>
    </row>
    <row r="575">
      <c r="C575" s="734"/>
      <c r="D575" s="731"/>
      <c r="E575" s="731"/>
      <c r="F575" s="734"/>
      <c r="G575" s="731"/>
      <c r="H575" s="731"/>
      <c r="I575" s="734"/>
      <c r="J575" s="731"/>
      <c r="K575" s="731"/>
      <c r="L575" s="734"/>
      <c r="M575" s="731"/>
      <c r="N575" s="731"/>
      <c r="O575" s="730"/>
      <c r="P575" s="731"/>
      <c r="Q575" s="731"/>
      <c r="R575" s="734"/>
      <c r="S575" s="731"/>
      <c r="T575" s="731"/>
      <c r="U575" s="734"/>
      <c r="V575" s="731"/>
      <c r="W575" s="731"/>
      <c r="X575" s="734"/>
      <c r="Y575" s="731"/>
      <c r="Z575" s="731"/>
    </row>
    <row r="576">
      <c r="C576" s="734"/>
      <c r="D576" s="731"/>
      <c r="E576" s="731"/>
      <c r="F576" s="734"/>
      <c r="G576" s="731"/>
      <c r="H576" s="731"/>
      <c r="I576" s="734"/>
      <c r="J576" s="731"/>
      <c r="K576" s="731"/>
      <c r="L576" s="734"/>
      <c r="M576" s="731"/>
      <c r="N576" s="731"/>
      <c r="O576" s="730"/>
      <c r="P576" s="731"/>
      <c r="Q576" s="731"/>
      <c r="R576" s="734"/>
      <c r="S576" s="731"/>
      <c r="T576" s="731"/>
      <c r="U576" s="734"/>
      <c r="V576" s="731"/>
      <c r="W576" s="731"/>
      <c r="X576" s="734"/>
      <c r="Y576" s="731"/>
      <c r="Z576" s="731"/>
    </row>
    <row r="577">
      <c r="C577" s="734"/>
      <c r="D577" s="731"/>
      <c r="E577" s="731"/>
      <c r="F577" s="734"/>
      <c r="G577" s="731"/>
      <c r="H577" s="731"/>
      <c r="I577" s="734"/>
      <c r="J577" s="731"/>
      <c r="K577" s="731"/>
      <c r="L577" s="734"/>
      <c r="M577" s="731"/>
      <c r="N577" s="731"/>
      <c r="O577" s="730"/>
      <c r="P577" s="731"/>
      <c r="Q577" s="731"/>
      <c r="R577" s="734"/>
      <c r="S577" s="731"/>
      <c r="T577" s="731"/>
      <c r="U577" s="734"/>
      <c r="V577" s="731"/>
      <c r="W577" s="731"/>
      <c r="X577" s="734"/>
      <c r="Y577" s="731"/>
      <c r="Z577" s="731"/>
    </row>
    <row r="578">
      <c r="C578" s="734"/>
      <c r="D578" s="731"/>
      <c r="E578" s="731"/>
      <c r="F578" s="734"/>
      <c r="G578" s="731"/>
      <c r="H578" s="731"/>
      <c r="I578" s="734"/>
      <c r="J578" s="731"/>
      <c r="K578" s="731"/>
      <c r="L578" s="734"/>
      <c r="M578" s="731"/>
      <c r="N578" s="731"/>
      <c r="O578" s="730"/>
      <c r="P578" s="731"/>
      <c r="Q578" s="731"/>
      <c r="R578" s="734"/>
      <c r="S578" s="731"/>
      <c r="T578" s="731"/>
      <c r="U578" s="734"/>
      <c r="V578" s="731"/>
      <c r="W578" s="731"/>
      <c r="X578" s="734"/>
      <c r="Y578" s="731"/>
      <c r="Z578" s="731"/>
    </row>
    <row r="579">
      <c r="C579" s="734"/>
      <c r="D579" s="731"/>
      <c r="E579" s="731"/>
      <c r="F579" s="734"/>
      <c r="G579" s="731"/>
      <c r="H579" s="731"/>
      <c r="I579" s="734"/>
      <c r="J579" s="731"/>
      <c r="K579" s="731"/>
      <c r="L579" s="734"/>
      <c r="M579" s="731"/>
      <c r="N579" s="731"/>
      <c r="O579" s="730"/>
      <c r="P579" s="731"/>
      <c r="Q579" s="731"/>
      <c r="R579" s="734"/>
      <c r="S579" s="731"/>
      <c r="T579" s="731"/>
      <c r="U579" s="734"/>
      <c r="V579" s="731"/>
      <c r="W579" s="731"/>
      <c r="X579" s="734"/>
      <c r="Y579" s="731"/>
      <c r="Z579" s="731"/>
    </row>
    <row r="580">
      <c r="C580" s="734"/>
      <c r="D580" s="731"/>
      <c r="E580" s="731"/>
      <c r="F580" s="734"/>
      <c r="G580" s="731"/>
      <c r="H580" s="731"/>
      <c r="I580" s="734"/>
      <c r="J580" s="731"/>
      <c r="K580" s="731"/>
      <c r="L580" s="734"/>
      <c r="M580" s="731"/>
      <c r="N580" s="731"/>
      <c r="O580" s="730"/>
      <c r="P580" s="731"/>
      <c r="Q580" s="731"/>
      <c r="R580" s="734"/>
      <c r="S580" s="731"/>
      <c r="T580" s="731"/>
      <c r="U580" s="734"/>
      <c r="V580" s="731"/>
      <c r="W580" s="731"/>
      <c r="X580" s="734"/>
      <c r="Y580" s="731"/>
      <c r="Z580" s="731"/>
    </row>
    <row r="581">
      <c r="C581" s="734"/>
      <c r="D581" s="731"/>
      <c r="E581" s="731"/>
      <c r="F581" s="734"/>
      <c r="G581" s="731"/>
      <c r="H581" s="731"/>
      <c r="I581" s="734"/>
      <c r="J581" s="731"/>
      <c r="K581" s="731"/>
      <c r="L581" s="734"/>
      <c r="M581" s="731"/>
      <c r="N581" s="731"/>
      <c r="O581" s="730"/>
      <c r="P581" s="731"/>
      <c r="Q581" s="731"/>
      <c r="R581" s="734"/>
      <c r="S581" s="731"/>
      <c r="T581" s="731"/>
      <c r="U581" s="734"/>
      <c r="V581" s="731"/>
      <c r="W581" s="731"/>
      <c r="X581" s="734"/>
      <c r="Y581" s="731"/>
      <c r="Z581" s="731"/>
    </row>
    <row r="582">
      <c r="C582" s="734"/>
      <c r="D582" s="731"/>
      <c r="E582" s="731"/>
      <c r="F582" s="734"/>
      <c r="G582" s="731"/>
      <c r="H582" s="731"/>
      <c r="I582" s="734"/>
      <c r="J582" s="731"/>
      <c r="K582" s="731"/>
      <c r="L582" s="734"/>
      <c r="M582" s="731"/>
      <c r="N582" s="731"/>
      <c r="O582" s="730"/>
      <c r="P582" s="731"/>
      <c r="Q582" s="731"/>
      <c r="R582" s="734"/>
      <c r="S582" s="731"/>
      <c r="T582" s="731"/>
      <c r="U582" s="734"/>
      <c r="V582" s="731"/>
      <c r="W582" s="731"/>
      <c r="X582" s="734"/>
      <c r="Y582" s="731"/>
      <c r="Z582" s="731"/>
    </row>
    <row r="583">
      <c r="C583" s="734"/>
      <c r="D583" s="731"/>
      <c r="E583" s="731"/>
      <c r="F583" s="734"/>
      <c r="G583" s="731"/>
      <c r="H583" s="731"/>
      <c r="I583" s="734"/>
      <c r="J583" s="731"/>
      <c r="K583" s="731"/>
      <c r="L583" s="734"/>
      <c r="M583" s="731"/>
      <c r="N583" s="731"/>
      <c r="O583" s="730"/>
      <c r="P583" s="731"/>
      <c r="Q583" s="731"/>
      <c r="R583" s="734"/>
      <c r="S583" s="731"/>
      <c r="T583" s="731"/>
      <c r="U583" s="734"/>
      <c r="V583" s="731"/>
      <c r="W583" s="731"/>
      <c r="X583" s="734"/>
      <c r="Y583" s="731"/>
      <c r="Z583" s="731"/>
    </row>
    <row r="584">
      <c r="C584" s="734"/>
      <c r="D584" s="731"/>
      <c r="E584" s="731"/>
      <c r="F584" s="734"/>
      <c r="G584" s="731"/>
      <c r="H584" s="731"/>
      <c r="I584" s="734"/>
      <c r="J584" s="731"/>
      <c r="K584" s="731"/>
      <c r="L584" s="734"/>
      <c r="M584" s="731"/>
      <c r="N584" s="731"/>
      <c r="O584" s="730"/>
      <c r="P584" s="731"/>
      <c r="Q584" s="731"/>
      <c r="R584" s="734"/>
      <c r="S584" s="731"/>
      <c r="T584" s="731"/>
      <c r="U584" s="734"/>
      <c r="V584" s="731"/>
      <c r="W584" s="731"/>
      <c r="X584" s="734"/>
      <c r="Y584" s="731"/>
      <c r="Z584" s="731"/>
    </row>
    <row r="585">
      <c r="C585" s="734"/>
      <c r="D585" s="731"/>
      <c r="E585" s="731"/>
      <c r="F585" s="734"/>
      <c r="G585" s="731"/>
      <c r="H585" s="731"/>
      <c r="I585" s="734"/>
      <c r="J585" s="731"/>
      <c r="K585" s="731"/>
      <c r="L585" s="734"/>
      <c r="M585" s="731"/>
      <c r="N585" s="731"/>
      <c r="O585" s="730"/>
      <c r="P585" s="731"/>
      <c r="Q585" s="731"/>
      <c r="R585" s="734"/>
      <c r="S585" s="731"/>
      <c r="T585" s="731"/>
      <c r="U585" s="734"/>
      <c r="V585" s="731"/>
      <c r="W585" s="731"/>
      <c r="X585" s="734"/>
      <c r="Y585" s="731"/>
      <c r="Z585" s="731"/>
    </row>
    <row r="586">
      <c r="C586" s="734"/>
      <c r="D586" s="731"/>
      <c r="E586" s="731"/>
      <c r="F586" s="734"/>
      <c r="G586" s="731"/>
      <c r="H586" s="731"/>
      <c r="I586" s="734"/>
      <c r="J586" s="731"/>
      <c r="K586" s="731"/>
      <c r="L586" s="734"/>
      <c r="M586" s="731"/>
      <c r="N586" s="731"/>
      <c r="O586" s="730"/>
      <c r="P586" s="731"/>
      <c r="Q586" s="731"/>
      <c r="R586" s="734"/>
      <c r="S586" s="731"/>
      <c r="T586" s="731"/>
      <c r="U586" s="734"/>
      <c r="V586" s="731"/>
      <c r="W586" s="731"/>
      <c r="X586" s="734"/>
      <c r="Y586" s="731"/>
      <c r="Z586" s="731"/>
    </row>
    <row r="587">
      <c r="C587" s="734"/>
      <c r="D587" s="731"/>
      <c r="E587" s="731"/>
      <c r="F587" s="734"/>
      <c r="G587" s="731"/>
      <c r="H587" s="731"/>
      <c r="I587" s="734"/>
      <c r="J587" s="731"/>
      <c r="K587" s="731"/>
      <c r="L587" s="734"/>
      <c r="M587" s="731"/>
      <c r="N587" s="731"/>
      <c r="O587" s="730"/>
      <c r="P587" s="731"/>
      <c r="Q587" s="731"/>
      <c r="R587" s="734"/>
      <c r="S587" s="731"/>
      <c r="T587" s="731"/>
      <c r="U587" s="734"/>
      <c r="V587" s="731"/>
      <c r="W587" s="731"/>
      <c r="X587" s="734"/>
      <c r="Y587" s="731"/>
      <c r="Z587" s="731"/>
    </row>
    <row r="588">
      <c r="C588" s="734"/>
      <c r="D588" s="731"/>
      <c r="E588" s="731"/>
      <c r="F588" s="734"/>
      <c r="G588" s="731"/>
      <c r="H588" s="731"/>
      <c r="I588" s="734"/>
      <c r="J588" s="731"/>
      <c r="K588" s="731"/>
      <c r="L588" s="734"/>
      <c r="M588" s="731"/>
      <c r="N588" s="731"/>
      <c r="O588" s="730"/>
      <c r="P588" s="731"/>
      <c r="Q588" s="731"/>
      <c r="R588" s="734"/>
      <c r="S588" s="731"/>
      <c r="T588" s="731"/>
      <c r="U588" s="734"/>
      <c r="V588" s="731"/>
      <c r="W588" s="731"/>
      <c r="X588" s="734"/>
      <c r="Y588" s="731"/>
      <c r="Z588" s="731"/>
    </row>
    <row r="589">
      <c r="C589" s="734"/>
      <c r="D589" s="731"/>
      <c r="E589" s="731"/>
      <c r="F589" s="734"/>
      <c r="G589" s="731"/>
      <c r="H589" s="731"/>
      <c r="I589" s="734"/>
      <c r="J589" s="731"/>
      <c r="K589" s="731"/>
      <c r="L589" s="734"/>
      <c r="M589" s="731"/>
      <c r="N589" s="731"/>
      <c r="O589" s="730"/>
      <c r="P589" s="731"/>
      <c r="Q589" s="731"/>
      <c r="R589" s="734"/>
      <c r="S589" s="731"/>
      <c r="T589" s="731"/>
      <c r="U589" s="734"/>
      <c r="V589" s="731"/>
      <c r="W589" s="731"/>
      <c r="X589" s="734"/>
      <c r="Y589" s="731"/>
      <c r="Z589" s="731"/>
    </row>
    <row r="590">
      <c r="C590" s="734"/>
      <c r="D590" s="731"/>
      <c r="E590" s="731"/>
      <c r="F590" s="734"/>
      <c r="G590" s="731"/>
      <c r="H590" s="731"/>
      <c r="I590" s="734"/>
      <c r="J590" s="731"/>
      <c r="K590" s="731"/>
      <c r="L590" s="734"/>
      <c r="M590" s="731"/>
      <c r="N590" s="731"/>
      <c r="O590" s="730"/>
      <c r="P590" s="731"/>
      <c r="Q590" s="731"/>
      <c r="R590" s="734"/>
      <c r="S590" s="731"/>
      <c r="T590" s="731"/>
      <c r="U590" s="734"/>
      <c r="V590" s="731"/>
      <c r="W590" s="731"/>
      <c r="X590" s="734"/>
      <c r="Y590" s="731"/>
      <c r="Z590" s="731"/>
    </row>
    <row r="591">
      <c r="C591" s="734"/>
      <c r="D591" s="731"/>
      <c r="E591" s="731"/>
      <c r="F591" s="734"/>
      <c r="G591" s="731"/>
      <c r="H591" s="731"/>
      <c r="I591" s="734"/>
      <c r="J591" s="731"/>
      <c r="K591" s="731"/>
      <c r="L591" s="734"/>
      <c r="M591" s="731"/>
      <c r="N591" s="731"/>
      <c r="O591" s="730"/>
      <c r="P591" s="731"/>
      <c r="Q591" s="731"/>
      <c r="R591" s="734"/>
      <c r="S591" s="731"/>
      <c r="T591" s="731"/>
      <c r="U591" s="734"/>
      <c r="V591" s="731"/>
      <c r="W591" s="731"/>
      <c r="X591" s="734"/>
      <c r="Y591" s="731"/>
      <c r="Z591" s="731"/>
    </row>
    <row r="592">
      <c r="C592" s="734"/>
      <c r="D592" s="731"/>
      <c r="E592" s="731"/>
      <c r="F592" s="734"/>
      <c r="G592" s="731"/>
      <c r="H592" s="731"/>
      <c r="I592" s="734"/>
      <c r="J592" s="731"/>
      <c r="K592" s="731"/>
      <c r="L592" s="734"/>
      <c r="M592" s="731"/>
      <c r="N592" s="731"/>
      <c r="O592" s="730"/>
      <c r="P592" s="731"/>
      <c r="Q592" s="731"/>
      <c r="R592" s="734"/>
      <c r="S592" s="731"/>
      <c r="T592" s="731"/>
      <c r="U592" s="734"/>
      <c r="V592" s="731"/>
      <c r="W592" s="731"/>
      <c r="X592" s="734"/>
      <c r="Y592" s="731"/>
      <c r="Z592" s="731"/>
    </row>
    <row r="593">
      <c r="C593" s="734"/>
      <c r="D593" s="731"/>
      <c r="E593" s="731"/>
      <c r="F593" s="734"/>
      <c r="G593" s="731"/>
      <c r="H593" s="731"/>
      <c r="I593" s="734"/>
      <c r="J593" s="731"/>
      <c r="K593" s="731"/>
      <c r="L593" s="734"/>
      <c r="M593" s="731"/>
      <c r="N593" s="731"/>
      <c r="O593" s="730"/>
      <c r="P593" s="731"/>
      <c r="Q593" s="731"/>
      <c r="R593" s="734"/>
      <c r="S593" s="731"/>
      <c r="T593" s="731"/>
      <c r="U593" s="734"/>
      <c r="V593" s="731"/>
      <c r="W593" s="731"/>
      <c r="X593" s="734"/>
      <c r="Y593" s="731"/>
      <c r="Z593" s="731"/>
    </row>
    <row r="594">
      <c r="C594" s="734"/>
      <c r="D594" s="731"/>
      <c r="E594" s="731"/>
      <c r="F594" s="734"/>
      <c r="G594" s="731"/>
      <c r="H594" s="731"/>
      <c r="I594" s="734"/>
      <c r="J594" s="731"/>
      <c r="K594" s="731"/>
      <c r="L594" s="734"/>
      <c r="M594" s="731"/>
      <c r="N594" s="731"/>
      <c r="O594" s="730"/>
      <c r="P594" s="731"/>
      <c r="Q594" s="731"/>
      <c r="R594" s="734"/>
      <c r="S594" s="731"/>
      <c r="T594" s="731"/>
      <c r="U594" s="734"/>
      <c r="V594" s="731"/>
      <c r="W594" s="731"/>
      <c r="X594" s="734"/>
      <c r="Y594" s="731"/>
      <c r="Z594" s="731"/>
    </row>
    <row r="595">
      <c r="C595" s="734"/>
      <c r="D595" s="731"/>
      <c r="E595" s="731"/>
      <c r="F595" s="734"/>
      <c r="G595" s="731"/>
      <c r="H595" s="731"/>
      <c r="I595" s="734"/>
      <c r="J595" s="731"/>
      <c r="K595" s="731"/>
      <c r="L595" s="734"/>
      <c r="M595" s="731"/>
      <c r="N595" s="731"/>
      <c r="O595" s="730"/>
      <c r="P595" s="731"/>
      <c r="Q595" s="731"/>
      <c r="R595" s="734"/>
      <c r="S595" s="731"/>
      <c r="T595" s="731"/>
      <c r="U595" s="734"/>
      <c r="V595" s="731"/>
      <c r="W595" s="731"/>
      <c r="X595" s="734"/>
      <c r="Y595" s="731"/>
      <c r="Z595" s="731"/>
    </row>
    <row r="596">
      <c r="C596" s="734"/>
      <c r="D596" s="731"/>
      <c r="E596" s="731"/>
      <c r="F596" s="734"/>
      <c r="G596" s="731"/>
      <c r="H596" s="731"/>
      <c r="I596" s="734"/>
      <c r="J596" s="731"/>
      <c r="K596" s="731"/>
      <c r="L596" s="734"/>
      <c r="M596" s="731"/>
      <c r="N596" s="731"/>
      <c r="O596" s="730"/>
      <c r="P596" s="731"/>
      <c r="Q596" s="731"/>
      <c r="R596" s="734"/>
      <c r="S596" s="731"/>
      <c r="T596" s="731"/>
      <c r="U596" s="734"/>
      <c r="V596" s="731"/>
      <c r="W596" s="731"/>
      <c r="X596" s="734"/>
      <c r="Y596" s="731"/>
      <c r="Z596" s="731"/>
    </row>
    <row r="597">
      <c r="C597" s="734"/>
      <c r="D597" s="731"/>
      <c r="E597" s="731"/>
      <c r="F597" s="734"/>
      <c r="G597" s="731"/>
      <c r="H597" s="731"/>
      <c r="I597" s="734"/>
      <c r="J597" s="731"/>
      <c r="K597" s="731"/>
      <c r="L597" s="734"/>
      <c r="M597" s="731"/>
      <c r="N597" s="731"/>
      <c r="O597" s="730"/>
      <c r="P597" s="731"/>
      <c r="Q597" s="731"/>
      <c r="R597" s="734"/>
      <c r="S597" s="731"/>
      <c r="T597" s="731"/>
      <c r="U597" s="734"/>
      <c r="V597" s="731"/>
      <c r="W597" s="731"/>
      <c r="X597" s="734"/>
      <c r="Y597" s="731"/>
      <c r="Z597" s="731"/>
    </row>
    <row r="598">
      <c r="C598" s="734"/>
      <c r="D598" s="731"/>
      <c r="E598" s="731"/>
      <c r="F598" s="734"/>
      <c r="G598" s="731"/>
      <c r="H598" s="731"/>
      <c r="I598" s="734"/>
      <c r="J598" s="731"/>
      <c r="K598" s="731"/>
      <c r="L598" s="734"/>
      <c r="M598" s="731"/>
      <c r="N598" s="731"/>
      <c r="O598" s="730"/>
      <c r="P598" s="731"/>
      <c r="Q598" s="731"/>
      <c r="R598" s="734"/>
      <c r="S598" s="731"/>
      <c r="T598" s="731"/>
      <c r="U598" s="734"/>
      <c r="V598" s="731"/>
      <c r="W598" s="731"/>
      <c r="X598" s="734"/>
      <c r="Y598" s="731"/>
      <c r="Z598" s="731"/>
    </row>
    <row r="599">
      <c r="C599" s="734"/>
      <c r="D599" s="731"/>
      <c r="E599" s="731"/>
      <c r="F599" s="734"/>
      <c r="G599" s="731"/>
      <c r="H599" s="731"/>
      <c r="I599" s="734"/>
      <c r="J599" s="731"/>
      <c r="K599" s="731"/>
      <c r="L599" s="734"/>
      <c r="M599" s="731"/>
      <c r="N599" s="731"/>
      <c r="O599" s="730"/>
      <c r="P599" s="731"/>
      <c r="Q599" s="731"/>
      <c r="R599" s="734"/>
      <c r="S599" s="731"/>
      <c r="T599" s="731"/>
      <c r="U599" s="734"/>
      <c r="V599" s="731"/>
      <c r="W599" s="731"/>
      <c r="X599" s="734"/>
      <c r="Y599" s="731"/>
      <c r="Z599" s="731"/>
    </row>
    <row r="600">
      <c r="C600" s="734"/>
      <c r="D600" s="731"/>
      <c r="E600" s="731"/>
      <c r="F600" s="734"/>
      <c r="G600" s="731"/>
      <c r="H600" s="731"/>
      <c r="I600" s="734"/>
      <c r="J600" s="731"/>
      <c r="K600" s="731"/>
      <c r="L600" s="734"/>
      <c r="M600" s="731"/>
      <c r="N600" s="731"/>
      <c r="O600" s="730"/>
      <c r="P600" s="731"/>
      <c r="Q600" s="731"/>
      <c r="R600" s="734"/>
      <c r="S600" s="731"/>
      <c r="T600" s="731"/>
      <c r="U600" s="734"/>
      <c r="V600" s="731"/>
      <c r="W600" s="731"/>
      <c r="X600" s="734"/>
      <c r="Y600" s="731"/>
      <c r="Z600" s="731"/>
    </row>
    <row r="601">
      <c r="C601" s="734"/>
      <c r="D601" s="731"/>
      <c r="E601" s="731"/>
      <c r="F601" s="734"/>
      <c r="G601" s="731"/>
      <c r="H601" s="731"/>
      <c r="I601" s="734"/>
      <c r="J601" s="731"/>
      <c r="K601" s="731"/>
      <c r="L601" s="734"/>
      <c r="M601" s="731"/>
      <c r="N601" s="731"/>
      <c r="O601" s="730"/>
      <c r="P601" s="731"/>
      <c r="Q601" s="731"/>
      <c r="R601" s="734"/>
      <c r="S601" s="731"/>
      <c r="T601" s="731"/>
      <c r="U601" s="734"/>
      <c r="V601" s="731"/>
      <c r="W601" s="731"/>
      <c r="X601" s="734"/>
      <c r="Y601" s="731"/>
      <c r="Z601" s="731"/>
    </row>
    <row r="602">
      <c r="C602" s="734"/>
      <c r="D602" s="731"/>
      <c r="E602" s="731"/>
      <c r="F602" s="734"/>
      <c r="G602" s="731"/>
      <c r="H602" s="731"/>
      <c r="I602" s="734"/>
      <c r="J602" s="731"/>
      <c r="K602" s="731"/>
      <c r="L602" s="734"/>
      <c r="M602" s="731"/>
      <c r="N602" s="731"/>
      <c r="O602" s="730"/>
      <c r="P602" s="731"/>
      <c r="Q602" s="731"/>
      <c r="R602" s="734"/>
      <c r="S602" s="731"/>
      <c r="T602" s="731"/>
      <c r="U602" s="734"/>
      <c r="V602" s="731"/>
      <c r="W602" s="731"/>
      <c r="X602" s="734"/>
      <c r="Y602" s="731"/>
      <c r="Z602" s="731"/>
    </row>
    <row r="603">
      <c r="C603" s="734"/>
      <c r="D603" s="731"/>
      <c r="E603" s="731"/>
      <c r="F603" s="734"/>
      <c r="G603" s="731"/>
      <c r="H603" s="731"/>
      <c r="I603" s="734"/>
      <c r="J603" s="731"/>
      <c r="K603" s="731"/>
      <c r="L603" s="734"/>
      <c r="M603" s="731"/>
      <c r="N603" s="731"/>
      <c r="O603" s="730"/>
      <c r="P603" s="731"/>
      <c r="Q603" s="731"/>
      <c r="R603" s="734"/>
      <c r="S603" s="731"/>
      <c r="T603" s="731"/>
      <c r="U603" s="734"/>
      <c r="V603" s="731"/>
      <c r="W603" s="731"/>
      <c r="X603" s="734"/>
      <c r="Y603" s="731"/>
      <c r="Z603" s="731"/>
    </row>
    <row r="604">
      <c r="C604" s="734"/>
      <c r="D604" s="731"/>
      <c r="E604" s="731"/>
      <c r="F604" s="734"/>
      <c r="G604" s="731"/>
      <c r="H604" s="731"/>
      <c r="I604" s="734"/>
      <c r="J604" s="731"/>
      <c r="K604" s="731"/>
      <c r="L604" s="734"/>
      <c r="M604" s="731"/>
      <c r="N604" s="731"/>
      <c r="O604" s="730"/>
      <c r="P604" s="731"/>
      <c r="Q604" s="731"/>
      <c r="R604" s="734"/>
      <c r="S604" s="731"/>
      <c r="T604" s="731"/>
      <c r="U604" s="734"/>
      <c r="V604" s="731"/>
      <c r="W604" s="731"/>
      <c r="X604" s="734"/>
      <c r="Y604" s="731"/>
      <c r="Z604" s="731"/>
    </row>
    <row r="605">
      <c r="C605" s="734"/>
      <c r="D605" s="731"/>
      <c r="E605" s="731"/>
      <c r="F605" s="734"/>
      <c r="G605" s="731"/>
      <c r="H605" s="731"/>
      <c r="I605" s="734"/>
      <c r="J605" s="731"/>
      <c r="K605" s="731"/>
      <c r="L605" s="734"/>
      <c r="M605" s="731"/>
      <c r="N605" s="731"/>
      <c r="O605" s="730"/>
      <c r="P605" s="731"/>
      <c r="Q605" s="731"/>
      <c r="R605" s="734"/>
      <c r="S605" s="731"/>
      <c r="T605" s="731"/>
      <c r="U605" s="734"/>
      <c r="V605" s="731"/>
      <c r="W605" s="731"/>
      <c r="X605" s="734"/>
      <c r="Y605" s="731"/>
      <c r="Z605" s="731"/>
    </row>
    <row r="606">
      <c r="C606" s="734"/>
      <c r="D606" s="731"/>
      <c r="E606" s="731"/>
      <c r="F606" s="734"/>
      <c r="G606" s="731"/>
      <c r="H606" s="731"/>
      <c r="I606" s="734"/>
      <c r="J606" s="731"/>
      <c r="K606" s="731"/>
      <c r="L606" s="734"/>
      <c r="M606" s="731"/>
      <c r="N606" s="731"/>
      <c r="O606" s="730"/>
      <c r="P606" s="731"/>
      <c r="Q606" s="731"/>
      <c r="R606" s="734"/>
      <c r="S606" s="731"/>
      <c r="T606" s="731"/>
      <c r="U606" s="734"/>
      <c r="V606" s="731"/>
      <c r="W606" s="731"/>
      <c r="X606" s="734"/>
      <c r="Y606" s="731"/>
      <c r="Z606" s="731"/>
    </row>
    <row r="607">
      <c r="C607" s="734"/>
      <c r="D607" s="731"/>
      <c r="E607" s="731"/>
      <c r="F607" s="734"/>
      <c r="G607" s="731"/>
      <c r="H607" s="731"/>
      <c r="I607" s="734"/>
      <c r="J607" s="731"/>
      <c r="K607" s="731"/>
      <c r="L607" s="734"/>
      <c r="M607" s="731"/>
      <c r="N607" s="731"/>
      <c r="O607" s="730"/>
      <c r="P607" s="731"/>
      <c r="Q607" s="731"/>
      <c r="R607" s="734"/>
      <c r="S607" s="731"/>
      <c r="T607" s="731"/>
      <c r="U607" s="734"/>
      <c r="V607" s="731"/>
      <c r="W607" s="731"/>
      <c r="X607" s="734"/>
      <c r="Y607" s="731"/>
      <c r="Z607" s="731"/>
    </row>
    <row r="608">
      <c r="C608" s="734"/>
      <c r="D608" s="731"/>
      <c r="E608" s="731"/>
      <c r="F608" s="734"/>
      <c r="G608" s="731"/>
      <c r="H608" s="731"/>
      <c r="I608" s="734"/>
      <c r="J608" s="731"/>
      <c r="K608" s="731"/>
      <c r="L608" s="734"/>
      <c r="M608" s="731"/>
      <c r="N608" s="731"/>
      <c r="O608" s="730"/>
      <c r="P608" s="731"/>
      <c r="Q608" s="731"/>
      <c r="R608" s="734"/>
      <c r="S608" s="731"/>
      <c r="T608" s="731"/>
      <c r="U608" s="734"/>
      <c r="V608" s="731"/>
      <c r="W608" s="731"/>
      <c r="X608" s="734"/>
      <c r="Y608" s="731"/>
      <c r="Z608" s="731"/>
    </row>
    <row r="609">
      <c r="C609" s="734"/>
      <c r="D609" s="731"/>
      <c r="E609" s="731"/>
      <c r="F609" s="734"/>
      <c r="G609" s="731"/>
      <c r="H609" s="731"/>
      <c r="I609" s="734"/>
      <c r="J609" s="731"/>
      <c r="K609" s="731"/>
      <c r="L609" s="734"/>
      <c r="M609" s="731"/>
      <c r="N609" s="731"/>
      <c r="O609" s="730"/>
      <c r="P609" s="731"/>
      <c r="Q609" s="731"/>
      <c r="R609" s="734"/>
      <c r="S609" s="731"/>
      <c r="T609" s="731"/>
      <c r="U609" s="734"/>
      <c r="V609" s="731"/>
      <c r="W609" s="731"/>
      <c r="X609" s="734"/>
      <c r="Y609" s="731"/>
      <c r="Z609" s="731"/>
    </row>
    <row r="610">
      <c r="C610" s="734"/>
      <c r="D610" s="731"/>
      <c r="E610" s="731"/>
      <c r="F610" s="734"/>
      <c r="G610" s="731"/>
      <c r="H610" s="731"/>
      <c r="I610" s="734"/>
      <c r="J610" s="731"/>
      <c r="K610" s="731"/>
      <c r="L610" s="734"/>
      <c r="M610" s="731"/>
      <c r="N610" s="731"/>
      <c r="O610" s="730"/>
      <c r="P610" s="731"/>
      <c r="Q610" s="731"/>
      <c r="R610" s="734"/>
      <c r="S610" s="731"/>
      <c r="T610" s="731"/>
      <c r="U610" s="734"/>
      <c r="V610" s="731"/>
      <c r="W610" s="731"/>
      <c r="X610" s="734"/>
      <c r="Y610" s="731"/>
      <c r="Z610" s="731"/>
    </row>
    <row r="611">
      <c r="C611" s="734"/>
      <c r="D611" s="731"/>
      <c r="E611" s="731"/>
      <c r="F611" s="734"/>
      <c r="G611" s="731"/>
      <c r="H611" s="731"/>
      <c r="I611" s="734"/>
      <c r="J611" s="731"/>
      <c r="K611" s="731"/>
      <c r="L611" s="734"/>
      <c r="M611" s="731"/>
      <c r="N611" s="731"/>
      <c r="O611" s="730"/>
      <c r="P611" s="731"/>
      <c r="Q611" s="731"/>
      <c r="R611" s="734"/>
      <c r="S611" s="731"/>
      <c r="T611" s="731"/>
      <c r="U611" s="734"/>
      <c r="V611" s="731"/>
      <c r="W611" s="731"/>
      <c r="X611" s="734"/>
      <c r="Y611" s="731"/>
      <c r="Z611" s="731"/>
    </row>
    <row r="612">
      <c r="C612" s="734"/>
      <c r="D612" s="731"/>
      <c r="E612" s="731"/>
      <c r="F612" s="734"/>
      <c r="G612" s="731"/>
      <c r="H612" s="731"/>
      <c r="I612" s="734"/>
      <c r="J612" s="731"/>
      <c r="K612" s="731"/>
      <c r="L612" s="734"/>
      <c r="M612" s="731"/>
      <c r="N612" s="731"/>
      <c r="O612" s="730"/>
      <c r="P612" s="731"/>
      <c r="Q612" s="731"/>
      <c r="R612" s="734"/>
      <c r="S612" s="731"/>
      <c r="T612" s="731"/>
      <c r="U612" s="734"/>
      <c r="V612" s="731"/>
      <c r="W612" s="731"/>
      <c r="X612" s="734"/>
      <c r="Y612" s="731"/>
      <c r="Z612" s="731"/>
    </row>
    <row r="613">
      <c r="C613" s="734"/>
      <c r="D613" s="731"/>
      <c r="E613" s="731"/>
      <c r="F613" s="734"/>
      <c r="G613" s="731"/>
      <c r="H613" s="731"/>
      <c r="I613" s="734"/>
      <c r="J613" s="731"/>
      <c r="K613" s="731"/>
      <c r="L613" s="734"/>
      <c r="M613" s="731"/>
      <c r="N613" s="731"/>
      <c r="O613" s="730"/>
      <c r="P613" s="731"/>
      <c r="Q613" s="731"/>
      <c r="R613" s="734"/>
      <c r="S613" s="731"/>
      <c r="T613" s="731"/>
      <c r="U613" s="734"/>
      <c r="V613" s="731"/>
      <c r="W613" s="731"/>
      <c r="X613" s="734"/>
      <c r="Y613" s="731"/>
      <c r="Z613" s="731"/>
    </row>
    <row r="614">
      <c r="C614" s="734"/>
      <c r="D614" s="731"/>
      <c r="E614" s="731"/>
      <c r="F614" s="734"/>
      <c r="G614" s="731"/>
      <c r="H614" s="731"/>
      <c r="I614" s="734"/>
      <c r="J614" s="731"/>
      <c r="K614" s="731"/>
      <c r="L614" s="734"/>
      <c r="M614" s="731"/>
      <c r="N614" s="731"/>
      <c r="O614" s="730"/>
      <c r="P614" s="731"/>
      <c r="Q614" s="731"/>
      <c r="R614" s="734"/>
      <c r="S614" s="731"/>
      <c r="T614" s="731"/>
      <c r="U614" s="734"/>
      <c r="V614" s="731"/>
      <c r="W614" s="731"/>
      <c r="X614" s="734"/>
      <c r="Y614" s="731"/>
      <c r="Z614" s="731"/>
    </row>
    <row r="615">
      <c r="C615" s="734"/>
      <c r="D615" s="731"/>
      <c r="E615" s="731"/>
      <c r="F615" s="734"/>
      <c r="G615" s="731"/>
      <c r="H615" s="731"/>
      <c r="I615" s="734"/>
      <c r="J615" s="731"/>
      <c r="K615" s="731"/>
      <c r="L615" s="734"/>
      <c r="M615" s="731"/>
      <c r="N615" s="731"/>
      <c r="O615" s="730"/>
      <c r="P615" s="731"/>
      <c r="Q615" s="731"/>
      <c r="R615" s="734"/>
      <c r="S615" s="731"/>
      <c r="T615" s="731"/>
      <c r="U615" s="734"/>
      <c r="V615" s="731"/>
      <c r="W615" s="731"/>
      <c r="X615" s="734"/>
      <c r="Y615" s="731"/>
      <c r="Z615" s="731"/>
    </row>
    <row r="616">
      <c r="C616" s="734"/>
      <c r="D616" s="731"/>
      <c r="E616" s="731"/>
      <c r="F616" s="734"/>
      <c r="G616" s="731"/>
      <c r="H616" s="731"/>
      <c r="I616" s="734"/>
      <c r="J616" s="731"/>
      <c r="K616" s="731"/>
      <c r="L616" s="734"/>
      <c r="M616" s="731"/>
      <c r="N616" s="731"/>
      <c r="O616" s="730"/>
      <c r="P616" s="731"/>
      <c r="Q616" s="731"/>
      <c r="R616" s="734"/>
      <c r="S616" s="731"/>
      <c r="T616" s="731"/>
      <c r="U616" s="734"/>
      <c r="V616" s="731"/>
      <c r="W616" s="731"/>
      <c r="X616" s="734"/>
      <c r="Y616" s="731"/>
      <c r="Z616" s="731"/>
    </row>
    <row r="617">
      <c r="C617" s="734"/>
      <c r="D617" s="731"/>
      <c r="E617" s="731"/>
      <c r="F617" s="734"/>
      <c r="G617" s="731"/>
      <c r="H617" s="731"/>
      <c r="I617" s="734"/>
      <c r="J617" s="731"/>
      <c r="K617" s="731"/>
      <c r="L617" s="734"/>
      <c r="M617" s="731"/>
      <c r="N617" s="731"/>
      <c r="O617" s="730"/>
      <c r="P617" s="731"/>
      <c r="Q617" s="731"/>
      <c r="R617" s="734"/>
      <c r="S617" s="731"/>
      <c r="T617" s="731"/>
      <c r="U617" s="734"/>
      <c r="V617" s="731"/>
      <c r="W617" s="731"/>
      <c r="X617" s="734"/>
      <c r="Y617" s="731"/>
      <c r="Z617" s="731"/>
    </row>
    <row r="618">
      <c r="C618" s="734"/>
      <c r="D618" s="731"/>
      <c r="E618" s="731"/>
      <c r="F618" s="734"/>
      <c r="G618" s="731"/>
      <c r="H618" s="731"/>
      <c r="I618" s="734"/>
      <c r="J618" s="731"/>
      <c r="K618" s="731"/>
      <c r="L618" s="734"/>
      <c r="M618" s="731"/>
      <c r="N618" s="731"/>
      <c r="O618" s="730"/>
      <c r="P618" s="731"/>
      <c r="Q618" s="731"/>
      <c r="R618" s="734"/>
      <c r="S618" s="731"/>
      <c r="T618" s="731"/>
      <c r="U618" s="734"/>
      <c r="V618" s="731"/>
      <c r="W618" s="731"/>
      <c r="X618" s="734"/>
      <c r="Y618" s="731"/>
      <c r="Z618" s="731"/>
    </row>
    <row r="619">
      <c r="C619" s="734"/>
      <c r="D619" s="731"/>
      <c r="E619" s="731"/>
      <c r="F619" s="734"/>
      <c r="G619" s="731"/>
      <c r="H619" s="731"/>
      <c r="I619" s="734"/>
      <c r="J619" s="731"/>
      <c r="K619" s="731"/>
      <c r="L619" s="734"/>
      <c r="M619" s="731"/>
      <c r="N619" s="731"/>
      <c r="O619" s="730"/>
      <c r="P619" s="731"/>
      <c r="Q619" s="731"/>
      <c r="R619" s="734"/>
      <c r="S619" s="731"/>
      <c r="T619" s="731"/>
      <c r="U619" s="734"/>
      <c r="V619" s="731"/>
      <c r="W619" s="731"/>
      <c r="X619" s="734"/>
      <c r="Y619" s="731"/>
      <c r="Z619" s="731"/>
    </row>
    <row r="620">
      <c r="C620" s="734"/>
      <c r="D620" s="731"/>
      <c r="E620" s="731"/>
      <c r="F620" s="734"/>
      <c r="G620" s="731"/>
      <c r="H620" s="731"/>
      <c r="I620" s="734"/>
      <c r="J620" s="731"/>
      <c r="K620" s="731"/>
      <c r="L620" s="734"/>
      <c r="M620" s="731"/>
      <c r="N620" s="731"/>
      <c r="O620" s="730"/>
      <c r="P620" s="731"/>
      <c r="Q620" s="731"/>
      <c r="R620" s="734"/>
      <c r="S620" s="731"/>
      <c r="T620" s="731"/>
      <c r="U620" s="734"/>
      <c r="V620" s="731"/>
      <c r="W620" s="731"/>
      <c r="X620" s="734"/>
      <c r="Y620" s="731"/>
      <c r="Z620" s="731"/>
    </row>
    <row r="621">
      <c r="C621" s="734"/>
      <c r="D621" s="731"/>
      <c r="E621" s="731"/>
      <c r="F621" s="734"/>
      <c r="G621" s="731"/>
      <c r="H621" s="731"/>
      <c r="I621" s="734"/>
      <c r="J621" s="731"/>
      <c r="K621" s="731"/>
      <c r="L621" s="734"/>
      <c r="M621" s="731"/>
      <c r="N621" s="731"/>
      <c r="O621" s="730"/>
      <c r="P621" s="731"/>
      <c r="Q621" s="731"/>
      <c r="R621" s="734"/>
      <c r="S621" s="731"/>
      <c r="T621" s="731"/>
      <c r="U621" s="734"/>
      <c r="V621" s="731"/>
      <c r="W621" s="731"/>
      <c r="X621" s="734"/>
      <c r="Y621" s="731"/>
      <c r="Z621" s="731"/>
    </row>
    <row r="622">
      <c r="C622" s="734"/>
      <c r="D622" s="731"/>
      <c r="E622" s="731"/>
      <c r="F622" s="734"/>
      <c r="G622" s="731"/>
      <c r="H622" s="731"/>
      <c r="I622" s="734"/>
      <c r="J622" s="731"/>
      <c r="K622" s="731"/>
      <c r="L622" s="734"/>
      <c r="M622" s="731"/>
      <c r="N622" s="731"/>
      <c r="O622" s="730"/>
      <c r="P622" s="731"/>
      <c r="Q622" s="731"/>
      <c r="R622" s="734"/>
      <c r="S622" s="731"/>
      <c r="T622" s="731"/>
      <c r="U622" s="734"/>
      <c r="V622" s="731"/>
      <c r="W622" s="731"/>
      <c r="X622" s="734"/>
      <c r="Y622" s="731"/>
      <c r="Z622" s="731"/>
    </row>
    <row r="623">
      <c r="C623" s="734"/>
      <c r="D623" s="731"/>
      <c r="E623" s="731"/>
      <c r="F623" s="734"/>
      <c r="G623" s="731"/>
      <c r="H623" s="731"/>
      <c r="I623" s="734"/>
      <c r="J623" s="731"/>
      <c r="K623" s="731"/>
      <c r="L623" s="734"/>
      <c r="M623" s="731"/>
      <c r="N623" s="731"/>
      <c r="O623" s="730"/>
      <c r="P623" s="731"/>
      <c r="Q623" s="731"/>
      <c r="R623" s="734"/>
      <c r="S623" s="731"/>
      <c r="T623" s="731"/>
      <c r="U623" s="734"/>
      <c r="V623" s="731"/>
      <c r="W623" s="731"/>
      <c r="X623" s="734"/>
      <c r="Y623" s="731"/>
      <c r="Z623" s="731"/>
    </row>
    <row r="624">
      <c r="C624" s="734"/>
      <c r="D624" s="731"/>
      <c r="E624" s="731"/>
      <c r="F624" s="734"/>
      <c r="G624" s="731"/>
      <c r="H624" s="731"/>
      <c r="I624" s="734"/>
      <c r="J624" s="731"/>
      <c r="K624" s="731"/>
      <c r="L624" s="734"/>
      <c r="M624" s="731"/>
      <c r="N624" s="731"/>
      <c r="O624" s="730"/>
      <c r="P624" s="731"/>
      <c r="Q624" s="731"/>
      <c r="R624" s="734"/>
      <c r="S624" s="731"/>
      <c r="T624" s="731"/>
      <c r="U624" s="734"/>
      <c r="V624" s="731"/>
      <c r="W624" s="731"/>
      <c r="X624" s="734"/>
      <c r="Y624" s="731"/>
      <c r="Z624" s="731"/>
    </row>
    <row r="625">
      <c r="C625" s="734"/>
      <c r="D625" s="731"/>
      <c r="E625" s="731"/>
      <c r="F625" s="734"/>
      <c r="G625" s="731"/>
      <c r="H625" s="731"/>
      <c r="I625" s="734"/>
      <c r="J625" s="731"/>
      <c r="K625" s="731"/>
      <c r="L625" s="734"/>
      <c r="M625" s="731"/>
      <c r="N625" s="731"/>
      <c r="O625" s="730"/>
      <c r="P625" s="731"/>
      <c r="Q625" s="731"/>
      <c r="R625" s="734"/>
      <c r="S625" s="731"/>
      <c r="T625" s="731"/>
      <c r="U625" s="734"/>
      <c r="V625" s="731"/>
      <c r="W625" s="731"/>
      <c r="X625" s="734"/>
      <c r="Y625" s="731"/>
      <c r="Z625" s="731"/>
    </row>
    <row r="626">
      <c r="C626" s="734"/>
      <c r="D626" s="731"/>
      <c r="E626" s="731"/>
      <c r="F626" s="734"/>
      <c r="G626" s="731"/>
      <c r="H626" s="731"/>
      <c r="I626" s="734"/>
      <c r="J626" s="731"/>
      <c r="K626" s="731"/>
      <c r="L626" s="734"/>
      <c r="M626" s="731"/>
      <c r="N626" s="731"/>
      <c r="O626" s="730"/>
      <c r="P626" s="731"/>
      <c r="Q626" s="731"/>
      <c r="R626" s="734"/>
      <c r="S626" s="731"/>
      <c r="T626" s="731"/>
      <c r="U626" s="734"/>
      <c r="V626" s="731"/>
      <c r="W626" s="731"/>
      <c r="X626" s="734"/>
      <c r="Y626" s="731"/>
      <c r="Z626" s="731"/>
    </row>
    <row r="627">
      <c r="C627" s="734"/>
      <c r="D627" s="731"/>
      <c r="E627" s="731"/>
      <c r="F627" s="734"/>
      <c r="G627" s="731"/>
      <c r="H627" s="731"/>
      <c r="I627" s="734"/>
      <c r="J627" s="731"/>
      <c r="K627" s="731"/>
      <c r="L627" s="734"/>
      <c r="M627" s="731"/>
      <c r="N627" s="731"/>
      <c r="O627" s="730"/>
      <c r="P627" s="731"/>
      <c r="Q627" s="731"/>
      <c r="R627" s="734"/>
      <c r="S627" s="731"/>
      <c r="T627" s="731"/>
      <c r="U627" s="734"/>
      <c r="V627" s="731"/>
      <c r="W627" s="731"/>
      <c r="X627" s="734"/>
      <c r="Y627" s="731"/>
      <c r="Z627" s="731"/>
    </row>
    <row r="628">
      <c r="C628" s="734"/>
      <c r="D628" s="731"/>
      <c r="E628" s="731"/>
      <c r="F628" s="734"/>
      <c r="G628" s="731"/>
      <c r="H628" s="731"/>
      <c r="I628" s="734"/>
      <c r="J628" s="731"/>
      <c r="K628" s="731"/>
      <c r="L628" s="734"/>
      <c r="M628" s="731"/>
      <c r="N628" s="731"/>
      <c r="O628" s="730"/>
      <c r="P628" s="731"/>
      <c r="Q628" s="731"/>
      <c r="R628" s="734"/>
      <c r="S628" s="731"/>
      <c r="T628" s="731"/>
      <c r="U628" s="734"/>
      <c r="V628" s="731"/>
      <c r="W628" s="731"/>
      <c r="X628" s="734"/>
      <c r="Y628" s="731"/>
      <c r="Z628" s="731"/>
    </row>
    <row r="629">
      <c r="C629" s="734"/>
      <c r="D629" s="731"/>
      <c r="E629" s="731"/>
      <c r="F629" s="734"/>
      <c r="G629" s="731"/>
      <c r="H629" s="731"/>
      <c r="I629" s="734"/>
      <c r="J629" s="731"/>
      <c r="K629" s="731"/>
      <c r="L629" s="734"/>
      <c r="M629" s="731"/>
      <c r="N629" s="731"/>
      <c r="O629" s="730"/>
      <c r="P629" s="731"/>
      <c r="Q629" s="731"/>
      <c r="R629" s="734"/>
      <c r="S629" s="731"/>
      <c r="T629" s="731"/>
      <c r="U629" s="734"/>
      <c r="V629" s="731"/>
      <c r="W629" s="731"/>
      <c r="X629" s="734"/>
      <c r="Y629" s="731"/>
      <c r="Z629" s="731"/>
    </row>
    <row r="630">
      <c r="C630" s="734"/>
      <c r="D630" s="731"/>
      <c r="E630" s="731"/>
      <c r="F630" s="734"/>
      <c r="G630" s="731"/>
      <c r="H630" s="731"/>
      <c r="I630" s="734"/>
      <c r="J630" s="731"/>
      <c r="K630" s="731"/>
      <c r="L630" s="734"/>
      <c r="M630" s="731"/>
      <c r="N630" s="731"/>
      <c r="O630" s="730"/>
      <c r="P630" s="731"/>
      <c r="Q630" s="731"/>
      <c r="R630" s="734"/>
      <c r="S630" s="731"/>
      <c r="T630" s="731"/>
      <c r="U630" s="734"/>
      <c r="V630" s="731"/>
      <c r="W630" s="731"/>
      <c r="X630" s="734"/>
      <c r="Y630" s="731"/>
      <c r="Z630" s="731"/>
    </row>
    <row r="631">
      <c r="C631" s="734"/>
      <c r="D631" s="731"/>
      <c r="E631" s="731"/>
      <c r="F631" s="734"/>
      <c r="G631" s="731"/>
      <c r="H631" s="731"/>
      <c r="I631" s="734"/>
      <c r="J631" s="731"/>
      <c r="K631" s="731"/>
      <c r="L631" s="734"/>
      <c r="M631" s="731"/>
      <c r="N631" s="731"/>
      <c r="O631" s="730"/>
      <c r="P631" s="731"/>
      <c r="Q631" s="731"/>
      <c r="R631" s="734"/>
      <c r="S631" s="731"/>
      <c r="T631" s="731"/>
      <c r="U631" s="734"/>
      <c r="V631" s="731"/>
      <c r="W631" s="731"/>
      <c r="X631" s="734"/>
      <c r="Y631" s="731"/>
      <c r="Z631" s="731"/>
    </row>
    <row r="632">
      <c r="C632" s="734"/>
      <c r="D632" s="731"/>
      <c r="E632" s="731"/>
      <c r="F632" s="734"/>
      <c r="G632" s="731"/>
      <c r="H632" s="731"/>
      <c r="I632" s="734"/>
      <c r="J632" s="731"/>
      <c r="K632" s="731"/>
      <c r="L632" s="734"/>
      <c r="M632" s="731"/>
      <c r="N632" s="731"/>
      <c r="O632" s="730"/>
      <c r="P632" s="731"/>
      <c r="Q632" s="731"/>
      <c r="R632" s="734"/>
      <c r="S632" s="731"/>
      <c r="T632" s="731"/>
      <c r="U632" s="734"/>
      <c r="V632" s="731"/>
      <c r="W632" s="731"/>
      <c r="X632" s="734"/>
      <c r="Y632" s="731"/>
      <c r="Z632" s="731"/>
    </row>
    <row r="633">
      <c r="C633" s="734"/>
      <c r="D633" s="731"/>
      <c r="E633" s="731"/>
      <c r="F633" s="734"/>
      <c r="G633" s="731"/>
      <c r="H633" s="731"/>
      <c r="I633" s="734"/>
      <c r="J633" s="731"/>
      <c r="K633" s="731"/>
      <c r="L633" s="734"/>
      <c r="M633" s="731"/>
      <c r="N633" s="731"/>
      <c r="O633" s="730"/>
      <c r="P633" s="731"/>
      <c r="Q633" s="731"/>
      <c r="R633" s="734"/>
      <c r="S633" s="731"/>
      <c r="T633" s="731"/>
      <c r="U633" s="734"/>
      <c r="V633" s="731"/>
      <c r="W633" s="731"/>
      <c r="X633" s="734"/>
      <c r="Y633" s="731"/>
      <c r="Z633" s="731"/>
    </row>
    <row r="634">
      <c r="C634" s="734"/>
      <c r="D634" s="731"/>
      <c r="E634" s="731"/>
      <c r="F634" s="734"/>
      <c r="G634" s="731"/>
      <c r="H634" s="731"/>
      <c r="I634" s="734"/>
      <c r="J634" s="731"/>
      <c r="K634" s="731"/>
      <c r="L634" s="734"/>
      <c r="M634" s="731"/>
      <c r="N634" s="731"/>
      <c r="O634" s="730"/>
      <c r="P634" s="731"/>
      <c r="Q634" s="731"/>
      <c r="R634" s="734"/>
      <c r="S634" s="731"/>
      <c r="T634" s="731"/>
      <c r="U634" s="734"/>
      <c r="V634" s="731"/>
      <c r="W634" s="731"/>
      <c r="X634" s="734"/>
      <c r="Y634" s="731"/>
      <c r="Z634" s="731"/>
    </row>
    <row r="635">
      <c r="C635" s="734"/>
      <c r="D635" s="731"/>
      <c r="E635" s="731"/>
      <c r="F635" s="734"/>
      <c r="G635" s="731"/>
      <c r="H635" s="731"/>
      <c r="I635" s="734"/>
      <c r="J635" s="731"/>
      <c r="K635" s="731"/>
      <c r="L635" s="734"/>
      <c r="M635" s="731"/>
      <c r="N635" s="731"/>
      <c r="O635" s="730"/>
      <c r="P635" s="731"/>
      <c r="Q635" s="731"/>
      <c r="R635" s="734"/>
      <c r="S635" s="731"/>
      <c r="T635" s="731"/>
      <c r="U635" s="734"/>
      <c r="V635" s="731"/>
      <c r="W635" s="731"/>
      <c r="X635" s="734"/>
      <c r="Y635" s="731"/>
      <c r="Z635" s="731"/>
    </row>
    <row r="636">
      <c r="C636" s="734"/>
      <c r="D636" s="731"/>
      <c r="E636" s="731"/>
      <c r="F636" s="734"/>
      <c r="G636" s="731"/>
      <c r="H636" s="731"/>
      <c r="I636" s="734"/>
      <c r="J636" s="731"/>
      <c r="K636" s="731"/>
      <c r="L636" s="734"/>
      <c r="M636" s="731"/>
      <c r="N636" s="731"/>
      <c r="O636" s="730"/>
      <c r="P636" s="731"/>
      <c r="Q636" s="731"/>
      <c r="R636" s="734"/>
      <c r="S636" s="731"/>
      <c r="T636" s="731"/>
      <c r="U636" s="734"/>
      <c r="V636" s="731"/>
      <c r="W636" s="731"/>
      <c r="X636" s="734"/>
      <c r="Y636" s="731"/>
      <c r="Z636" s="731"/>
    </row>
    <row r="637">
      <c r="C637" s="734"/>
      <c r="D637" s="731"/>
      <c r="E637" s="731"/>
      <c r="F637" s="734"/>
      <c r="G637" s="731"/>
      <c r="H637" s="731"/>
      <c r="I637" s="734"/>
      <c r="J637" s="731"/>
      <c r="K637" s="731"/>
      <c r="L637" s="734"/>
      <c r="M637" s="731"/>
      <c r="N637" s="731"/>
      <c r="O637" s="730"/>
      <c r="P637" s="731"/>
      <c r="Q637" s="731"/>
      <c r="R637" s="734"/>
      <c r="S637" s="731"/>
      <c r="T637" s="731"/>
      <c r="U637" s="734"/>
      <c r="V637" s="731"/>
      <c r="W637" s="731"/>
      <c r="X637" s="734"/>
      <c r="Y637" s="731"/>
      <c r="Z637" s="731"/>
    </row>
    <row r="638">
      <c r="C638" s="734"/>
      <c r="D638" s="731"/>
      <c r="E638" s="731"/>
      <c r="F638" s="734"/>
      <c r="G638" s="731"/>
      <c r="H638" s="731"/>
      <c r="I638" s="734"/>
      <c r="J638" s="731"/>
      <c r="K638" s="731"/>
      <c r="L638" s="734"/>
      <c r="M638" s="731"/>
      <c r="N638" s="731"/>
      <c r="O638" s="730"/>
      <c r="P638" s="731"/>
      <c r="Q638" s="731"/>
      <c r="R638" s="734"/>
      <c r="S638" s="731"/>
      <c r="T638" s="731"/>
      <c r="U638" s="734"/>
      <c r="V638" s="731"/>
      <c r="W638" s="731"/>
      <c r="X638" s="734"/>
      <c r="Y638" s="731"/>
      <c r="Z638" s="731"/>
    </row>
    <row r="639">
      <c r="C639" s="734"/>
      <c r="D639" s="731"/>
      <c r="E639" s="731"/>
      <c r="F639" s="734"/>
      <c r="G639" s="731"/>
      <c r="H639" s="731"/>
      <c r="I639" s="734"/>
      <c r="J639" s="731"/>
      <c r="K639" s="731"/>
      <c r="L639" s="734"/>
      <c r="M639" s="731"/>
      <c r="N639" s="731"/>
      <c r="O639" s="730"/>
      <c r="P639" s="731"/>
      <c r="Q639" s="731"/>
      <c r="R639" s="734"/>
      <c r="S639" s="731"/>
      <c r="T639" s="731"/>
      <c r="U639" s="734"/>
      <c r="V639" s="731"/>
      <c r="W639" s="731"/>
      <c r="X639" s="734"/>
      <c r="Y639" s="731"/>
      <c r="Z639" s="731"/>
    </row>
    <row r="640">
      <c r="C640" s="734"/>
      <c r="D640" s="731"/>
      <c r="E640" s="731"/>
      <c r="F640" s="734"/>
      <c r="G640" s="731"/>
      <c r="H640" s="731"/>
      <c r="I640" s="734"/>
      <c r="J640" s="731"/>
      <c r="K640" s="731"/>
      <c r="L640" s="734"/>
      <c r="M640" s="731"/>
      <c r="N640" s="731"/>
      <c r="O640" s="730"/>
      <c r="P640" s="731"/>
      <c r="Q640" s="731"/>
      <c r="R640" s="734"/>
      <c r="S640" s="731"/>
      <c r="T640" s="731"/>
      <c r="U640" s="734"/>
      <c r="V640" s="731"/>
      <c r="W640" s="731"/>
      <c r="X640" s="734"/>
      <c r="Y640" s="731"/>
      <c r="Z640" s="731"/>
    </row>
    <row r="641">
      <c r="C641" s="734"/>
      <c r="D641" s="731"/>
      <c r="E641" s="731"/>
      <c r="F641" s="734"/>
      <c r="G641" s="731"/>
      <c r="H641" s="731"/>
      <c r="I641" s="734"/>
      <c r="J641" s="731"/>
      <c r="K641" s="731"/>
      <c r="L641" s="734"/>
      <c r="M641" s="731"/>
      <c r="N641" s="731"/>
      <c r="O641" s="730"/>
      <c r="P641" s="731"/>
      <c r="Q641" s="731"/>
      <c r="R641" s="734"/>
      <c r="S641" s="731"/>
      <c r="T641" s="731"/>
      <c r="U641" s="734"/>
      <c r="V641" s="731"/>
      <c r="W641" s="731"/>
      <c r="X641" s="734"/>
      <c r="Y641" s="731"/>
      <c r="Z641" s="731"/>
    </row>
    <row r="642">
      <c r="C642" s="734"/>
      <c r="D642" s="731"/>
      <c r="E642" s="731"/>
      <c r="F642" s="734"/>
      <c r="G642" s="731"/>
      <c r="H642" s="731"/>
      <c r="I642" s="734"/>
      <c r="J642" s="731"/>
      <c r="K642" s="731"/>
      <c r="L642" s="734"/>
      <c r="M642" s="731"/>
      <c r="N642" s="731"/>
      <c r="O642" s="730"/>
      <c r="P642" s="731"/>
      <c r="Q642" s="731"/>
      <c r="R642" s="734"/>
      <c r="S642" s="731"/>
      <c r="T642" s="731"/>
      <c r="U642" s="734"/>
      <c r="V642" s="731"/>
      <c r="W642" s="731"/>
      <c r="X642" s="734"/>
      <c r="Y642" s="731"/>
      <c r="Z642" s="731"/>
    </row>
    <row r="643">
      <c r="C643" s="734"/>
      <c r="D643" s="731"/>
      <c r="E643" s="731"/>
      <c r="F643" s="734"/>
      <c r="G643" s="731"/>
      <c r="H643" s="731"/>
      <c r="I643" s="734"/>
      <c r="J643" s="731"/>
      <c r="K643" s="731"/>
      <c r="L643" s="734"/>
      <c r="M643" s="731"/>
      <c r="N643" s="731"/>
      <c r="O643" s="730"/>
      <c r="P643" s="731"/>
      <c r="Q643" s="731"/>
      <c r="R643" s="734"/>
      <c r="S643" s="731"/>
      <c r="T643" s="731"/>
      <c r="U643" s="734"/>
      <c r="V643" s="731"/>
      <c r="W643" s="731"/>
      <c r="X643" s="734"/>
      <c r="Y643" s="731"/>
      <c r="Z643" s="731"/>
    </row>
    <row r="644">
      <c r="C644" s="734"/>
      <c r="D644" s="731"/>
      <c r="E644" s="731"/>
      <c r="F644" s="734"/>
      <c r="G644" s="731"/>
      <c r="H644" s="731"/>
      <c r="I644" s="734"/>
      <c r="J644" s="731"/>
      <c r="K644" s="731"/>
      <c r="L644" s="734"/>
      <c r="M644" s="731"/>
      <c r="N644" s="731"/>
      <c r="O644" s="730"/>
      <c r="P644" s="731"/>
      <c r="Q644" s="731"/>
      <c r="R644" s="734"/>
      <c r="S644" s="731"/>
      <c r="T644" s="731"/>
      <c r="U644" s="734"/>
      <c r="V644" s="731"/>
      <c r="W644" s="731"/>
      <c r="X644" s="734"/>
      <c r="Y644" s="731"/>
      <c r="Z644" s="731"/>
    </row>
    <row r="645">
      <c r="C645" s="734"/>
      <c r="D645" s="731"/>
      <c r="E645" s="731"/>
      <c r="F645" s="734"/>
      <c r="G645" s="731"/>
      <c r="H645" s="731"/>
      <c r="I645" s="734"/>
      <c r="J645" s="731"/>
      <c r="K645" s="731"/>
      <c r="L645" s="734"/>
      <c r="M645" s="731"/>
      <c r="N645" s="731"/>
      <c r="O645" s="730"/>
      <c r="P645" s="731"/>
      <c r="Q645" s="731"/>
      <c r="R645" s="734"/>
      <c r="S645" s="731"/>
      <c r="T645" s="731"/>
      <c r="U645" s="734"/>
      <c r="V645" s="731"/>
      <c r="W645" s="731"/>
      <c r="X645" s="734"/>
      <c r="Y645" s="731"/>
      <c r="Z645" s="731"/>
    </row>
    <row r="646">
      <c r="C646" s="734"/>
      <c r="D646" s="731"/>
      <c r="E646" s="731"/>
      <c r="F646" s="734"/>
      <c r="G646" s="731"/>
      <c r="H646" s="731"/>
      <c r="I646" s="734"/>
      <c r="J646" s="731"/>
      <c r="K646" s="731"/>
      <c r="L646" s="734"/>
      <c r="M646" s="731"/>
      <c r="N646" s="731"/>
      <c r="O646" s="730"/>
      <c r="P646" s="731"/>
      <c r="Q646" s="731"/>
      <c r="R646" s="734"/>
      <c r="S646" s="731"/>
      <c r="T646" s="731"/>
      <c r="U646" s="734"/>
      <c r="V646" s="731"/>
      <c r="W646" s="731"/>
      <c r="X646" s="734"/>
      <c r="Y646" s="731"/>
      <c r="Z646" s="731"/>
    </row>
    <row r="647">
      <c r="C647" s="734"/>
      <c r="D647" s="731"/>
      <c r="E647" s="731"/>
      <c r="F647" s="734"/>
      <c r="G647" s="731"/>
      <c r="H647" s="731"/>
      <c r="I647" s="734"/>
      <c r="J647" s="731"/>
      <c r="K647" s="731"/>
      <c r="L647" s="734"/>
      <c r="M647" s="731"/>
      <c r="N647" s="731"/>
      <c r="O647" s="730"/>
      <c r="P647" s="731"/>
      <c r="Q647" s="731"/>
      <c r="R647" s="734"/>
      <c r="S647" s="731"/>
      <c r="T647" s="731"/>
      <c r="U647" s="734"/>
      <c r="V647" s="731"/>
      <c r="W647" s="731"/>
      <c r="X647" s="734"/>
      <c r="Y647" s="731"/>
      <c r="Z647" s="731"/>
    </row>
    <row r="648">
      <c r="C648" s="734"/>
      <c r="D648" s="731"/>
      <c r="E648" s="731"/>
      <c r="F648" s="734"/>
      <c r="G648" s="731"/>
      <c r="H648" s="731"/>
      <c r="I648" s="734"/>
      <c r="J648" s="731"/>
      <c r="K648" s="731"/>
      <c r="L648" s="734"/>
      <c r="M648" s="731"/>
      <c r="N648" s="731"/>
      <c r="O648" s="730"/>
      <c r="P648" s="731"/>
      <c r="Q648" s="731"/>
      <c r="R648" s="734"/>
      <c r="S648" s="731"/>
      <c r="T648" s="731"/>
      <c r="U648" s="734"/>
      <c r="V648" s="731"/>
      <c r="W648" s="731"/>
      <c r="X648" s="734"/>
      <c r="Y648" s="731"/>
      <c r="Z648" s="731"/>
    </row>
    <row r="649">
      <c r="C649" s="734"/>
      <c r="D649" s="731"/>
      <c r="E649" s="731"/>
      <c r="F649" s="734"/>
      <c r="G649" s="731"/>
      <c r="H649" s="731"/>
      <c r="I649" s="734"/>
      <c r="J649" s="731"/>
      <c r="K649" s="731"/>
      <c r="L649" s="734"/>
      <c r="M649" s="731"/>
      <c r="N649" s="731"/>
      <c r="O649" s="730"/>
      <c r="P649" s="731"/>
      <c r="Q649" s="731"/>
      <c r="R649" s="734"/>
      <c r="S649" s="731"/>
      <c r="T649" s="731"/>
      <c r="U649" s="734"/>
      <c r="V649" s="731"/>
      <c r="W649" s="731"/>
      <c r="X649" s="734"/>
      <c r="Y649" s="731"/>
      <c r="Z649" s="731"/>
    </row>
    <row r="650">
      <c r="C650" s="734"/>
      <c r="D650" s="731"/>
      <c r="E650" s="731"/>
      <c r="F650" s="734"/>
      <c r="G650" s="731"/>
      <c r="H650" s="731"/>
      <c r="I650" s="734"/>
      <c r="J650" s="731"/>
      <c r="K650" s="731"/>
      <c r="L650" s="734"/>
      <c r="M650" s="731"/>
      <c r="N650" s="731"/>
      <c r="O650" s="730"/>
      <c r="P650" s="731"/>
      <c r="Q650" s="731"/>
      <c r="R650" s="734"/>
      <c r="S650" s="731"/>
      <c r="T650" s="731"/>
      <c r="U650" s="734"/>
      <c r="V650" s="731"/>
      <c r="W650" s="731"/>
      <c r="X650" s="734"/>
      <c r="Y650" s="731"/>
      <c r="Z650" s="731"/>
    </row>
    <row r="651">
      <c r="C651" s="734"/>
      <c r="D651" s="731"/>
      <c r="E651" s="731"/>
      <c r="F651" s="734"/>
      <c r="G651" s="731"/>
      <c r="H651" s="731"/>
      <c r="I651" s="734"/>
      <c r="J651" s="731"/>
      <c r="K651" s="731"/>
      <c r="L651" s="734"/>
      <c r="M651" s="731"/>
      <c r="N651" s="731"/>
      <c r="O651" s="730"/>
      <c r="P651" s="731"/>
      <c r="Q651" s="731"/>
      <c r="R651" s="734"/>
      <c r="S651" s="731"/>
      <c r="T651" s="731"/>
      <c r="U651" s="734"/>
      <c r="V651" s="731"/>
      <c r="W651" s="731"/>
      <c r="X651" s="734"/>
      <c r="Y651" s="731"/>
      <c r="Z651" s="731"/>
    </row>
    <row r="652">
      <c r="C652" s="734"/>
      <c r="D652" s="731"/>
      <c r="E652" s="731"/>
      <c r="F652" s="734"/>
      <c r="G652" s="731"/>
      <c r="H652" s="731"/>
      <c r="I652" s="734"/>
      <c r="J652" s="731"/>
      <c r="K652" s="731"/>
      <c r="L652" s="734"/>
      <c r="M652" s="731"/>
      <c r="N652" s="731"/>
      <c r="O652" s="730"/>
      <c r="P652" s="731"/>
      <c r="Q652" s="731"/>
      <c r="R652" s="734"/>
      <c r="S652" s="731"/>
      <c r="T652" s="731"/>
      <c r="U652" s="734"/>
      <c r="V652" s="731"/>
      <c r="W652" s="731"/>
      <c r="X652" s="734"/>
      <c r="Y652" s="731"/>
      <c r="Z652" s="731"/>
    </row>
    <row r="653">
      <c r="C653" s="734"/>
      <c r="D653" s="731"/>
      <c r="E653" s="731"/>
      <c r="F653" s="734"/>
      <c r="G653" s="731"/>
      <c r="H653" s="731"/>
      <c r="I653" s="734"/>
      <c r="J653" s="731"/>
      <c r="K653" s="731"/>
      <c r="L653" s="734"/>
      <c r="M653" s="731"/>
      <c r="N653" s="731"/>
      <c r="O653" s="730"/>
      <c r="P653" s="731"/>
      <c r="Q653" s="731"/>
      <c r="R653" s="734"/>
      <c r="S653" s="731"/>
      <c r="T653" s="731"/>
      <c r="U653" s="734"/>
      <c r="V653" s="731"/>
      <c r="W653" s="731"/>
      <c r="X653" s="734"/>
      <c r="Y653" s="731"/>
      <c r="Z653" s="731"/>
    </row>
    <row r="654">
      <c r="C654" s="734"/>
      <c r="D654" s="731"/>
      <c r="E654" s="731"/>
      <c r="F654" s="734"/>
      <c r="G654" s="731"/>
      <c r="H654" s="731"/>
      <c r="I654" s="734"/>
      <c r="J654" s="731"/>
      <c r="K654" s="731"/>
      <c r="L654" s="734"/>
      <c r="M654" s="731"/>
      <c r="N654" s="731"/>
      <c r="O654" s="730"/>
      <c r="P654" s="731"/>
      <c r="Q654" s="731"/>
      <c r="R654" s="734"/>
      <c r="S654" s="731"/>
      <c r="T654" s="731"/>
      <c r="U654" s="734"/>
      <c r="V654" s="731"/>
      <c r="W654" s="731"/>
      <c r="X654" s="734"/>
      <c r="Y654" s="731"/>
      <c r="Z654" s="731"/>
    </row>
    <row r="655">
      <c r="C655" s="734"/>
      <c r="D655" s="731"/>
      <c r="E655" s="731"/>
      <c r="F655" s="734"/>
      <c r="G655" s="731"/>
      <c r="H655" s="731"/>
      <c r="I655" s="734"/>
      <c r="J655" s="731"/>
      <c r="K655" s="731"/>
      <c r="L655" s="734"/>
      <c r="M655" s="731"/>
      <c r="N655" s="731"/>
      <c r="O655" s="730"/>
      <c r="P655" s="731"/>
      <c r="Q655" s="731"/>
      <c r="R655" s="734"/>
      <c r="S655" s="731"/>
      <c r="T655" s="731"/>
      <c r="U655" s="734"/>
      <c r="V655" s="731"/>
      <c r="W655" s="731"/>
      <c r="X655" s="734"/>
      <c r="Y655" s="731"/>
      <c r="Z655" s="731"/>
    </row>
    <row r="656">
      <c r="C656" s="734"/>
      <c r="D656" s="731"/>
      <c r="E656" s="731"/>
      <c r="F656" s="734"/>
      <c r="G656" s="731"/>
      <c r="H656" s="731"/>
      <c r="I656" s="734"/>
      <c r="J656" s="731"/>
      <c r="K656" s="731"/>
      <c r="L656" s="734"/>
      <c r="M656" s="731"/>
      <c r="N656" s="731"/>
      <c r="O656" s="730"/>
      <c r="P656" s="731"/>
      <c r="Q656" s="731"/>
      <c r="R656" s="734"/>
      <c r="S656" s="731"/>
      <c r="T656" s="731"/>
      <c r="U656" s="734"/>
      <c r="V656" s="731"/>
      <c r="W656" s="731"/>
      <c r="X656" s="734"/>
      <c r="Y656" s="731"/>
      <c r="Z656" s="731"/>
    </row>
    <row r="657">
      <c r="C657" s="734"/>
      <c r="D657" s="731"/>
      <c r="E657" s="731"/>
      <c r="F657" s="734"/>
      <c r="G657" s="731"/>
      <c r="H657" s="731"/>
      <c r="I657" s="734"/>
      <c r="J657" s="731"/>
      <c r="K657" s="731"/>
      <c r="L657" s="734"/>
      <c r="M657" s="731"/>
      <c r="N657" s="731"/>
      <c r="O657" s="730"/>
      <c r="P657" s="731"/>
      <c r="Q657" s="731"/>
      <c r="R657" s="734"/>
      <c r="S657" s="731"/>
      <c r="T657" s="731"/>
      <c r="U657" s="734"/>
      <c r="V657" s="731"/>
      <c r="W657" s="731"/>
      <c r="X657" s="734"/>
      <c r="Y657" s="731"/>
      <c r="Z657" s="731"/>
    </row>
    <row r="658">
      <c r="C658" s="734"/>
      <c r="D658" s="731"/>
      <c r="E658" s="731"/>
      <c r="F658" s="734"/>
      <c r="G658" s="731"/>
      <c r="H658" s="731"/>
      <c r="I658" s="734"/>
      <c r="J658" s="731"/>
      <c r="K658" s="731"/>
      <c r="L658" s="734"/>
      <c r="M658" s="731"/>
      <c r="N658" s="731"/>
      <c r="O658" s="730"/>
      <c r="P658" s="731"/>
      <c r="Q658" s="731"/>
      <c r="R658" s="734"/>
      <c r="S658" s="731"/>
      <c r="T658" s="731"/>
      <c r="U658" s="734"/>
      <c r="V658" s="731"/>
      <c r="W658" s="731"/>
      <c r="X658" s="734"/>
      <c r="Y658" s="731"/>
      <c r="Z658" s="731"/>
    </row>
    <row r="659">
      <c r="C659" s="734"/>
      <c r="D659" s="731"/>
      <c r="E659" s="731"/>
      <c r="F659" s="734"/>
      <c r="G659" s="731"/>
      <c r="H659" s="731"/>
      <c r="I659" s="734"/>
      <c r="J659" s="731"/>
      <c r="K659" s="731"/>
      <c r="L659" s="734"/>
      <c r="M659" s="731"/>
      <c r="N659" s="731"/>
      <c r="O659" s="730"/>
      <c r="P659" s="731"/>
      <c r="Q659" s="731"/>
      <c r="R659" s="734"/>
      <c r="S659" s="731"/>
      <c r="T659" s="731"/>
      <c r="U659" s="734"/>
      <c r="V659" s="731"/>
      <c r="W659" s="731"/>
      <c r="X659" s="734"/>
      <c r="Y659" s="731"/>
      <c r="Z659" s="731"/>
    </row>
    <row r="660">
      <c r="C660" s="734"/>
      <c r="D660" s="731"/>
      <c r="E660" s="731"/>
      <c r="F660" s="734"/>
      <c r="G660" s="731"/>
      <c r="H660" s="731"/>
      <c r="I660" s="734"/>
      <c r="J660" s="731"/>
      <c r="K660" s="731"/>
      <c r="L660" s="734"/>
      <c r="M660" s="731"/>
      <c r="N660" s="731"/>
      <c r="O660" s="730"/>
      <c r="P660" s="731"/>
      <c r="Q660" s="731"/>
      <c r="R660" s="734"/>
      <c r="S660" s="731"/>
      <c r="T660" s="731"/>
      <c r="U660" s="734"/>
      <c r="V660" s="731"/>
      <c r="W660" s="731"/>
      <c r="X660" s="734"/>
      <c r="Y660" s="731"/>
      <c r="Z660" s="731"/>
    </row>
    <row r="661">
      <c r="C661" s="734"/>
      <c r="D661" s="731"/>
      <c r="E661" s="731"/>
      <c r="F661" s="734"/>
      <c r="G661" s="731"/>
      <c r="H661" s="731"/>
      <c r="I661" s="734"/>
      <c r="J661" s="731"/>
      <c r="K661" s="731"/>
      <c r="L661" s="734"/>
      <c r="M661" s="731"/>
      <c r="N661" s="731"/>
      <c r="O661" s="730"/>
      <c r="P661" s="731"/>
      <c r="Q661" s="731"/>
      <c r="R661" s="734"/>
      <c r="S661" s="731"/>
      <c r="T661" s="731"/>
      <c r="U661" s="734"/>
      <c r="V661" s="731"/>
      <c r="W661" s="731"/>
      <c r="X661" s="734"/>
      <c r="Y661" s="731"/>
      <c r="Z661" s="731"/>
    </row>
    <row r="662">
      <c r="C662" s="734"/>
      <c r="D662" s="731"/>
      <c r="E662" s="731"/>
      <c r="F662" s="734"/>
      <c r="G662" s="731"/>
      <c r="H662" s="731"/>
      <c r="I662" s="734"/>
      <c r="J662" s="731"/>
      <c r="K662" s="731"/>
      <c r="L662" s="734"/>
      <c r="M662" s="731"/>
      <c r="N662" s="731"/>
      <c r="O662" s="730"/>
      <c r="P662" s="731"/>
      <c r="Q662" s="731"/>
      <c r="R662" s="734"/>
      <c r="S662" s="731"/>
      <c r="T662" s="731"/>
      <c r="U662" s="734"/>
      <c r="V662" s="731"/>
      <c r="W662" s="731"/>
      <c r="X662" s="734"/>
      <c r="Y662" s="731"/>
      <c r="Z662" s="731"/>
    </row>
    <row r="663">
      <c r="C663" s="734"/>
      <c r="D663" s="731"/>
      <c r="E663" s="731"/>
      <c r="F663" s="734"/>
      <c r="G663" s="731"/>
      <c r="H663" s="731"/>
      <c r="I663" s="734"/>
      <c r="J663" s="731"/>
      <c r="K663" s="731"/>
      <c r="L663" s="734"/>
      <c r="M663" s="731"/>
      <c r="N663" s="731"/>
      <c r="O663" s="730"/>
      <c r="P663" s="731"/>
      <c r="Q663" s="731"/>
      <c r="R663" s="734"/>
      <c r="S663" s="731"/>
      <c r="T663" s="731"/>
      <c r="U663" s="734"/>
      <c r="V663" s="731"/>
      <c r="W663" s="731"/>
      <c r="X663" s="734"/>
      <c r="Y663" s="731"/>
      <c r="Z663" s="731"/>
    </row>
    <row r="664">
      <c r="C664" s="734"/>
      <c r="D664" s="731"/>
      <c r="E664" s="731"/>
      <c r="F664" s="734"/>
      <c r="G664" s="731"/>
      <c r="H664" s="731"/>
      <c r="I664" s="734"/>
      <c r="J664" s="731"/>
      <c r="K664" s="731"/>
      <c r="L664" s="734"/>
      <c r="M664" s="731"/>
      <c r="N664" s="731"/>
      <c r="O664" s="730"/>
      <c r="P664" s="731"/>
      <c r="Q664" s="731"/>
      <c r="R664" s="734"/>
      <c r="S664" s="731"/>
      <c r="T664" s="731"/>
      <c r="U664" s="734"/>
      <c r="V664" s="731"/>
      <c r="W664" s="731"/>
      <c r="X664" s="734"/>
      <c r="Y664" s="731"/>
      <c r="Z664" s="731"/>
    </row>
    <row r="665">
      <c r="C665" s="734"/>
      <c r="D665" s="731"/>
      <c r="E665" s="731"/>
      <c r="F665" s="734"/>
      <c r="G665" s="731"/>
      <c r="H665" s="731"/>
      <c r="I665" s="734"/>
      <c r="J665" s="731"/>
      <c r="K665" s="731"/>
      <c r="L665" s="734"/>
      <c r="M665" s="731"/>
      <c r="N665" s="731"/>
      <c r="O665" s="730"/>
      <c r="P665" s="731"/>
      <c r="Q665" s="731"/>
      <c r="R665" s="734"/>
      <c r="S665" s="731"/>
      <c r="T665" s="731"/>
      <c r="U665" s="734"/>
      <c r="V665" s="731"/>
      <c r="W665" s="731"/>
      <c r="X665" s="734"/>
      <c r="Y665" s="731"/>
      <c r="Z665" s="731"/>
    </row>
    <row r="666">
      <c r="C666" s="734"/>
      <c r="D666" s="731"/>
      <c r="E666" s="731"/>
      <c r="F666" s="734"/>
      <c r="G666" s="731"/>
      <c r="H666" s="731"/>
      <c r="I666" s="734"/>
      <c r="J666" s="731"/>
      <c r="K666" s="731"/>
      <c r="L666" s="734"/>
      <c r="M666" s="731"/>
      <c r="N666" s="731"/>
      <c r="O666" s="730"/>
      <c r="P666" s="731"/>
      <c r="Q666" s="731"/>
      <c r="R666" s="734"/>
      <c r="S666" s="731"/>
      <c r="T666" s="731"/>
      <c r="U666" s="734"/>
      <c r="V666" s="731"/>
      <c r="W666" s="731"/>
      <c r="X666" s="734"/>
      <c r="Y666" s="731"/>
      <c r="Z666" s="731"/>
    </row>
    <row r="667">
      <c r="C667" s="734"/>
      <c r="D667" s="731"/>
      <c r="E667" s="731"/>
      <c r="F667" s="734"/>
      <c r="G667" s="731"/>
      <c r="H667" s="731"/>
      <c r="I667" s="734"/>
      <c r="J667" s="731"/>
      <c r="K667" s="731"/>
      <c r="L667" s="734"/>
      <c r="M667" s="731"/>
      <c r="N667" s="731"/>
      <c r="O667" s="730"/>
      <c r="P667" s="731"/>
      <c r="Q667" s="731"/>
      <c r="R667" s="734"/>
      <c r="S667" s="731"/>
      <c r="T667" s="731"/>
      <c r="U667" s="734"/>
      <c r="V667" s="731"/>
      <c r="W667" s="731"/>
      <c r="X667" s="734"/>
      <c r="Y667" s="731"/>
      <c r="Z667" s="731"/>
    </row>
    <row r="668">
      <c r="C668" s="734"/>
      <c r="D668" s="731"/>
      <c r="E668" s="731"/>
      <c r="F668" s="734"/>
      <c r="G668" s="731"/>
      <c r="H668" s="731"/>
      <c r="I668" s="734"/>
      <c r="J668" s="731"/>
      <c r="K668" s="731"/>
      <c r="L668" s="734"/>
      <c r="M668" s="731"/>
      <c r="N668" s="731"/>
      <c r="O668" s="730"/>
      <c r="P668" s="731"/>
      <c r="Q668" s="731"/>
      <c r="R668" s="734"/>
      <c r="S668" s="731"/>
      <c r="T668" s="731"/>
      <c r="U668" s="734"/>
      <c r="V668" s="731"/>
      <c r="W668" s="731"/>
      <c r="X668" s="734"/>
      <c r="Y668" s="731"/>
      <c r="Z668" s="731"/>
    </row>
    <row r="669">
      <c r="C669" s="734"/>
      <c r="D669" s="731"/>
      <c r="E669" s="731"/>
      <c r="F669" s="734"/>
      <c r="G669" s="731"/>
      <c r="H669" s="731"/>
      <c r="I669" s="734"/>
      <c r="J669" s="731"/>
      <c r="K669" s="731"/>
      <c r="L669" s="734"/>
      <c r="M669" s="731"/>
      <c r="N669" s="731"/>
      <c r="O669" s="730"/>
      <c r="P669" s="731"/>
      <c r="Q669" s="731"/>
      <c r="R669" s="734"/>
      <c r="S669" s="731"/>
      <c r="T669" s="731"/>
      <c r="U669" s="734"/>
      <c r="V669" s="731"/>
      <c r="W669" s="731"/>
      <c r="X669" s="734"/>
      <c r="Y669" s="731"/>
      <c r="Z669" s="731"/>
    </row>
    <row r="670">
      <c r="C670" s="734"/>
      <c r="D670" s="731"/>
      <c r="E670" s="731"/>
      <c r="F670" s="734"/>
      <c r="G670" s="731"/>
      <c r="H670" s="731"/>
      <c r="I670" s="734"/>
      <c r="J670" s="731"/>
      <c r="K670" s="731"/>
      <c r="L670" s="734"/>
      <c r="M670" s="731"/>
      <c r="N670" s="731"/>
      <c r="O670" s="730"/>
      <c r="P670" s="731"/>
      <c r="Q670" s="731"/>
      <c r="R670" s="734"/>
      <c r="S670" s="731"/>
      <c r="T670" s="731"/>
      <c r="U670" s="734"/>
      <c r="V670" s="731"/>
      <c r="W670" s="731"/>
      <c r="X670" s="734"/>
      <c r="Y670" s="731"/>
      <c r="Z670" s="731"/>
    </row>
    <row r="671">
      <c r="C671" s="734"/>
      <c r="D671" s="731"/>
      <c r="E671" s="731"/>
      <c r="F671" s="734"/>
      <c r="G671" s="731"/>
      <c r="H671" s="731"/>
      <c r="I671" s="734"/>
      <c r="J671" s="731"/>
      <c r="K671" s="731"/>
      <c r="L671" s="734"/>
      <c r="M671" s="731"/>
      <c r="N671" s="731"/>
      <c r="O671" s="730"/>
      <c r="P671" s="731"/>
      <c r="Q671" s="731"/>
      <c r="R671" s="734"/>
      <c r="S671" s="731"/>
      <c r="T671" s="731"/>
      <c r="U671" s="734"/>
      <c r="V671" s="731"/>
      <c r="W671" s="731"/>
      <c r="X671" s="734"/>
      <c r="Y671" s="731"/>
      <c r="Z671" s="731"/>
    </row>
    <row r="672">
      <c r="C672" s="734"/>
      <c r="D672" s="731"/>
      <c r="E672" s="731"/>
      <c r="F672" s="734"/>
      <c r="G672" s="731"/>
      <c r="H672" s="731"/>
      <c r="I672" s="734"/>
      <c r="J672" s="731"/>
      <c r="K672" s="731"/>
      <c r="L672" s="734"/>
      <c r="M672" s="731"/>
      <c r="N672" s="731"/>
      <c r="O672" s="730"/>
      <c r="P672" s="731"/>
      <c r="Q672" s="731"/>
      <c r="R672" s="734"/>
      <c r="S672" s="731"/>
      <c r="T672" s="731"/>
      <c r="U672" s="734"/>
      <c r="V672" s="731"/>
      <c r="W672" s="731"/>
      <c r="X672" s="734"/>
      <c r="Y672" s="731"/>
      <c r="Z672" s="731"/>
    </row>
    <row r="673">
      <c r="C673" s="734"/>
      <c r="D673" s="731"/>
      <c r="E673" s="731"/>
      <c r="F673" s="734"/>
      <c r="G673" s="731"/>
      <c r="H673" s="731"/>
      <c r="I673" s="734"/>
      <c r="J673" s="731"/>
      <c r="K673" s="731"/>
      <c r="L673" s="734"/>
      <c r="M673" s="731"/>
      <c r="N673" s="731"/>
      <c r="O673" s="730"/>
      <c r="P673" s="731"/>
      <c r="Q673" s="731"/>
      <c r="R673" s="734"/>
      <c r="S673" s="731"/>
      <c r="T673" s="731"/>
      <c r="U673" s="734"/>
      <c r="V673" s="731"/>
      <c r="W673" s="731"/>
      <c r="X673" s="734"/>
      <c r="Y673" s="731"/>
      <c r="Z673" s="731"/>
    </row>
    <row r="674">
      <c r="C674" s="734"/>
      <c r="D674" s="731"/>
      <c r="E674" s="731"/>
      <c r="F674" s="734"/>
      <c r="G674" s="731"/>
      <c r="H674" s="731"/>
      <c r="I674" s="734"/>
      <c r="J674" s="731"/>
      <c r="K674" s="731"/>
      <c r="L674" s="734"/>
      <c r="M674" s="731"/>
      <c r="N674" s="731"/>
      <c r="O674" s="730"/>
      <c r="P674" s="731"/>
      <c r="Q674" s="731"/>
      <c r="R674" s="734"/>
      <c r="S674" s="731"/>
      <c r="T674" s="731"/>
      <c r="U674" s="734"/>
      <c r="V674" s="731"/>
      <c r="W674" s="731"/>
      <c r="X674" s="734"/>
      <c r="Y674" s="731"/>
      <c r="Z674" s="731"/>
    </row>
    <row r="675">
      <c r="C675" s="734"/>
      <c r="D675" s="731"/>
      <c r="E675" s="731"/>
      <c r="F675" s="734"/>
      <c r="G675" s="731"/>
      <c r="H675" s="731"/>
      <c r="I675" s="734"/>
      <c r="J675" s="731"/>
      <c r="K675" s="731"/>
      <c r="L675" s="734"/>
      <c r="M675" s="731"/>
      <c r="N675" s="731"/>
      <c r="O675" s="730"/>
      <c r="P675" s="731"/>
      <c r="Q675" s="731"/>
      <c r="R675" s="734"/>
      <c r="S675" s="731"/>
      <c r="T675" s="731"/>
      <c r="U675" s="734"/>
      <c r="V675" s="731"/>
      <c r="W675" s="731"/>
      <c r="X675" s="734"/>
      <c r="Y675" s="731"/>
      <c r="Z675" s="731"/>
    </row>
    <row r="676">
      <c r="C676" s="734"/>
      <c r="D676" s="731"/>
      <c r="E676" s="731"/>
      <c r="F676" s="734"/>
      <c r="G676" s="731"/>
      <c r="H676" s="731"/>
      <c r="I676" s="734"/>
      <c r="J676" s="731"/>
      <c r="K676" s="731"/>
      <c r="L676" s="734"/>
      <c r="M676" s="731"/>
      <c r="N676" s="731"/>
      <c r="O676" s="730"/>
      <c r="P676" s="731"/>
      <c r="Q676" s="731"/>
      <c r="R676" s="734"/>
      <c r="S676" s="731"/>
      <c r="T676" s="731"/>
      <c r="U676" s="734"/>
      <c r="V676" s="731"/>
      <c r="W676" s="731"/>
      <c r="X676" s="734"/>
      <c r="Y676" s="731"/>
      <c r="Z676" s="731"/>
    </row>
    <row r="677">
      <c r="C677" s="734"/>
      <c r="D677" s="731"/>
      <c r="E677" s="731"/>
      <c r="F677" s="734"/>
      <c r="G677" s="731"/>
      <c r="H677" s="731"/>
      <c r="I677" s="734"/>
      <c r="J677" s="731"/>
      <c r="K677" s="731"/>
      <c r="L677" s="734"/>
      <c r="M677" s="731"/>
      <c r="N677" s="731"/>
      <c r="O677" s="730"/>
      <c r="P677" s="731"/>
      <c r="Q677" s="731"/>
      <c r="R677" s="734"/>
      <c r="S677" s="731"/>
      <c r="T677" s="731"/>
      <c r="U677" s="734"/>
      <c r="V677" s="731"/>
      <c r="W677" s="731"/>
      <c r="X677" s="734"/>
      <c r="Y677" s="731"/>
      <c r="Z677" s="731"/>
    </row>
    <row r="678">
      <c r="C678" s="734"/>
      <c r="D678" s="731"/>
      <c r="E678" s="731"/>
      <c r="F678" s="734"/>
      <c r="G678" s="731"/>
      <c r="H678" s="731"/>
      <c r="I678" s="734"/>
      <c r="J678" s="731"/>
      <c r="K678" s="731"/>
      <c r="L678" s="734"/>
      <c r="M678" s="731"/>
      <c r="N678" s="731"/>
      <c r="O678" s="730"/>
      <c r="P678" s="731"/>
      <c r="Q678" s="731"/>
      <c r="R678" s="734"/>
      <c r="S678" s="731"/>
      <c r="T678" s="731"/>
      <c r="U678" s="734"/>
      <c r="V678" s="731"/>
      <c r="W678" s="731"/>
      <c r="X678" s="734"/>
      <c r="Y678" s="731"/>
      <c r="Z678" s="731"/>
    </row>
    <row r="679">
      <c r="C679" s="734"/>
      <c r="D679" s="731"/>
      <c r="E679" s="731"/>
      <c r="F679" s="734"/>
      <c r="G679" s="731"/>
      <c r="H679" s="731"/>
      <c r="I679" s="734"/>
      <c r="J679" s="731"/>
      <c r="K679" s="731"/>
      <c r="L679" s="734"/>
      <c r="M679" s="731"/>
      <c r="N679" s="731"/>
      <c r="O679" s="730"/>
      <c r="P679" s="731"/>
      <c r="Q679" s="731"/>
      <c r="R679" s="734"/>
      <c r="S679" s="731"/>
      <c r="T679" s="731"/>
      <c r="U679" s="734"/>
      <c r="V679" s="731"/>
      <c r="W679" s="731"/>
      <c r="X679" s="734"/>
      <c r="Y679" s="731"/>
      <c r="Z679" s="731"/>
    </row>
    <row r="680">
      <c r="C680" s="734"/>
      <c r="D680" s="731"/>
      <c r="E680" s="731"/>
      <c r="F680" s="734"/>
      <c r="G680" s="731"/>
      <c r="H680" s="731"/>
      <c r="I680" s="734"/>
      <c r="J680" s="731"/>
      <c r="K680" s="731"/>
      <c r="L680" s="734"/>
      <c r="M680" s="731"/>
      <c r="N680" s="731"/>
      <c r="O680" s="730"/>
      <c r="P680" s="731"/>
      <c r="Q680" s="731"/>
      <c r="R680" s="734"/>
      <c r="S680" s="731"/>
      <c r="T680" s="731"/>
      <c r="U680" s="734"/>
      <c r="V680" s="731"/>
      <c r="W680" s="731"/>
      <c r="X680" s="734"/>
      <c r="Y680" s="731"/>
      <c r="Z680" s="731"/>
    </row>
    <row r="681">
      <c r="C681" s="734"/>
      <c r="D681" s="731"/>
      <c r="E681" s="731"/>
      <c r="F681" s="734"/>
      <c r="G681" s="731"/>
      <c r="H681" s="731"/>
      <c r="I681" s="734"/>
      <c r="J681" s="731"/>
      <c r="K681" s="731"/>
      <c r="L681" s="734"/>
      <c r="M681" s="731"/>
      <c r="N681" s="731"/>
      <c r="O681" s="730"/>
      <c r="P681" s="731"/>
      <c r="Q681" s="731"/>
      <c r="R681" s="734"/>
      <c r="S681" s="731"/>
      <c r="T681" s="731"/>
      <c r="U681" s="734"/>
      <c r="V681" s="731"/>
      <c r="W681" s="731"/>
      <c r="X681" s="734"/>
      <c r="Y681" s="731"/>
      <c r="Z681" s="731"/>
    </row>
    <row r="682">
      <c r="C682" s="734"/>
      <c r="D682" s="731"/>
      <c r="E682" s="731"/>
      <c r="F682" s="734"/>
      <c r="G682" s="731"/>
      <c r="H682" s="731"/>
      <c r="I682" s="734"/>
      <c r="J682" s="731"/>
      <c r="K682" s="731"/>
      <c r="L682" s="734"/>
      <c r="M682" s="731"/>
      <c r="N682" s="731"/>
      <c r="O682" s="730"/>
      <c r="P682" s="731"/>
      <c r="Q682" s="731"/>
      <c r="R682" s="734"/>
      <c r="S682" s="731"/>
      <c r="T682" s="731"/>
      <c r="U682" s="734"/>
      <c r="V682" s="731"/>
      <c r="W682" s="731"/>
      <c r="X682" s="734"/>
      <c r="Y682" s="731"/>
      <c r="Z682" s="731"/>
    </row>
    <row r="683">
      <c r="C683" s="734"/>
      <c r="D683" s="731"/>
      <c r="E683" s="731"/>
      <c r="F683" s="734"/>
      <c r="G683" s="731"/>
      <c r="H683" s="731"/>
      <c r="I683" s="734"/>
      <c r="J683" s="731"/>
      <c r="K683" s="731"/>
      <c r="L683" s="734"/>
      <c r="M683" s="731"/>
      <c r="N683" s="731"/>
      <c r="O683" s="730"/>
      <c r="P683" s="731"/>
      <c r="Q683" s="731"/>
      <c r="R683" s="734"/>
      <c r="S683" s="731"/>
      <c r="T683" s="731"/>
      <c r="U683" s="734"/>
      <c r="V683" s="731"/>
      <c r="W683" s="731"/>
      <c r="X683" s="734"/>
      <c r="Y683" s="731"/>
      <c r="Z683" s="731"/>
    </row>
    <row r="684">
      <c r="C684" s="734"/>
      <c r="D684" s="731"/>
      <c r="E684" s="731"/>
      <c r="F684" s="734"/>
      <c r="G684" s="731"/>
      <c r="H684" s="731"/>
      <c r="I684" s="734"/>
      <c r="J684" s="731"/>
      <c r="K684" s="731"/>
      <c r="L684" s="734"/>
      <c r="M684" s="731"/>
      <c r="N684" s="731"/>
      <c r="O684" s="730"/>
      <c r="P684" s="731"/>
      <c r="Q684" s="731"/>
      <c r="R684" s="734"/>
      <c r="S684" s="731"/>
      <c r="T684" s="731"/>
      <c r="U684" s="734"/>
      <c r="V684" s="731"/>
      <c r="W684" s="731"/>
      <c r="X684" s="734"/>
      <c r="Y684" s="731"/>
      <c r="Z684" s="731"/>
    </row>
    <row r="685">
      <c r="C685" s="734"/>
      <c r="D685" s="731"/>
      <c r="E685" s="731"/>
      <c r="F685" s="734"/>
      <c r="G685" s="731"/>
      <c r="H685" s="731"/>
      <c r="I685" s="734"/>
      <c r="J685" s="731"/>
      <c r="K685" s="731"/>
      <c r="L685" s="734"/>
      <c r="M685" s="731"/>
      <c r="N685" s="731"/>
      <c r="O685" s="730"/>
      <c r="P685" s="731"/>
      <c r="Q685" s="731"/>
      <c r="R685" s="734"/>
      <c r="S685" s="731"/>
      <c r="T685" s="731"/>
      <c r="U685" s="734"/>
      <c r="V685" s="731"/>
      <c r="W685" s="731"/>
      <c r="X685" s="734"/>
      <c r="Y685" s="731"/>
      <c r="Z685" s="731"/>
    </row>
    <row r="686">
      <c r="C686" s="734"/>
      <c r="D686" s="731"/>
      <c r="E686" s="731"/>
      <c r="F686" s="734"/>
      <c r="G686" s="731"/>
      <c r="H686" s="731"/>
      <c r="I686" s="734"/>
      <c r="J686" s="731"/>
      <c r="K686" s="731"/>
      <c r="L686" s="734"/>
      <c r="M686" s="731"/>
      <c r="N686" s="731"/>
      <c r="O686" s="730"/>
      <c r="P686" s="731"/>
      <c r="Q686" s="731"/>
      <c r="R686" s="734"/>
      <c r="S686" s="731"/>
      <c r="T686" s="731"/>
      <c r="U686" s="734"/>
      <c r="V686" s="731"/>
      <c r="W686" s="731"/>
      <c r="X686" s="734"/>
      <c r="Y686" s="731"/>
      <c r="Z686" s="731"/>
    </row>
    <row r="687">
      <c r="C687" s="734"/>
      <c r="D687" s="731"/>
      <c r="E687" s="731"/>
      <c r="F687" s="734"/>
      <c r="G687" s="731"/>
      <c r="H687" s="731"/>
      <c r="I687" s="734"/>
      <c r="J687" s="731"/>
      <c r="K687" s="731"/>
      <c r="L687" s="734"/>
      <c r="M687" s="731"/>
      <c r="N687" s="731"/>
      <c r="O687" s="730"/>
      <c r="P687" s="731"/>
      <c r="Q687" s="731"/>
      <c r="R687" s="734"/>
      <c r="S687" s="731"/>
      <c r="T687" s="731"/>
      <c r="U687" s="734"/>
      <c r="V687" s="731"/>
      <c r="W687" s="731"/>
      <c r="X687" s="734"/>
      <c r="Y687" s="731"/>
      <c r="Z687" s="731"/>
    </row>
    <row r="688">
      <c r="C688" s="734"/>
      <c r="D688" s="731"/>
      <c r="E688" s="731"/>
      <c r="F688" s="734"/>
      <c r="G688" s="731"/>
      <c r="H688" s="731"/>
      <c r="I688" s="734"/>
      <c r="J688" s="731"/>
      <c r="K688" s="731"/>
      <c r="L688" s="734"/>
      <c r="M688" s="731"/>
      <c r="N688" s="731"/>
      <c r="O688" s="730"/>
      <c r="P688" s="731"/>
      <c r="Q688" s="731"/>
      <c r="R688" s="734"/>
      <c r="S688" s="731"/>
      <c r="T688" s="731"/>
      <c r="U688" s="734"/>
      <c r="V688" s="731"/>
      <c r="W688" s="731"/>
      <c r="X688" s="734"/>
      <c r="Y688" s="731"/>
      <c r="Z688" s="731"/>
    </row>
    <row r="689">
      <c r="C689" s="734"/>
      <c r="D689" s="731"/>
      <c r="E689" s="731"/>
      <c r="F689" s="734"/>
      <c r="G689" s="731"/>
      <c r="H689" s="731"/>
      <c r="I689" s="734"/>
      <c r="J689" s="731"/>
      <c r="K689" s="731"/>
      <c r="L689" s="734"/>
      <c r="M689" s="731"/>
      <c r="N689" s="731"/>
      <c r="O689" s="730"/>
      <c r="P689" s="731"/>
      <c r="Q689" s="731"/>
      <c r="R689" s="734"/>
      <c r="S689" s="731"/>
      <c r="T689" s="731"/>
      <c r="U689" s="734"/>
      <c r="V689" s="731"/>
      <c r="W689" s="731"/>
      <c r="X689" s="734"/>
      <c r="Y689" s="731"/>
      <c r="Z689" s="731"/>
    </row>
    <row r="690">
      <c r="C690" s="734"/>
      <c r="D690" s="731"/>
      <c r="E690" s="731"/>
      <c r="F690" s="734"/>
      <c r="G690" s="731"/>
      <c r="H690" s="731"/>
      <c r="I690" s="734"/>
      <c r="J690" s="731"/>
      <c r="K690" s="731"/>
      <c r="L690" s="734"/>
      <c r="M690" s="731"/>
      <c r="N690" s="731"/>
      <c r="O690" s="730"/>
      <c r="P690" s="731"/>
      <c r="Q690" s="731"/>
      <c r="R690" s="734"/>
      <c r="S690" s="731"/>
      <c r="T690" s="731"/>
      <c r="U690" s="734"/>
      <c r="V690" s="731"/>
      <c r="W690" s="731"/>
      <c r="X690" s="734"/>
      <c r="Y690" s="731"/>
      <c r="Z690" s="731"/>
    </row>
    <row r="691">
      <c r="C691" s="734"/>
      <c r="D691" s="731"/>
      <c r="E691" s="731"/>
      <c r="F691" s="734"/>
      <c r="G691" s="731"/>
      <c r="H691" s="731"/>
      <c r="I691" s="734"/>
      <c r="J691" s="731"/>
      <c r="K691" s="731"/>
      <c r="L691" s="734"/>
      <c r="M691" s="731"/>
      <c r="N691" s="731"/>
      <c r="O691" s="730"/>
      <c r="P691" s="731"/>
      <c r="Q691" s="731"/>
      <c r="R691" s="734"/>
      <c r="S691" s="731"/>
      <c r="T691" s="731"/>
      <c r="U691" s="734"/>
      <c r="V691" s="731"/>
      <c r="W691" s="731"/>
      <c r="X691" s="734"/>
      <c r="Y691" s="731"/>
      <c r="Z691" s="731"/>
    </row>
    <row r="692">
      <c r="C692" s="734"/>
      <c r="D692" s="731"/>
      <c r="E692" s="731"/>
      <c r="F692" s="734"/>
      <c r="G692" s="731"/>
      <c r="H692" s="731"/>
      <c r="I692" s="734"/>
      <c r="J692" s="731"/>
      <c r="K692" s="731"/>
      <c r="L692" s="734"/>
      <c r="M692" s="731"/>
      <c r="N692" s="731"/>
      <c r="O692" s="730"/>
      <c r="P692" s="731"/>
      <c r="Q692" s="731"/>
      <c r="R692" s="734"/>
      <c r="S692" s="731"/>
      <c r="T692" s="731"/>
      <c r="U692" s="734"/>
      <c r="V692" s="731"/>
      <c r="W692" s="731"/>
      <c r="X692" s="734"/>
      <c r="Y692" s="731"/>
      <c r="Z692" s="731"/>
    </row>
    <row r="693">
      <c r="C693" s="734"/>
      <c r="D693" s="731"/>
      <c r="E693" s="731"/>
      <c r="F693" s="734"/>
      <c r="G693" s="731"/>
      <c r="H693" s="731"/>
      <c r="I693" s="734"/>
      <c r="J693" s="731"/>
      <c r="K693" s="731"/>
      <c r="L693" s="734"/>
      <c r="M693" s="731"/>
      <c r="N693" s="731"/>
      <c r="O693" s="730"/>
      <c r="P693" s="731"/>
      <c r="Q693" s="731"/>
      <c r="R693" s="734"/>
      <c r="S693" s="731"/>
      <c r="T693" s="731"/>
      <c r="U693" s="734"/>
      <c r="V693" s="731"/>
      <c r="W693" s="731"/>
      <c r="X693" s="734"/>
      <c r="Y693" s="731"/>
      <c r="Z693" s="731"/>
    </row>
    <row r="694">
      <c r="C694" s="734"/>
      <c r="D694" s="731"/>
      <c r="E694" s="731"/>
      <c r="F694" s="734"/>
      <c r="G694" s="731"/>
      <c r="H694" s="731"/>
      <c r="I694" s="734"/>
      <c r="J694" s="731"/>
      <c r="K694" s="731"/>
      <c r="L694" s="734"/>
      <c r="M694" s="731"/>
      <c r="N694" s="731"/>
      <c r="O694" s="730"/>
      <c r="P694" s="731"/>
      <c r="Q694" s="731"/>
      <c r="R694" s="734"/>
      <c r="S694" s="731"/>
      <c r="T694" s="731"/>
      <c r="U694" s="734"/>
      <c r="V694" s="731"/>
      <c r="W694" s="731"/>
      <c r="X694" s="734"/>
      <c r="Y694" s="731"/>
      <c r="Z694" s="731"/>
    </row>
    <row r="695">
      <c r="C695" s="734"/>
      <c r="D695" s="731"/>
      <c r="E695" s="731"/>
      <c r="F695" s="734"/>
      <c r="G695" s="731"/>
      <c r="H695" s="731"/>
      <c r="I695" s="734"/>
      <c r="J695" s="731"/>
      <c r="K695" s="731"/>
      <c r="L695" s="734"/>
      <c r="M695" s="731"/>
      <c r="N695" s="731"/>
      <c r="O695" s="730"/>
      <c r="P695" s="731"/>
      <c r="Q695" s="731"/>
      <c r="R695" s="734"/>
      <c r="S695" s="731"/>
      <c r="T695" s="731"/>
      <c r="U695" s="734"/>
      <c r="V695" s="731"/>
      <c r="W695" s="731"/>
      <c r="X695" s="734"/>
      <c r="Y695" s="731"/>
      <c r="Z695" s="731"/>
    </row>
    <row r="696">
      <c r="C696" s="734"/>
      <c r="D696" s="731"/>
      <c r="E696" s="731"/>
      <c r="F696" s="734"/>
      <c r="G696" s="731"/>
      <c r="H696" s="731"/>
      <c r="I696" s="734"/>
      <c r="J696" s="731"/>
      <c r="K696" s="731"/>
      <c r="L696" s="734"/>
      <c r="M696" s="731"/>
      <c r="N696" s="731"/>
      <c r="O696" s="730"/>
      <c r="P696" s="731"/>
      <c r="Q696" s="731"/>
      <c r="R696" s="734"/>
      <c r="S696" s="731"/>
      <c r="T696" s="731"/>
      <c r="U696" s="734"/>
      <c r="V696" s="731"/>
      <c r="W696" s="731"/>
      <c r="X696" s="734"/>
      <c r="Y696" s="731"/>
      <c r="Z696" s="731"/>
    </row>
    <row r="697">
      <c r="C697" s="734"/>
      <c r="D697" s="731"/>
      <c r="E697" s="731"/>
      <c r="F697" s="734"/>
      <c r="G697" s="731"/>
      <c r="H697" s="731"/>
      <c r="I697" s="734"/>
      <c r="J697" s="731"/>
      <c r="K697" s="731"/>
      <c r="L697" s="734"/>
      <c r="M697" s="731"/>
      <c r="N697" s="731"/>
      <c r="O697" s="730"/>
      <c r="P697" s="731"/>
      <c r="Q697" s="731"/>
      <c r="R697" s="734"/>
      <c r="S697" s="731"/>
      <c r="T697" s="731"/>
      <c r="U697" s="734"/>
      <c r="V697" s="731"/>
      <c r="W697" s="731"/>
      <c r="X697" s="734"/>
      <c r="Y697" s="731"/>
      <c r="Z697" s="731"/>
    </row>
    <row r="698">
      <c r="C698" s="734"/>
      <c r="D698" s="731"/>
      <c r="E698" s="731"/>
      <c r="F698" s="734"/>
      <c r="G698" s="731"/>
      <c r="H698" s="731"/>
      <c r="I698" s="734"/>
      <c r="J698" s="731"/>
      <c r="K698" s="731"/>
      <c r="L698" s="734"/>
      <c r="M698" s="731"/>
      <c r="N698" s="731"/>
      <c r="O698" s="730"/>
      <c r="P698" s="731"/>
      <c r="Q698" s="731"/>
      <c r="R698" s="734"/>
      <c r="S698" s="731"/>
      <c r="T698" s="731"/>
      <c r="U698" s="734"/>
      <c r="V698" s="731"/>
      <c r="W698" s="731"/>
      <c r="X698" s="734"/>
      <c r="Y698" s="731"/>
      <c r="Z698" s="731"/>
    </row>
    <row r="699">
      <c r="C699" s="734"/>
      <c r="D699" s="731"/>
      <c r="E699" s="731"/>
      <c r="F699" s="734"/>
      <c r="G699" s="731"/>
      <c r="H699" s="731"/>
      <c r="I699" s="734"/>
      <c r="J699" s="731"/>
      <c r="K699" s="731"/>
      <c r="L699" s="734"/>
      <c r="M699" s="731"/>
      <c r="N699" s="731"/>
      <c r="O699" s="730"/>
      <c r="P699" s="731"/>
      <c r="Q699" s="731"/>
      <c r="R699" s="734"/>
      <c r="S699" s="731"/>
      <c r="T699" s="731"/>
      <c r="U699" s="734"/>
      <c r="V699" s="731"/>
      <c r="W699" s="731"/>
      <c r="X699" s="734"/>
      <c r="Y699" s="731"/>
      <c r="Z699" s="731"/>
    </row>
    <row r="700">
      <c r="C700" s="734"/>
      <c r="D700" s="731"/>
      <c r="E700" s="731"/>
      <c r="F700" s="734"/>
      <c r="G700" s="731"/>
      <c r="H700" s="731"/>
      <c r="I700" s="734"/>
      <c r="J700" s="731"/>
      <c r="K700" s="731"/>
      <c r="L700" s="734"/>
      <c r="M700" s="731"/>
      <c r="N700" s="731"/>
      <c r="O700" s="730"/>
      <c r="P700" s="731"/>
      <c r="Q700" s="731"/>
      <c r="R700" s="734"/>
      <c r="S700" s="731"/>
      <c r="T700" s="731"/>
      <c r="U700" s="734"/>
      <c r="V700" s="731"/>
      <c r="W700" s="731"/>
      <c r="X700" s="734"/>
      <c r="Y700" s="731"/>
      <c r="Z700" s="731"/>
    </row>
    <row r="701">
      <c r="C701" s="734"/>
      <c r="D701" s="731"/>
      <c r="E701" s="731"/>
      <c r="F701" s="734"/>
      <c r="G701" s="731"/>
      <c r="H701" s="731"/>
      <c r="I701" s="734"/>
      <c r="J701" s="731"/>
      <c r="K701" s="731"/>
      <c r="L701" s="734"/>
      <c r="M701" s="731"/>
      <c r="N701" s="731"/>
      <c r="O701" s="730"/>
      <c r="P701" s="731"/>
      <c r="Q701" s="731"/>
      <c r="R701" s="734"/>
      <c r="S701" s="731"/>
      <c r="T701" s="731"/>
      <c r="U701" s="734"/>
      <c r="V701" s="731"/>
      <c r="W701" s="731"/>
      <c r="X701" s="734"/>
      <c r="Y701" s="731"/>
      <c r="Z701" s="731"/>
    </row>
    <row r="702">
      <c r="C702" s="734"/>
      <c r="D702" s="731"/>
      <c r="E702" s="731"/>
      <c r="F702" s="734"/>
      <c r="G702" s="731"/>
      <c r="H702" s="731"/>
      <c r="I702" s="734"/>
      <c r="J702" s="731"/>
      <c r="K702" s="731"/>
      <c r="L702" s="734"/>
      <c r="M702" s="731"/>
      <c r="N702" s="731"/>
      <c r="O702" s="730"/>
      <c r="P702" s="731"/>
      <c r="Q702" s="731"/>
      <c r="R702" s="734"/>
      <c r="S702" s="731"/>
      <c r="T702" s="731"/>
      <c r="U702" s="734"/>
      <c r="V702" s="731"/>
      <c r="W702" s="731"/>
      <c r="X702" s="734"/>
      <c r="Y702" s="731"/>
      <c r="Z702" s="731"/>
    </row>
    <row r="703">
      <c r="C703" s="734"/>
      <c r="D703" s="731"/>
      <c r="E703" s="731"/>
      <c r="F703" s="734"/>
      <c r="G703" s="731"/>
      <c r="H703" s="731"/>
      <c r="I703" s="734"/>
      <c r="J703" s="731"/>
      <c r="K703" s="731"/>
      <c r="L703" s="734"/>
      <c r="M703" s="731"/>
      <c r="N703" s="731"/>
      <c r="O703" s="730"/>
      <c r="P703" s="731"/>
      <c r="Q703" s="731"/>
      <c r="R703" s="734"/>
      <c r="S703" s="731"/>
      <c r="T703" s="731"/>
      <c r="U703" s="734"/>
      <c r="V703" s="731"/>
      <c r="W703" s="731"/>
      <c r="X703" s="734"/>
      <c r="Y703" s="731"/>
      <c r="Z703" s="731"/>
    </row>
    <row r="704">
      <c r="C704" s="734"/>
      <c r="D704" s="731"/>
      <c r="E704" s="731"/>
      <c r="F704" s="734"/>
      <c r="G704" s="731"/>
      <c r="H704" s="731"/>
      <c r="I704" s="734"/>
      <c r="J704" s="731"/>
      <c r="K704" s="731"/>
      <c r="L704" s="734"/>
      <c r="M704" s="731"/>
      <c r="N704" s="731"/>
      <c r="O704" s="730"/>
      <c r="P704" s="731"/>
      <c r="Q704" s="731"/>
      <c r="R704" s="734"/>
      <c r="S704" s="731"/>
      <c r="T704" s="731"/>
      <c r="U704" s="734"/>
      <c r="V704" s="731"/>
      <c r="W704" s="731"/>
      <c r="X704" s="734"/>
      <c r="Y704" s="731"/>
      <c r="Z704" s="731"/>
    </row>
    <row r="705">
      <c r="C705" s="734"/>
      <c r="D705" s="731"/>
      <c r="E705" s="731"/>
      <c r="F705" s="734"/>
      <c r="G705" s="731"/>
      <c r="H705" s="731"/>
      <c r="I705" s="734"/>
      <c r="J705" s="731"/>
      <c r="K705" s="731"/>
      <c r="L705" s="734"/>
      <c r="M705" s="731"/>
      <c r="N705" s="731"/>
      <c r="O705" s="730"/>
      <c r="P705" s="731"/>
      <c r="Q705" s="731"/>
      <c r="R705" s="734"/>
      <c r="S705" s="731"/>
      <c r="T705" s="731"/>
      <c r="U705" s="734"/>
      <c r="V705" s="731"/>
      <c r="W705" s="731"/>
      <c r="X705" s="734"/>
      <c r="Y705" s="731"/>
      <c r="Z705" s="731"/>
    </row>
    <row r="706">
      <c r="C706" s="734"/>
      <c r="D706" s="731"/>
      <c r="E706" s="731"/>
      <c r="F706" s="734"/>
      <c r="G706" s="731"/>
      <c r="H706" s="731"/>
      <c r="I706" s="734"/>
      <c r="J706" s="731"/>
      <c r="K706" s="731"/>
      <c r="L706" s="734"/>
      <c r="M706" s="731"/>
      <c r="N706" s="731"/>
      <c r="O706" s="730"/>
      <c r="P706" s="731"/>
      <c r="Q706" s="731"/>
      <c r="R706" s="734"/>
      <c r="S706" s="731"/>
      <c r="T706" s="731"/>
      <c r="U706" s="734"/>
      <c r="V706" s="731"/>
      <c r="W706" s="731"/>
      <c r="X706" s="734"/>
      <c r="Y706" s="731"/>
      <c r="Z706" s="731"/>
    </row>
    <row r="707">
      <c r="C707" s="734"/>
      <c r="D707" s="731"/>
      <c r="E707" s="731"/>
      <c r="F707" s="734"/>
      <c r="G707" s="731"/>
      <c r="H707" s="731"/>
      <c r="I707" s="734"/>
      <c r="J707" s="731"/>
      <c r="K707" s="731"/>
      <c r="L707" s="734"/>
      <c r="M707" s="731"/>
      <c r="N707" s="731"/>
      <c r="O707" s="730"/>
      <c r="P707" s="731"/>
      <c r="Q707" s="731"/>
      <c r="R707" s="734"/>
      <c r="S707" s="731"/>
      <c r="T707" s="731"/>
      <c r="U707" s="734"/>
      <c r="V707" s="731"/>
      <c r="W707" s="731"/>
      <c r="X707" s="734"/>
      <c r="Y707" s="731"/>
      <c r="Z707" s="731"/>
    </row>
    <row r="708">
      <c r="C708" s="734"/>
      <c r="D708" s="731"/>
      <c r="E708" s="731"/>
      <c r="F708" s="734"/>
      <c r="G708" s="731"/>
      <c r="H708" s="731"/>
      <c r="I708" s="734"/>
      <c r="J708" s="731"/>
      <c r="K708" s="731"/>
      <c r="L708" s="734"/>
      <c r="M708" s="731"/>
      <c r="N708" s="731"/>
      <c r="O708" s="730"/>
      <c r="P708" s="731"/>
      <c r="Q708" s="731"/>
      <c r="R708" s="734"/>
      <c r="S708" s="731"/>
      <c r="T708" s="731"/>
      <c r="U708" s="734"/>
      <c r="V708" s="731"/>
      <c r="W708" s="731"/>
      <c r="X708" s="734"/>
      <c r="Y708" s="731"/>
      <c r="Z708" s="731"/>
    </row>
    <row r="709">
      <c r="C709" s="734"/>
      <c r="D709" s="731"/>
      <c r="E709" s="731"/>
      <c r="F709" s="734"/>
      <c r="G709" s="731"/>
      <c r="H709" s="731"/>
      <c r="I709" s="734"/>
      <c r="J709" s="731"/>
      <c r="K709" s="731"/>
      <c r="L709" s="734"/>
      <c r="M709" s="731"/>
      <c r="N709" s="731"/>
      <c r="O709" s="730"/>
      <c r="P709" s="731"/>
      <c r="Q709" s="731"/>
      <c r="R709" s="734"/>
      <c r="S709" s="731"/>
      <c r="T709" s="731"/>
      <c r="U709" s="734"/>
      <c r="V709" s="731"/>
      <c r="W709" s="731"/>
      <c r="X709" s="734"/>
      <c r="Y709" s="731"/>
      <c r="Z709" s="731"/>
    </row>
    <row r="710">
      <c r="C710" s="734"/>
      <c r="D710" s="731"/>
      <c r="E710" s="731"/>
      <c r="F710" s="734"/>
      <c r="G710" s="731"/>
      <c r="H710" s="731"/>
      <c r="I710" s="734"/>
      <c r="J710" s="731"/>
      <c r="K710" s="731"/>
      <c r="L710" s="734"/>
      <c r="M710" s="731"/>
      <c r="N710" s="731"/>
      <c r="O710" s="730"/>
      <c r="P710" s="731"/>
      <c r="Q710" s="731"/>
      <c r="R710" s="734"/>
      <c r="S710" s="731"/>
      <c r="T710" s="731"/>
      <c r="U710" s="734"/>
      <c r="V710" s="731"/>
      <c r="W710" s="731"/>
      <c r="X710" s="734"/>
      <c r="Y710" s="731"/>
      <c r="Z710" s="731"/>
    </row>
    <row r="711">
      <c r="C711" s="734"/>
      <c r="D711" s="731"/>
      <c r="E711" s="731"/>
      <c r="F711" s="734"/>
      <c r="G711" s="731"/>
      <c r="H711" s="731"/>
      <c r="I711" s="734"/>
      <c r="J711" s="731"/>
      <c r="K711" s="731"/>
      <c r="L711" s="734"/>
      <c r="M711" s="731"/>
      <c r="N711" s="731"/>
      <c r="O711" s="730"/>
      <c r="P711" s="731"/>
      <c r="Q711" s="731"/>
      <c r="R711" s="734"/>
      <c r="S711" s="731"/>
      <c r="T711" s="731"/>
      <c r="U711" s="734"/>
      <c r="V711" s="731"/>
      <c r="W711" s="731"/>
      <c r="X711" s="734"/>
      <c r="Y711" s="731"/>
      <c r="Z711" s="731"/>
    </row>
    <row r="712">
      <c r="C712" s="734"/>
      <c r="D712" s="731"/>
      <c r="E712" s="731"/>
      <c r="F712" s="734"/>
      <c r="G712" s="731"/>
      <c r="H712" s="731"/>
      <c r="I712" s="734"/>
      <c r="J712" s="731"/>
      <c r="K712" s="731"/>
      <c r="L712" s="734"/>
      <c r="M712" s="731"/>
      <c r="N712" s="731"/>
      <c r="O712" s="730"/>
      <c r="P712" s="731"/>
      <c r="Q712" s="731"/>
      <c r="R712" s="734"/>
      <c r="S712" s="731"/>
      <c r="T712" s="731"/>
      <c r="U712" s="734"/>
      <c r="V712" s="731"/>
      <c r="W712" s="731"/>
      <c r="X712" s="734"/>
      <c r="Y712" s="731"/>
      <c r="Z712" s="731"/>
    </row>
    <row r="713">
      <c r="C713" s="734"/>
      <c r="D713" s="731"/>
      <c r="E713" s="731"/>
      <c r="F713" s="734"/>
      <c r="G713" s="731"/>
      <c r="H713" s="731"/>
      <c r="I713" s="734"/>
      <c r="J713" s="731"/>
      <c r="K713" s="731"/>
      <c r="L713" s="734"/>
      <c r="M713" s="731"/>
      <c r="N713" s="731"/>
      <c r="O713" s="730"/>
      <c r="P713" s="731"/>
      <c r="Q713" s="731"/>
      <c r="R713" s="734"/>
      <c r="S713" s="731"/>
      <c r="T713" s="731"/>
      <c r="U713" s="734"/>
      <c r="V713" s="731"/>
      <c r="W713" s="731"/>
      <c r="X713" s="734"/>
      <c r="Y713" s="731"/>
      <c r="Z713" s="731"/>
    </row>
    <row r="714">
      <c r="C714" s="734"/>
      <c r="D714" s="731"/>
      <c r="E714" s="731"/>
      <c r="F714" s="734"/>
      <c r="G714" s="731"/>
      <c r="H714" s="731"/>
      <c r="I714" s="734"/>
      <c r="J714" s="731"/>
      <c r="K714" s="731"/>
      <c r="L714" s="734"/>
      <c r="M714" s="731"/>
      <c r="N714" s="731"/>
      <c r="O714" s="730"/>
      <c r="P714" s="731"/>
      <c r="Q714" s="731"/>
      <c r="R714" s="734"/>
      <c r="S714" s="731"/>
      <c r="T714" s="731"/>
      <c r="U714" s="734"/>
      <c r="V714" s="731"/>
      <c r="W714" s="731"/>
      <c r="X714" s="734"/>
      <c r="Y714" s="731"/>
      <c r="Z714" s="731"/>
    </row>
    <row r="715">
      <c r="C715" s="734"/>
      <c r="D715" s="731"/>
      <c r="E715" s="731"/>
      <c r="F715" s="734"/>
      <c r="G715" s="731"/>
      <c r="H715" s="731"/>
      <c r="I715" s="734"/>
      <c r="J715" s="731"/>
      <c r="K715" s="731"/>
      <c r="L715" s="734"/>
      <c r="M715" s="731"/>
      <c r="N715" s="731"/>
      <c r="O715" s="730"/>
      <c r="P715" s="731"/>
      <c r="Q715" s="731"/>
      <c r="R715" s="734"/>
      <c r="S715" s="731"/>
      <c r="T715" s="731"/>
      <c r="U715" s="734"/>
      <c r="V715" s="731"/>
      <c r="W715" s="731"/>
      <c r="X715" s="734"/>
      <c r="Y715" s="731"/>
      <c r="Z715" s="731"/>
    </row>
    <row r="716">
      <c r="C716" s="734"/>
      <c r="D716" s="731"/>
      <c r="E716" s="731"/>
      <c r="F716" s="734"/>
      <c r="G716" s="731"/>
      <c r="H716" s="731"/>
      <c r="I716" s="734"/>
      <c r="J716" s="731"/>
      <c r="K716" s="731"/>
      <c r="L716" s="734"/>
      <c r="M716" s="731"/>
      <c r="N716" s="731"/>
      <c r="O716" s="730"/>
      <c r="P716" s="731"/>
      <c r="Q716" s="731"/>
      <c r="R716" s="734"/>
      <c r="S716" s="731"/>
      <c r="T716" s="731"/>
      <c r="U716" s="734"/>
      <c r="V716" s="731"/>
      <c r="W716" s="731"/>
      <c r="X716" s="734"/>
      <c r="Y716" s="731"/>
      <c r="Z716" s="731"/>
    </row>
    <row r="717">
      <c r="C717" s="734"/>
      <c r="D717" s="731"/>
      <c r="E717" s="731"/>
      <c r="F717" s="734"/>
      <c r="G717" s="731"/>
      <c r="H717" s="731"/>
      <c r="I717" s="734"/>
      <c r="J717" s="731"/>
      <c r="K717" s="731"/>
      <c r="L717" s="734"/>
      <c r="M717" s="731"/>
      <c r="N717" s="731"/>
      <c r="O717" s="730"/>
      <c r="P717" s="731"/>
      <c r="Q717" s="731"/>
      <c r="R717" s="734"/>
      <c r="S717" s="731"/>
      <c r="T717" s="731"/>
      <c r="U717" s="734"/>
      <c r="V717" s="731"/>
      <c r="W717" s="731"/>
      <c r="X717" s="734"/>
      <c r="Y717" s="731"/>
      <c r="Z717" s="731"/>
    </row>
    <row r="718">
      <c r="C718" s="734"/>
      <c r="D718" s="731"/>
      <c r="E718" s="731"/>
      <c r="F718" s="734"/>
      <c r="G718" s="731"/>
      <c r="H718" s="731"/>
      <c r="I718" s="734"/>
      <c r="J718" s="731"/>
      <c r="K718" s="731"/>
      <c r="L718" s="734"/>
      <c r="M718" s="731"/>
      <c r="N718" s="731"/>
      <c r="O718" s="730"/>
      <c r="P718" s="731"/>
      <c r="Q718" s="731"/>
      <c r="R718" s="734"/>
      <c r="S718" s="731"/>
      <c r="T718" s="731"/>
      <c r="U718" s="734"/>
      <c r="V718" s="731"/>
      <c r="W718" s="731"/>
      <c r="X718" s="734"/>
      <c r="Y718" s="731"/>
      <c r="Z718" s="731"/>
    </row>
    <row r="719">
      <c r="C719" s="734"/>
      <c r="D719" s="731"/>
      <c r="E719" s="731"/>
      <c r="F719" s="734"/>
      <c r="G719" s="731"/>
      <c r="H719" s="731"/>
      <c r="I719" s="734"/>
      <c r="J719" s="731"/>
      <c r="K719" s="731"/>
      <c r="L719" s="734"/>
      <c r="M719" s="731"/>
      <c r="N719" s="731"/>
      <c r="O719" s="730"/>
      <c r="P719" s="731"/>
      <c r="Q719" s="731"/>
      <c r="R719" s="734"/>
      <c r="S719" s="731"/>
      <c r="T719" s="731"/>
      <c r="U719" s="734"/>
      <c r="V719" s="731"/>
      <c r="W719" s="731"/>
      <c r="X719" s="734"/>
      <c r="Y719" s="731"/>
      <c r="Z719" s="731"/>
    </row>
    <row r="720">
      <c r="C720" s="734"/>
      <c r="D720" s="731"/>
      <c r="E720" s="731"/>
      <c r="F720" s="734"/>
      <c r="G720" s="731"/>
      <c r="H720" s="731"/>
      <c r="I720" s="734"/>
      <c r="J720" s="731"/>
      <c r="K720" s="731"/>
      <c r="L720" s="734"/>
      <c r="M720" s="731"/>
      <c r="N720" s="731"/>
      <c r="O720" s="730"/>
      <c r="P720" s="731"/>
      <c r="Q720" s="731"/>
      <c r="R720" s="734"/>
      <c r="S720" s="731"/>
      <c r="T720" s="731"/>
      <c r="U720" s="734"/>
      <c r="V720" s="731"/>
      <c r="W720" s="731"/>
      <c r="X720" s="734"/>
      <c r="Y720" s="731"/>
      <c r="Z720" s="731"/>
    </row>
    <row r="721">
      <c r="C721" s="734"/>
      <c r="D721" s="731"/>
      <c r="E721" s="731"/>
      <c r="F721" s="734"/>
      <c r="G721" s="731"/>
      <c r="H721" s="731"/>
      <c r="I721" s="734"/>
      <c r="J721" s="731"/>
      <c r="K721" s="731"/>
      <c r="L721" s="734"/>
      <c r="M721" s="731"/>
      <c r="N721" s="731"/>
      <c r="O721" s="730"/>
      <c r="P721" s="731"/>
      <c r="Q721" s="731"/>
      <c r="R721" s="734"/>
      <c r="S721" s="731"/>
      <c r="T721" s="731"/>
      <c r="U721" s="734"/>
      <c r="V721" s="731"/>
      <c r="W721" s="731"/>
      <c r="X721" s="734"/>
      <c r="Y721" s="731"/>
      <c r="Z721" s="731"/>
    </row>
    <row r="722">
      <c r="C722" s="734"/>
      <c r="D722" s="731"/>
      <c r="E722" s="731"/>
      <c r="F722" s="734"/>
      <c r="G722" s="731"/>
      <c r="H722" s="731"/>
      <c r="I722" s="734"/>
      <c r="J722" s="731"/>
      <c r="K722" s="731"/>
      <c r="L722" s="734"/>
      <c r="M722" s="731"/>
      <c r="N722" s="731"/>
      <c r="O722" s="730"/>
      <c r="P722" s="731"/>
      <c r="Q722" s="731"/>
      <c r="R722" s="734"/>
      <c r="S722" s="731"/>
      <c r="T722" s="731"/>
      <c r="U722" s="734"/>
      <c r="V722" s="731"/>
      <c r="W722" s="731"/>
      <c r="X722" s="734"/>
      <c r="Y722" s="731"/>
      <c r="Z722" s="731"/>
    </row>
    <row r="723">
      <c r="C723" s="734"/>
      <c r="D723" s="731"/>
      <c r="E723" s="731"/>
      <c r="F723" s="734"/>
      <c r="G723" s="731"/>
      <c r="H723" s="731"/>
      <c r="I723" s="734"/>
      <c r="J723" s="731"/>
      <c r="K723" s="731"/>
      <c r="L723" s="734"/>
      <c r="M723" s="731"/>
      <c r="N723" s="731"/>
      <c r="O723" s="730"/>
      <c r="P723" s="731"/>
      <c r="Q723" s="731"/>
      <c r="R723" s="734"/>
      <c r="S723" s="731"/>
      <c r="T723" s="731"/>
      <c r="U723" s="734"/>
      <c r="V723" s="731"/>
      <c r="W723" s="731"/>
      <c r="X723" s="734"/>
      <c r="Y723" s="731"/>
      <c r="Z723" s="731"/>
    </row>
    <row r="724">
      <c r="C724" s="734"/>
      <c r="D724" s="731"/>
      <c r="E724" s="731"/>
      <c r="F724" s="734"/>
      <c r="G724" s="731"/>
      <c r="H724" s="731"/>
      <c r="I724" s="734"/>
      <c r="J724" s="731"/>
      <c r="K724" s="731"/>
      <c r="L724" s="734"/>
      <c r="M724" s="731"/>
      <c r="N724" s="731"/>
      <c r="O724" s="730"/>
      <c r="P724" s="731"/>
      <c r="Q724" s="731"/>
      <c r="R724" s="734"/>
      <c r="S724" s="731"/>
      <c r="T724" s="731"/>
      <c r="U724" s="734"/>
      <c r="V724" s="731"/>
      <c r="W724" s="731"/>
      <c r="X724" s="734"/>
      <c r="Y724" s="731"/>
      <c r="Z724" s="731"/>
    </row>
    <row r="725">
      <c r="C725" s="734"/>
      <c r="D725" s="731"/>
      <c r="E725" s="731"/>
      <c r="F725" s="734"/>
      <c r="G725" s="731"/>
      <c r="H725" s="731"/>
      <c r="I725" s="734"/>
      <c r="J725" s="731"/>
      <c r="K725" s="731"/>
      <c r="L725" s="734"/>
      <c r="M725" s="731"/>
      <c r="N725" s="731"/>
      <c r="O725" s="730"/>
      <c r="P725" s="731"/>
      <c r="Q725" s="731"/>
      <c r="R725" s="734"/>
      <c r="S725" s="731"/>
      <c r="T725" s="731"/>
      <c r="U725" s="734"/>
      <c r="V725" s="731"/>
      <c r="W725" s="731"/>
      <c r="X725" s="734"/>
      <c r="Y725" s="731"/>
      <c r="Z725" s="731"/>
    </row>
    <row r="726">
      <c r="C726" s="734"/>
      <c r="D726" s="731"/>
      <c r="E726" s="731"/>
      <c r="F726" s="734"/>
      <c r="G726" s="731"/>
      <c r="H726" s="731"/>
      <c r="I726" s="734"/>
      <c r="J726" s="731"/>
      <c r="K726" s="731"/>
      <c r="L726" s="734"/>
      <c r="M726" s="731"/>
      <c r="N726" s="731"/>
      <c r="O726" s="730"/>
      <c r="P726" s="731"/>
      <c r="Q726" s="731"/>
      <c r="R726" s="734"/>
      <c r="S726" s="731"/>
      <c r="T726" s="731"/>
      <c r="U726" s="734"/>
      <c r="V726" s="731"/>
      <c r="W726" s="731"/>
      <c r="X726" s="734"/>
      <c r="Y726" s="731"/>
      <c r="Z726" s="731"/>
    </row>
    <row r="727">
      <c r="C727" s="734"/>
      <c r="D727" s="731"/>
      <c r="E727" s="731"/>
      <c r="F727" s="734"/>
      <c r="G727" s="731"/>
      <c r="H727" s="731"/>
      <c r="I727" s="734"/>
      <c r="J727" s="731"/>
      <c r="K727" s="731"/>
      <c r="L727" s="734"/>
      <c r="M727" s="731"/>
      <c r="N727" s="731"/>
      <c r="O727" s="730"/>
      <c r="P727" s="731"/>
      <c r="Q727" s="731"/>
      <c r="R727" s="734"/>
      <c r="S727" s="731"/>
      <c r="T727" s="731"/>
      <c r="U727" s="734"/>
      <c r="V727" s="731"/>
      <c r="W727" s="731"/>
      <c r="X727" s="734"/>
      <c r="Y727" s="731"/>
      <c r="Z727" s="731"/>
    </row>
    <row r="728">
      <c r="C728" s="734"/>
      <c r="D728" s="731"/>
      <c r="E728" s="731"/>
      <c r="F728" s="734"/>
      <c r="G728" s="731"/>
      <c r="H728" s="731"/>
      <c r="I728" s="734"/>
      <c r="J728" s="731"/>
      <c r="K728" s="731"/>
      <c r="L728" s="734"/>
      <c r="M728" s="731"/>
      <c r="N728" s="731"/>
      <c r="O728" s="730"/>
      <c r="P728" s="731"/>
      <c r="Q728" s="731"/>
      <c r="R728" s="734"/>
      <c r="S728" s="731"/>
      <c r="T728" s="731"/>
      <c r="U728" s="734"/>
      <c r="V728" s="731"/>
      <c r="W728" s="731"/>
      <c r="X728" s="734"/>
      <c r="Y728" s="731"/>
      <c r="Z728" s="731"/>
    </row>
    <row r="729">
      <c r="C729" s="734"/>
      <c r="D729" s="731"/>
      <c r="E729" s="731"/>
      <c r="F729" s="734"/>
      <c r="G729" s="731"/>
      <c r="H729" s="731"/>
      <c r="I729" s="734"/>
      <c r="J729" s="731"/>
      <c r="K729" s="731"/>
      <c r="L729" s="734"/>
      <c r="M729" s="731"/>
      <c r="N729" s="731"/>
      <c r="O729" s="730"/>
      <c r="P729" s="731"/>
      <c r="Q729" s="731"/>
      <c r="R729" s="734"/>
      <c r="S729" s="731"/>
      <c r="T729" s="731"/>
      <c r="U729" s="734"/>
      <c r="V729" s="731"/>
      <c r="W729" s="731"/>
      <c r="X729" s="734"/>
      <c r="Y729" s="731"/>
      <c r="Z729" s="731"/>
    </row>
    <row r="730">
      <c r="C730" s="734"/>
      <c r="D730" s="731"/>
      <c r="E730" s="731"/>
      <c r="F730" s="734"/>
      <c r="G730" s="731"/>
      <c r="H730" s="731"/>
      <c r="I730" s="734"/>
      <c r="J730" s="731"/>
      <c r="K730" s="731"/>
      <c r="L730" s="734"/>
      <c r="M730" s="731"/>
      <c r="N730" s="731"/>
      <c r="O730" s="730"/>
      <c r="P730" s="731"/>
      <c r="Q730" s="731"/>
      <c r="R730" s="734"/>
      <c r="S730" s="731"/>
      <c r="T730" s="731"/>
      <c r="U730" s="734"/>
      <c r="V730" s="731"/>
      <c r="W730" s="731"/>
      <c r="X730" s="734"/>
      <c r="Y730" s="731"/>
      <c r="Z730" s="731"/>
    </row>
    <row r="731">
      <c r="C731" s="734"/>
      <c r="D731" s="731"/>
      <c r="E731" s="731"/>
      <c r="F731" s="734"/>
      <c r="G731" s="731"/>
      <c r="H731" s="731"/>
      <c r="I731" s="734"/>
      <c r="J731" s="731"/>
      <c r="K731" s="731"/>
      <c r="L731" s="734"/>
      <c r="M731" s="731"/>
      <c r="N731" s="731"/>
      <c r="O731" s="730"/>
      <c r="P731" s="731"/>
      <c r="Q731" s="731"/>
      <c r="R731" s="734"/>
      <c r="S731" s="731"/>
      <c r="T731" s="731"/>
      <c r="U731" s="734"/>
      <c r="V731" s="731"/>
      <c r="W731" s="731"/>
      <c r="X731" s="734"/>
      <c r="Y731" s="731"/>
      <c r="Z731" s="731"/>
    </row>
    <row r="732">
      <c r="C732" s="734"/>
      <c r="D732" s="731"/>
      <c r="E732" s="731"/>
      <c r="F732" s="734"/>
      <c r="G732" s="731"/>
      <c r="H732" s="731"/>
      <c r="I732" s="734"/>
      <c r="J732" s="731"/>
      <c r="K732" s="731"/>
      <c r="L732" s="734"/>
      <c r="M732" s="731"/>
      <c r="N732" s="731"/>
      <c r="O732" s="730"/>
      <c r="P732" s="731"/>
      <c r="Q732" s="731"/>
      <c r="R732" s="734"/>
      <c r="S732" s="731"/>
      <c r="T732" s="731"/>
      <c r="U732" s="734"/>
      <c r="V732" s="731"/>
      <c r="W732" s="731"/>
      <c r="X732" s="734"/>
      <c r="Y732" s="731"/>
      <c r="Z732" s="731"/>
    </row>
    <row r="733">
      <c r="C733" s="734"/>
      <c r="D733" s="731"/>
      <c r="E733" s="731"/>
      <c r="F733" s="734"/>
      <c r="G733" s="731"/>
      <c r="H733" s="731"/>
      <c r="I733" s="734"/>
      <c r="J733" s="731"/>
      <c r="K733" s="731"/>
      <c r="L733" s="734"/>
      <c r="M733" s="731"/>
      <c r="N733" s="731"/>
      <c r="O733" s="730"/>
      <c r="P733" s="731"/>
      <c r="Q733" s="731"/>
      <c r="R733" s="734"/>
      <c r="S733" s="731"/>
      <c r="T733" s="731"/>
      <c r="U733" s="734"/>
      <c r="V733" s="731"/>
      <c r="W733" s="731"/>
      <c r="X733" s="734"/>
      <c r="Y733" s="731"/>
      <c r="Z733" s="731"/>
    </row>
    <row r="734">
      <c r="C734" s="734"/>
      <c r="D734" s="731"/>
      <c r="E734" s="731"/>
      <c r="F734" s="734"/>
      <c r="G734" s="731"/>
      <c r="H734" s="731"/>
      <c r="I734" s="734"/>
      <c r="J734" s="731"/>
      <c r="K734" s="731"/>
      <c r="L734" s="734"/>
      <c r="M734" s="731"/>
      <c r="N734" s="731"/>
      <c r="O734" s="730"/>
      <c r="P734" s="731"/>
      <c r="Q734" s="731"/>
      <c r="R734" s="734"/>
      <c r="S734" s="731"/>
      <c r="T734" s="731"/>
      <c r="U734" s="734"/>
      <c r="V734" s="731"/>
      <c r="W734" s="731"/>
      <c r="X734" s="734"/>
      <c r="Y734" s="731"/>
      <c r="Z734" s="731"/>
    </row>
    <row r="735">
      <c r="C735" s="734"/>
      <c r="D735" s="731"/>
      <c r="E735" s="731"/>
      <c r="F735" s="734"/>
      <c r="G735" s="731"/>
      <c r="H735" s="731"/>
      <c r="I735" s="734"/>
      <c r="J735" s="731"/>
      <c r="K735" s="731"/>
      <c r="L735" s="734"/>
      <c r="M735" s="731"/>
      <c r="N735" s="731"/>
      <c r="O735" s="730"/>
      <c r="P735" s="731"/>
      <c r="Q735" s="731"/>
      <c r="R735" s="734"/>
      <c r="S735" s="731"/>
      <c r="T735" s="731"/>
      <c r="U735" s="734"/>
      <c r="V735" s="731"/>
      <c r="W735" s="731"/>
      <c r="X735" s="734"/>
      <c r="Y735" s="731"/>
      <c r="Z735" s="731"/>
    </row>
    <row r="736">
      <c r="C736" s="734"/>
      <c r="D736" s="731"/>
      <c r="E736" s="731"/>
      <c r="F736" s="734"/>
      <c r="G736" s="731"/>
      <c r="H736" s="731"/>
      <c r="I736" s="734"/>
      <c r="J736" s="731"/>
      <c r="K736" s="731"/>
      <c r="L736" s="734"/>
      <c r="M736" s="731"/>
      <c r="N736" s="731"/>
      <c r="O736" s="730"/>
      <c r="P736" s="731"/>
      <c r="Q736" s="731"/>
      <c r="R736" s="734"/>
      <c r="S736" s="731"/>
      <c r="T736" s="731"/>
      <c r="U736" s="734"/>
      <c r="V736" s="731"/>
      <c r="W736" s="731"/>
      <c r="X736" s="734"/>
      <c r="Y736" s="731"/>
      <c r="Z736" s="731"/>
    </row>
    <row r="737">
      <c r="C737" s="734"/>
      <c r="D737" s="731"/>
      <c r="E737" s="731"/>
      <c r="F737" s="734"/>
      <c r="G737" s="731"/>
      <c r="H737" s="731"/>
      <c r="I737" s="734"/>
      <c r="J737" s="731"/>
      <c r="K737" s="731"/>
      <c r="L737" s="734"/>
      <c r="M737" s="731"/>
      <c r="N737" s="731"/>
      <c r="O737" s="730"/>
      <c r="P737" s="731"/>
      <c r="Q737" s="731"/>
      <c r="R737" s="734"/>
      <c r="S737" s="731"/>
      <c r="T737" s="731"/>
      <c r="U737" s="734"/>
      <c r="V737" s="731"/>
      <c r="W737" s="731"/>
      <c r="X737" s="734"/>
      <c r="Y737" s="731"/>
      <c r="Z737" s="731"/>
    </row>
    <row r="738">
      <c r="C738" s="734"/>
      <c r="D738" s="731"/>
      <c r="E738" s="731"/>
      <c r="F738" s="734"/>
      <c r="G738" s="731"/>
      <c r="H738" s="731"/>
      <c r="I738" s="734"/>
      <c r="J738" s="731"/>
      <c r="K738" s="731"/>
      <c r="L738" s="734"/>
      <c r="M738" s="731"/>
      <c r="N738" s="731"/>
      <c r="O738" s="730"/>
      <c r="P738" s="731"/>
      <c r="Q738" s="731"/>
      <c r="R738" s="734"/>
      <c r="S738" s="731"/>
      <c r="T738" s="731"/>
      <c r="U738" s="734"/>
      <c r="V738" s="731"/>
      <c r="W738" s="731"/>
      <c r="X738" s="734"/>
      <c r="Y738" s="731"/>
      <c r="Z738" s="731"/>
    </row>
    <row r="739">
      <c r="C739" s="734"/>
      <c r="D739" s="731"/>
      <c r="E739" s="731"/>
      <c r="F739" s="734"/>
      <c r="G739" s="731"/>
      <c r="H739" s="731"/>
      <c r="I739" s="734"/>
      <c r="J739" s="731"/>
      <c r="K739" s="731"/>
      <c r="L739" s="734"/>
      <c r="M739" s="731"/>
      <c r="N739" s="731"/>
      <c r="O739" s="730"/>
      <c r="P739" s="731"/>
      <c r="Q739" s="731"/>
      <c r="R739" s="734"/>
      <c r="S739" s="731"/>
      <c r="T739" s="731"/>
      <c r="U739" s="734"/>
      <c r="V739" s="731"/>
      <c r="W739" s="731"/>
      <c r="X739" s="734"/>
      <c r="Y739" s="731"/>
      <c r="Z739" s="731"/>
    </row>
    <row r="740">
      <c r="C740" s="734"/>
      <c r="D740" s="731"/>
      <c r="E740" s="731"/>
      <c r="F740" s="734"/>
      <c r="G740" s="731"/>
      <c r="H740" s="731"/>
      <c r="I740" s="734"/>
      <c r="J740" s="731"/>
      <c r="K740" s="731"/>
      <c r="L740" s="734"/>
      <c r="M740" s="731"/>
      <c r="N740" s="731"/>
      <c r="O740" s="730"/>
      <c r="P740" s="731"/>
      <c r="Q740" s="731"/>
      <c r="R740" s="734"/>
      <c r="S740" s="731"/>
      <c r="T740" s="731"/>
      <c r="U740" s="734"/>
      <c r="V740" s="731"/>
      <c r="W740" s="731"/>
      <c r="X740" s="734"/>
      <c r="Y740" s="731"/>
      <c r="Z740" s="731"/>
    </row>
    <row r="741">
      <c r="C741" s="734"/>
      <c r="D741" s="731"/>
      <c r="E741" s="731"/>
      <c r="F741" s="734"/>
      <c r="G741" s="731"/>
      <c r="H741" s="731"/>
      <c r="I741" s="734"/>
      <c r="J741" s="731"/>
      <c r="K741" s="731"/>
      <c r="L741" s="734"/>
      <c r="M741" s="731"/>
      <c r="N741" s="731"/>
      <c r="O741" s="730"/>
      <c r="P741" s="731"/>
      <c r="Q741" s="731"/>
      <c r="R741" s="734"/>
      <c r="S741" s="731"/>
      <c r="T741" s="731"/>
      <c r="U741" s="734"/>
      <c r="V741" s="731"/>
      <c r="W741" s="731"/>
      <c r="X741" s="734"/>
      <c r="Y741" s="731"/>
      <c r="Z741" s="731"/>
    </row>
    <row r="742">
      <c r="C742" s="734"/>
      <c r="D742" s="731"/>
      <c r="E742" s="731"/>
      <c r="F742" s="734"/>
      <c r="G742" s="731"/>
      <c r="H742" s="731"/>
      <c r="I742" s="734"/>
      <c r="J742" s="731"/>
      <c r="K742" s="731"/>
      <c r="L742" s="734"/>
      <c r="M742" s="731"/>
      <c r="N742" s="731"/>
      <c r="O742" s="730"/>
      <c r="P742" s="731"/>
      <c r="Q742" s="731"/>
      <c r="R742" s="734"/>
      <c r="S742" s="731"/>
      <c r="T742" s="731"/>
      <c r="U742" s="734"/>
      <c r="V742" s="731"/>
      <c r="W742" s="731"/>
      <c r="X742" s="734"/>
      <c r="Y742" s="731"/>
      <c r="Z742" s="731"/>
    </row>
    <row r="743">
      <c r="C743" s="734"/>
      <c r="D743" s="731"/>
      <c r="E743" s="731"/>
      <c r="F743" s="734"/>
      <c r="G743" s="731"/>
      <c r="H743" s="731"/>
      <c r="I743" s="734"/>
      <c r="J743" s="731"/>
      <c r="K743" s="731"/>
      <c r="L743" s="734"/>
      <c r="M743" s="731"/>
      <c r="N743" s="731"/>
      <c r="O743" s="730"/>
      <c r="P743" s="731"/>
      <c r="Q743" s="731"/>
      <c r="R743" s="734"/>
      <c r="S743" s="731"/>
      <c r="T743" s="731"/>
      <c r="U743" s="734"/>
      <c r="V743" s="731"/>
      <c r="W743" s="731"/>
      <c r="X743" s="734"/>
      <c r="Y743" s="731"/>
      <c r="Z743" s="731"/>
    </row>
    <row r="744">
      <c r="C744" s="734"/>
      <c r="D744" s="731"/>
      <c r="E744" s="731"/>
      <c r="F744" s="734"/>
      <c r="G744" s="731"/>
      <c r="H744" s="731"/>
      <c r="I744" s="734"/>
      <c r="J744" s="731"/>
      <c r="K744" s="731"/>
      <c r="L744" s="734"/>
      <c r="M744" s="731"/>
      <c r="N744" s="731"/>
      <c r="O744" s="730"/>
      <c r="P744" s="731"/>
      <c r="Q744" s="731"/>
      <c r="R744" s="734"/>
      <c r="S744" s="731"/>
      <c r="T744" s="731"/>
      <c r="U744" s="734"/>
      <c r="V744" s="731"/>
      <c r="W744" s="731"/>
      <c r="X744" s="734"/>
      <c r="Y744" s="731"/>
      <c r="Z744" s="731"/>
    </row>
    <row r="745">
      <c r="C745" s="734"/>
      <c r="D745" s="731"/>
      <c r="E745" s="731"/>
      <c r="F745" s="734"/>
      <c r="G745" s="731"/>
      <c r="H745" s="731"/>
      <c r="I745" s="734"/>
      <c r="J745" s="731"/>
      <c r="K745" s="731"/>
      <c r="L745" s="734"/>
      <c r="M745" s="731"/>
      <c r="N745" s="731"/>
      <c r="O745" s="730"/>
      <c r="P745" s="731"/>
      <c r="Q745" s="731"/>
      <c r="R745" s="734"/>
      <c r="S745" s="731"/>
      <c r="T745" s="731"/>
      <c r="U745" s="734"/>
      <c r="V745" s="731"/>
      <c r="W745" s="731"/>
      <c r="X745" s="734"/>
      <c r="Y745" s="731"/>
      <c r="Z745" s="731"/>
    </row>
    <row r="746">
      <c r="C746" s="734"/>
      <c r="D746" s="731"/>
      <c r="E746" s="731"/>
      <c r="F746" s="734"/>
      <c r="G746" s="731"/>
      <c r="H746" s="731"/>
      <c r="I746" s="734"/>
      <c r="J746" s="731"/>
      <c r="K746" s="731"/>
      <c r="L746" s="734"/>
      <c r="M746" s="731"/>
      <c r="N746" s="731"/>
      <c r="O746" s="730"/>
      <c r="P746" s="731"/>
      <c r="Q746" s="731"/>
      <c r="R746" s="734"/>
      <c r="S746" s="731"/>
      <c r="T746" s="731"/>
      <c r="U746" s="734"/>
      <c r="V746" s="731"/>
      <c r="W746" s="731"/>
      <c r="X746" s="734"/>
      <c r="Y746" s="731"/>
      <c r="Z746" s="731"/>
    </row>
    <row r="747">
      <c r="C747" s="734"/>
      <c r="D747" s="731"/>
      <c r="E747" s="731"/>
      <c r="F747" s="734"/>
      <c r="G747" s="731"/>
      <c r="H747" s="731"/>
      <c r="I747" s="734"/>
      <c r="J747" s="731"/>
      <c r="K747" s="731"/>
      <c r="L747" s="734"/>
      <c r="M747" s="731"/>
      <c r="N747" s="731"/>
      <c r="O747" s="730"/>
      <c r="P747" s="731"/>
      <c r="Q747" s="731"/>
      <c r="R747" s="734"/>
      <c r="S747" s="731"/>
      <c r="T747" s="731"/>
      <c r="U747" s="734"/>
      <c r="V747" s="731"/>
      <c r="W747" s="731"/>
      <c r="X747" s="734"/>
      <c r="Y747" s="731"/>
      <c r="Z747" s="731"/>
    </row>
    <row r="748">
      <c r="C748" s="734"/>
      <c r="D748" s="731"/>
      <c r="E748" s="731"/>
      <c r="F748" s="734"/>
      <c r="G748" s="731"/>
      <c r="H748" s="731"/>
      <c r="I748" s="734"/>
      <c r="J748" s="731"/>
      <c r="K748" s="731"/>
      <c r="L748" s="734"/>
      <c r="M748" s="731"/>
      <c r="N748" s="731"/>
      <c r="O748" s="730"/>
      <c r="P748" s="731"/>
      <c r="Q748" s="731"/>
      <c r="R748" s="734"/>
      <c r="S748" s="731"/>
      <c r="T748" s="731"/>
      <c r="U748" s="734"/>
      <c r="V748" s="731"/>
      <c r="W748" s="731"/>
      <c r="X748" s="734"/>
      <c r="Y748" s="731"/>
      <c r="Z748" s="731"/>
    </row>
    <row r="749">
      <c r="C749" s="734"/>
      <c r="D749" s="731"/>
      <c r="E749" s="731"/>
      <c r="F749" s="734"/>
      <c r="G749" s="731"/>
      <c r="H749" s="731"/>
      <c r="I749" s="734"/>
      <c r="J749" s="731"/>
      <c r="K749" s="731"/>
      <c r="L749" s="734"/>
      <c r="M749" s="731"/>
      <c r="N749" s="731"/>
      <c r="O749" s="730"/>
      <c r="P749" s="731"/>
      <c r="Q749" s="731"/>
      <c r="R749" s="734"/>
      <c r="S749" s="731"/>
      <c r="T749" s="731"/>
      <c r="U749" s="734"/>
      <c r="V749" s="731"/>
      <c r="W749" s="731"/>
      <c r="X749" s="734"/>
      <c r="Y749" s="731"/>
      <c r="Z749" s="731"/>
    </row>
    <row r="750">
      <c r="C750" s="734"/>
      <c r="D750" s="731"/>
      <c r="E750" s="731"/>
      <c r="F750" s="734"/>
      <c r="G750" s="731"/>
      <c r="H750" s="731"/>
      <c r="I750" s="734"/>
      <c r="J750" s="731"/>
      <c r="K750" s="731"/>
      <c r="L750" s="734"/>
      <c r="M750" s="731"/>
      <c r="N750" s="731"/>
      <c r="O750" s="730"/>
      <c r="P750" s="731"/>
      <c r="Q750" s="731"/>
      <c r="R750" s="734"/>
      <c r="S750" s="731"/>
      <c r="T750" s="731"/>
      <c r="U750" s="734"/>
      <c r="V750" s="731"/>
      <c r="W750" s="731"/>
      <c r="X750" s="734"/>
      <c r="Y750" s="731"/>
      <c r="Z750" s="731"/>
    </row>
    <row r="751">
      <c r="C751" s="734"/>
      <c r="D751" s="731"/>
      <c r="E751" s="731"/>
      <c r="F751" s="734"/>
      <c r="G751" s="731"/>
      <c r="H751" s="731"/>
      <c r="I751" s="734"/>
      <c r="J751" s="731"/>
      <c r="K751" s="731"/>
      <c r="L751" s="734"/>
      <c r="M751" s="731"/>
      <c r="N751" s="731"/>
      <c r="O751" s="730"/>
      <c r="P751" s="731"/>
      <c r="Q751" s="731"/>
      <c r="R751" s="734"/>
      <c r="S751" s="731"/>
      <c r="T751" s="731"/>
      <c r="U751" s="734"/>
      <c r="V751" s="731"/>
      <c r="W751" s="731"/>
      <c r="X751" s="734"/>
      <c r="Y751" s="731"/>
      <c r="Z751" s="731"/>
    </row>
    <row r="752">
      <c r="C752" s="734"/>
      <c r="D752" s="731"/>
      <c r="E752" s="731"/>
      <c r="F752" s="734"/>
      <c r="G752" s="731"/>
      <c r="H752" s="731"/>
      <c r="I752" s="734"/>
      <c r="J752" s="731"/>
      <c r="K752" s="731"/>
      <c r="L752" s="734"/>
      <c r="M752" s="731"/>
      <c r="N752" s="731"/>
      <c r="O752" s="730"/>
      <c r="P752" s="731"/>
      <c r="Q752" s="731"/>
      <c r="R752" s="734"/>
      <c r="S752" s="731"/>
      <c r="T752" s="731"/>
      <c r="U752" s="734"/>
      <c r="V752" s="731"/>
      <c r="W752" s="731"/>
      <c r="X752" s="734"/>
      <c r="Y752" s="731"/>
      <c r="Z752" s="731"/>
    </row>
    <row r="753">
      <c r="C753" s="734"/>
      <c r="D753" s="731"/>
      <c r="E753" s="731"/>
      <c r="F753" s="734"/>
      <c r="G753" s="731"/>
      <c r="H753" s="731"/>
      <c r="I753" s="734"/>
      <c r="J753" s="731"/>
      <c r="K753" s="731"/>
      <c r="L753" s="734"/>
      <c r="M753" s="731"/>
      <c r="N753" s="731"/>
      <c r="O753" s="730"/>
      <c r="P753" s="731"/>
      <c r="Q753" s="731"/>
      <c r="R753" s="734"/>
      <c r="S753" s="731"/>
      <c r="T753" s="731"/>
      <c r="U753" s="734"/>
      <c r="V753" s="731"/>
      <c r="W753" s="731"/>
      <c r="X753" s="734"/>
      <c r="Y753" s="731"/>
      <c r="Z753" s="731"/>
    </row>
    <row r="754">
      <c r="C754" s="734"/>
      <c r="D754" s="731"/>
      <c r="E754" s="731"/>
      <c r="F754" s="734"/>
      <c r="G754" s="731"/>
      <c r="H754" s="731"/>
      <c r="I754" s="734"/>
      <c r="J754" s="731"/>
      <c r="K754" s="731"/>
      <c r="L754" s="734"/>
      <c r="M754" s="731"/>
      <c r="N754" s="731"/>
      <c r="O754" s="730"/>
      <c r="P754" s="731"/>
      <c r="Q754" s="731"/>
      <c r="R754" s="734"/>
      <c r="S754" s="731"/>
      <c r="T754" s="731"/>
      <c r="U754" s="734"/>
      <c r="V754" s="731"/>
      <c r="W754" s="731"/>
      <c r="X754" s="734"/>
      <c r="Y754" s="731"/>
      <c r="Z754" s="731"/>
    </row>
    <row r="755">
      <c r="C755" s="734"/>
      <c r="D755" s="731"/>
      <c r="E755" s="731"/>
      <c r="F755" s="734"/>
      <c r="G755" s="731"/>
      <c r="H755" s="731"/>
      <c r="I755" s="734"/>
      <c r="J755" s="731"/>
      <c r="K755" s="731"/>
      <c r="L755" s="734"/>
      <c r="M755" s="731"/>
      <c r="N755" s="731"/>
      <c r="O755" s="730"/>
      <c r="P755" s="731"/>
      <c r="Q755" s="731"/>
      <c r="R755" s="734"/>
      <c r="S755" s="731"/>
      <c r="T755" s="731"/>
      <c r="U755" s="734"/>
      <c r="V755" s="731"/>
      <c r="W755" s="731"/>
      <c r="X755" s="734"/>
      <c r="Y755" s="731"/>
      <c r="Z755" s="731"/>
    </row>
    <row r="756">
      <c r="C756" s="734"/>
      <c r="D756" s="731"/>
      <c r="E756" s="731"/>
      <c r="F756" s="734"/>
      <c r="G756" s="731"/>
      <c r="H756" s="731"/>
      <c r="I756" s="734"/>
      <c r="J756" s="731"/>
      <c r="K756" s="731"/>
      <c r="L756" s="734"/>
      <c r="M756" s="731"/>
      <c r="N756" s="731"/>
      <c r="O756" s="730"/>
      <c r="P756" s="731"/>
      <c r="Q756" s="731"/>
      <c r="R756" s="734"/>
      <c r="S756" s="731"/>
      <c r="T756" s="731"/>
      <c r="U756" s="734"/>
      <c r="V756" s="731"/>
      <c r="W756" s="731"/>
      <c r="X756" s="734"/>
      <c r="Y756" s="731"/>
      <c r="Z756" s="731"/>
    </row>
    <row r="757">
      <c r="C757" s="734"/>
      <c r="D757" s="731"/>
      <c r="E757" s="731"/>
      <c r="F757" s="734"/>
      <c r="G757" s="731"/>
      <c r="H757" s="731"/>
      <c r="I757" s="734"/>
      <c r="J757" s="731"/>
      <c r="K757" s="731"/>
      <c r="L757" s="734"/>
      <c r="M757" s="731"/>
      <c r="N757" s="731"/>
      <c r="O757" s="730"/>
      <c r="P757" s="731"/>
      <c r="Q757" s="731"/>
      <c r="R757" s="734"/>
      <c r="S757" s="731"/>
      <c r="T757" s="731"/>
      <c r="U757" s="734"/>
      <c r="V757" s="731"/>
      <c r="W757" s="731"/>
      <c r="X757" s="734"/>
      <c r="Y757" s="731"/>
      <c r="Z757" s="731"/>
    </row>
    <row r="758">
      <c r="C758" s="734"/>
      <c r="D758" s="731"/>
      <c r="E758" s="731"/>
      <c r="F758" s="734"/>
      <c r="G758" s="731"/>
      <c r="H758" s="731"/>
      <c r="I758" s="734"/>
      <c r="J758" s="731"/>
      <c r="K758" s="731"/>
      <c r="L758" s="734"/>
      <c r="M758" s="731"/>
      <c r="N758" s="731"/>
      <c r="O758" s="730"/>
      <c r="P758" s="731"/>
      <c r="Q758" s="731"/>
      <c r="R758" s="734"/>
      <c r="S758" s="731"/>
      <c r="T758" s="731"/>
      <c r="U758" s="734"/>
      <c r="V758" s="731"/>
      <c r="W758" s="731"/>
      <c r="X758" s="734"/>
      <c r="Y758" s="731"/>
      <c r="Z758" s="731"/>
    </row>
    <row r="759">
      <c r="C759" s="734"/>
      <c r="D759" s="731"/>
      <c r="E759" s="731"/>
      <c r="F759" s="734"/>
      <c r="G759" s="731"/>
      <c r="H759" s="731"/>
      <c r="I759" s="734"/>
      <c r="J759" s="731"/>
      <c r="K759" s="731"/>
      <c r="L759" s="734"/>
      <c r="M759" s="731"/>
      <c r="N759" s="731"/>
      <c r="O759" s="730"/>
      <c r="P759" s="731"/>
      <c r="Q759" s="731"/>
      <c r="R759" s="734"/>
      <c r="S759" s="731"/>
      <c r="T759" s="731"/>
      <c r="U759" s="734"/>
      <c r="V759" s="731"/>
      <c r="W759" s="731"/>
      <c r="X759" s="734"/>
      <c r="Y759" s="731"/>
      <c r="Z759" s="731"/>
    </row>
    <row r="760">
      <c r="C760" s="734"/>
      <c r="D760" s="731"/>
      <c r="E760" s="731"/>
      <c r="F760" s="734"/>
      <c r="G760" s="731"/>
      <c r="H760" s="731"/>
      <c r="I760" s="734"/>
      <c r="J760" s="731"/>
      <c r="K760" s="731"/>
      <c r="L760" s="734"/>
      <c r="M760" s="731"/>
      <c r="N760" s="731"/>
      <c r="O760" s="730"/>
      <c r="P760" s="731"/>
      <c r="Q760" s="731"/>
      <c r="R760" s="734"/>
      <c r="S760" s="731"/>
      <c r="T760" s="731"/>
      <c r="U760" s="734"/>
      <c r="V760" s="731"/>
      <c r="W760" s="731"/>
      <c r="X760" s="734"/>
      <c r="Y760" s="731"/>
      <c r="Z760" s="731"/>
    </row>
    <row r="761">
      <c r="C761" s="734"/>
      <c r="D761" s="731"/>
      <c r="E761" s="731"/>
      <c r="F761" s="734"/>
      <c r="G761" s="731"/>
      <c r="H761" s="731"/>
      <c r="I761" s="734"/>
      <c r="J761" s="731"/>
      <c r="K761" s="731"/>
      <c r="L761" s="734"/>
      <c r="M761" s="731"/>
      <c r="N761" s="731"/>
      <c r="O761" s="730"/>
      <c r="P761" s="731"/>
      <c r="Q761" s="731"/>
      <c r="R761" s="734"/>
      <c r="S761" s="731"/>
      <c r="T761" s="731"/>
      <c r="U761" s="734"/>
      <c r="V761" s="731"/>
      <c r="W761" s="731"/>
      <c r="X761" s="734"/>
      <c r="Y761" s="731"/>
      <c r="Z761" s="731"/>
    </row>
    <row r="762">
      <c r="C762" s="734"/>
      <c r="D762" s="731"/>
      <c r="E762" s="731"/>
      <c r="F762" s="734"/>
      <c r="G762" s="731"/>
      <c r="H762" s="731"/>
      <c r="I762" s="734"/>
      <c r="J762" s="731"/>
      <c r="K762" s="731"/>
      <c r="L762" s="734"/>
      <c r="M762" s="731"/>
      <c r="N762" s="731"/>
      <c r="O762" s="730"/>
      <c r="P762" s="731"/>
      <c r="Q762" s="731"/>
      <c r="R762" s="734"/>
      <c r="S762" s="731"/>
      <c r="T762" s="731"/>
      <c r="U762" s="734"/>
      <c r="V762" s="731"/>
      <c r="W762" s="731"/>
      <c r="X762" s="734"/>
      <c r="Y762" s="731"/>
      <c r="Z762" s="731"/>
    </row>
    <row r="763">
      <c r="C763" s="734"/>
      <c r="D763" s="731"/>
      <c r="E763" s="731"/>
      <c r="F763" s="734"/>
      <c r="G763" s="731"/>
      <c r="H763" s="731"/>
      <c r="I763" s="734"/>
      <c r="J763" s="731"/>
      <c r="K763" s="731"/>
      <c r="L763" s="734"/>
      <c r="M763" s="731"/>
      <c r="N763" s="731"/>
      <c r="O763" s="730"/>
      <c r="P763" s="731"/>
      <c r="Q763" s="731"/>
      <c r="R763" s="734"/>
      <c r="S763" s="731"/>
      <c r="T763" s="731"/>
      <c r="U763" s="734"/>
      <c r="V763" s="731"/>
      <c r="W763" s="731"/>
      <c r="X763" s="734"/>
      <c r="Y763" s="731"/>
      <c r="Z763" s="731"/>
    </row>
    <row r="764">
      <c r="C764" s="734"/>
      <c r="D764" s="731"/>
      <c r="E764" s="731"/>
      <c r="F764" s="734"/>
      <c r="G764" s="731"/>
      <c r="H764" s="731"/>
      <c r="I764" s="734"/>
      <c r="J764" s="731"/>
      <c r="K764" s="731"/>
      <c r="L764" s="734"/>
      <c r="M764" s="731"/>
      <c r="N764" s="731"/>
      <c r="O764" s="730"/>
      <c r="P764" s="731"/>
      <c r="Q764" s="731"/>
      <c r="R764" s="734"/>
      <c r="S764" s="731"/>
      <c r="T764" s="731"/>
      <c r="U764" s="734"/>
      <c r="V764" s="731"/>
      <c r="W764" s="731"/>
      <c r="X764" s="734"/>
      <c r="Y764" s="731"/>
      <c r="Z764" s="731"/>
    </row>
    <row r="765">
      <c r="C765" s="734"/>
      <c r="D765" s="731"/>
      <c r="E765" s="731"/>
      <c r="F765" s="734"/>
      <c r="G765" s="731"/>
      <c r="H765" s="731"/>
      <c r="I765" s="734"/>
      <c r="J765" s="731"/>
      <c r="K765" s="731"/>
      <c r="L765" s="734"/>
      <c r="M765" s="731"/>
      <c r="N765" s="731"/>
      <c r="O765" s="730"/>
      <c r="P765" s="731"/>
      <c r="Q765" s="731"/>
      <c r="R765" s="734"/>
      <c r="S765" s="731"/>
      <c r="T765" s="731"/>
      <c r="U765" s="734"/>
      <c r="V765" s="731"/>
      <c r="W765" s="731"/>
      <c r="X765" s="734"/>
      <c r="Y765" s="731"/>
      <c r="Z765" s="731"/>
    </row>
    <row r="766">
      <c r="C766" s="734"/>
      <c r="D766" s="731"/>
      <c r="E766" s="731"/>
      <c r="F766" s="734"/>
      <c r="G766" s="731"/>
      <c r="H766" s="731"/>
      <c r="I766" s="734"/>
      <c r="J766" s="731"/>
      <c r="K766" s="731"/>
      <c r="L766" s="734"/>
      <c r="M766" s="731"/>
      <c r="N766" s="731"/>
      <c r="O766" s="730"/>
      <c r="P766" s="731"/>
      <c r="Q766" s="731"/>
      <c r="R766" s="734"/>
      <c r="S766" s="731"/>
      <c r="T766" s="731"/>
      <c r="U766" s="734"/>
      <c r="V766" s="731"/>
      <c r="W766" s="731"/>
      <c r="X766" s="734"/>
      <c r="Y766" s="731"/>
      <c r="Z766" s="731"/>
    </row>
    <row r="767">
      <c r="C767" s="734"/>
      <c r="D767" s="731"/>
      <c r="E767" s="731"/>
      <c r="F767" s="734"/>
      <c r="G767" s="731"/>
      <c r="H767" s="731"/>
      <c r="I767" s="734"/>
      <c r="J767" s="731"/>
      <c r="K767" s="731"/>
      <c r="L767" s="734"/>
      <c r="M767" s="731"/>
      <c r="N767" s="731"/>
      <c r="O767" s="730"/>
      <c r="P767" s="731"/>
      <c r="Q767" s="731"/>
      <c r="R767" s="734"/>
      <c r="S767" s="731"/>
      <c r="T767" s="731"/>
      <c r="U767" s="734"/>
      <c r="V767" s="731"/>
      <c r="W767" s="731"/>
      <c r="X767" s="734"/>
      <c r="Y767" s="731"/>
      <c r="Z767" s="731"/>
    </row>
    <row r="768">
      <c r="C768" s="734"/>
      <c r="D768" s="731"/>
      <c r="E768" s="731"/>
      <c r="F768" s="734"/>
      <c r="G768" s="731"/>
      <c r="H768" s="731"/>
      <c r="I768" s="734"/>
      <c r="J768" s="731"/>
      <c r="K768" s="731"/>
      <c r="L768" s="734"/>
      <c r="M768" s="731"/>
      <c r="N768" s="731"/>
      <c r="O768" s="730"/>
      <c r="P768" s="731"/>
      <c r="Q768" s="731"/>
      <c r="R768" s="734"/>
      <c r="S768" s="731"/>
      <c r="T768" s="731"/>
      <c r="U768" s="734"/>
      <c r="V768" s="731"/>
      <c r="W768" s="731"/>
      <c r="X768" s="734"/>
      <c r="Y768" s="731"/>
      <c r="Z768" s="731"/>
    </row>
    <row r="769">
      <c r="C769" s="734"/>
      <c r="D769" s="731"/>
      <c r="E769" s="731"/>
      <c r="F769" s="734"/>
      <c r="G769" s="731"/>
      <c r="H769" s="731"/>
      <c r="I769" s="734"/>
      <c r="J769" s="731"/>
      <c r="K769" s="731"/>
      <c r="L769" s="734"/>
      <c r="M769" s="731"/>
      <c r="N769" s="731"/>
      <c r="O769" s="730"/>
      <c r="P769" s="731"/>
      <c r="Q769" s="731"/>
      <c r="R769" s="734"/>
      <c r="S769" s="731"/>
      <c r="T769" s="731"/>
      <c r="U769" s="734"/>
      <c r="V769" s="731"/>
      <c r="W769" s="731"/>
      <c r="X769" s="734"/>
      <c r="Y769" s="731"/>
      <c r="Z769" s="731"/>
    </row>
    <row r="770">
      <c r="C770" s="734"/>
      <c r="D770" s="731"/>
      <c r="E770" s="731"/>
      <c r="F770" s="734"/>
      <c r="G770" s="731"/>
      <c r="H770" s="731"/>
      <c r="I770" s="734"/>
      <c r="J770" s="731"/>
      <c r="K770" s="731"/>
      <c r="L770" s="734"/>
      <c r="M770" s="731"/>
      <c r="N770" s="731"/>
      <c r="O770" s="730"/>
      <c r="P770" s="731"/>
      <c r="Q770" s="731"/>
      <c r="R770" s="734"/>
      <c r="S770" s="731"/>
      <c r="T770" s="731"/>
      <c r="U770" s="734"/>
      <c r="V770" s="731"/>
      <c r="W770" s="731"/>
      <c r="X770" s="734"/>
      <c r="Y770" s="731"/>
      <c r="Z770" s="731"/>
    </row>
    <row r="771">
      <c r="C771" s="734"/>
      <c r="D771" s="731"/>
      <c r="E771" s="731"/>
      <c r="F771" s="734"/>
      <c r="G771" s="731"/>
      <c r="H771" s="731"/>
      <c r="I771" s="734"/>
      <c r="J771" s="731"/>
      <c r="K771" s="731"/>
      <c r="L771" s="734"/>
      <c r="M771" s="731"/>
      <c r="N771" s="731"/>
      <c r="O771" s="730"/>
      <c r="P771" s="731"/>
      <c r="Q771" s="731"/>
      <c r="R771" s="734"/>
      <c r="S771" s="731"/>
      <c r="T771" s="731"/>
      <c r="U771" s="734"/>
      <c r="V771" s="731"/>
      <c r="W771" s="731"/>
      <c r="X771" s="734"/>
      <c r="Y771" s="731"/>
      <c r="Z771" s="731"/>
    </row>
    <row r="772">
      <c r="C772" s="734"/>
      <c r="D772" s="731"/>
      <c r="E772" s="731"/>
      <c r="F772" s="734"/>
      <c r="G772" s="731"/>
      <c r="H772" s="731"/>
      <c r="I772" s="734"/>
      <c r="J772" s="731"/>
      <c r="K772" s="731"/>
      <c r="L772" s="734"/>
      <c r="M772" s="731"/>
      <c r="N772" s="731"/>
      <c r="O772" s="730"/>
      <c r="P772" s="731"/>
      <c r="Q772" s="731"/>
      <c r="R772" s="734"/>
      <c r="S772" s="731"/>
      <c r="T772" s="731"/>
      <c r="U772" s="734"/>
      <c r="V772" s="731"/>
      <c r="W772" s="731"/>
      <c r="X772" s="734"/>
      <c r="Y772" s="731"/>
      <c r="Z772" s="731"/>
    </row>
    <row r="773">
      <c r="C773" s="734"/>
      <c r="D773" s="731"/>
      <c r="E773" s="731"/>
      <c r="F773" s="734"/>
      <c r="G773" s="731"/>
      <c r="H773" s="731"/>
      <c r="I773" s="734"/>
      <c r="J773" s="731"/>
      <c r="K773" s="731"/>
      <c r="L773" s="734"/>
      <c r="M773" s="731"/>
      <c r="N773" s="731"/>
      <c r="O773" s="730"/>
      <c r="P773" s="731"/>
      <c r="Q773" s="731"/>
      <c r="R773" s="734"/>
      <c r="S773" s="731"/>
      <c r="T773" s="731"/>
      <c r="U773" s="734"/>
      <c r="V773" s="731"/>
      <c r="W773" s="731"/>
      <c r="X773" s="734"/>
      <c r="Y773" s="731"/>
      <c r="Z773" s="731"/>
    </row>
    <row r="774">
      <c r="C774" s="734"/>
      <c r="D774" s="731"/>
      <c r="E774" s="731"/>
      <c r="F774" s="734"/>
      <c r="G774" s="731"/>
      <c r="H774" s="731"/>
      <c r="I774" s="734"/>
      <c r="J774" s="731"/>
      <c r="K774" s="731"/>
      <c r="L774" s="734"/>
      <c r="M774" s="731"/>
      <c r="N774" s="731"/>
      <c r="O774" s="730"/>
      <c r="P774" s="731"/>
      <c r="Q774" s="731"/>
      <c r="R774" s="734"/>
      <c r="S774" s="731"/>
      <c r="T774" s="731"/>
      <c r="U774" s="734"/>
      <c r="V774" s="731"/>
      <c r="W774" s="731"/>
      <c r="X774" s="734"/>
      <c r="Y774" s="731"/>
      <c r="Z774" s="731"/>
    </row>
    <row r="775">
      <c r="C775" s="734"/>
      <c r="D775" s="731"/>
      <c r="E775" s="731"/>
      <c r="F775" s="734"/>
      <c r="G775" s="731"/>
      <c r="H775" s="731"/>
      <c r="I775" s="734"/>
      <c r="J775" s="731"/>
      <c r="K775" s="731"/>
      <c r="L775" s="734"/>
      <c r="M775" s="731"/>
      <c r="N775" s="731"/>
      <c r="O775" s="730"/>
      <c r="P775" s="731"/>
      <c r="Q775" s="731"/>
      <c r="R775" s="734"/>
      <c r="S775" s="731"/>
      <c r="T775" s="731"/>
      <c r="U775" s="734"/>
      <c r="V775" s="731"/>
      <c r="W775" s="731"/>
      <c r="X775" s="734"/>
      <c r="Y775" s="731"/>
      <c r="Z775" s="731"/>
    </row>
    <row r="776">
      <c r="C776" s="734"/>
      <c r="D776" s="731"/>
      <c r="E776" s="731"/>
      <c r="F776" s="734"/>
      <c r="G776" s="731"/>
      <c r="H776" s="731"/>
      <c r="I776" s="734"/>
      <c r="J776" s="731"/>
      <c r="K776" s="731"/>
      <c r="L776" s="734"/>
      <c r="M776" s="731"/>
      <c r="N776" s="731"/>
      <c r="O776" s="730"/>
      <c r="P776" s="731"/>
      <c r="Q776" s="731"/>
      <c r="R776" s="734"/>
      <c r="S776" s="731"/>
      <c r="T776" s="731"/>
      <c r="U776" s="734"/>
      <c r="V776" s="731"/>
      <c r="W776" s="731"/>
      <c r="X776" s="734"/>
      <c r="Y776" s="731"/>
      <c r="Z776" s="731"/>
    </row>
    <row r="777">
      <c r="C777" s="734"/>
      <c r="D777" s="731"/>
      <c r="E777" s="731"/>
      <c r="F777" s="734"/>
      <c r="G777" s="731"/>
      <c r="H777" s="731"/>
      <c r="I777" s="734"/>
      <c r="J777" s="731"/>
      <c r="K777" s="731"/>
      <c r="L777" s="734"/>
      <c r="M777" s="731"/>
      <c r="N777" s="731"/>
      <c r="O777" s="730"/>
      <c r="P777" s="731"/>
      <c r="Q777" s="731"/>
      <c r="R777" s="734"/>
      <c r="S777" s="731"/>
      <c r="T777" s="731"/>
      <c r="U777" s="734"/>
      <c r="V777" s="731"/>
      <c r="W777" s="731"/>
      <c r="X777" s="734"/>
      <c r="Y777" s="731"/>
      <c r="Z777" s="731"/>
    </row>
    <row r="778">
      <c r="C778" s="734"/>
      <c r="D778" s="731"/>
      <c r="E778" s="731"/>
      <c r="F778" s="734"/>
      <c r="G778" s="731"/>
      <c r="H778" s="731"/>
      <c r="I778" s="734"/>
      <c r="J778" s="731"/>
      <c r="K778" s="731"/>
      <c r="L778" s="734"/>
      <c r="M778" s="731"/>
      <c r="N778" s="731"/>
      <c r="O778" s="730"/>
      <c r="P778" s="731"/>
      <c r="Q778" s="731"/>
      <c r="R778" s="734"/>
      <c r="S778" s="731"/>
      <c r="T778" s="731"/>
      <c r="U778" s="734"/>
      <c r="V778" s="731"/>
      <c r="W778" s="731"/>
      <c r="X778" s="734"/>
      <c r="Y778" s="731"/>
      <c r="Z778" s="731"/>
    </row>
    <row r="779">
      <c r="C779" s="734"/>
      <c r="D779" s="731"/>
      <c r="E779" s="731"/>
      <c r="F779" s="734"/>
      <c r="G779" s="731"/>
      <c r="H779" s="731"/>
      <c r="I779" s="734"/>
      <c r="J779" s="731"/>
      <c r="K779" s="731"/>
      <c r="L779" s="734"/>
      <c r="M779" s="731"/>
      <c r="N779" s="731"/>
      <c r="O779" s="730"/>
      <c r="P779" s="731"/>
      <c r="Q779" s="731"/>
      <c r="R779" s="734"/>
      <c r="S779" s="731"/>
      <c r="T779" s="731"/>
      <c r="U779" s="734"/>
      <c r="V779" s="731"/>
      <c r="W779" s="731"/>
      <c r="X779" s="734"/>
      <c r="Y779" s="731"/>
      <c r="Z779" s="731"/>
    </row>
    <row r="780">
      <c r="C780" s="734"/>
      <c r="D780" s="731"/>
      <c r="E780" s="731"/>
      <c r="F780" s="734"/>
      <c r="G780" s="731"/>
      <c r="H780" s="731"/>
      <c r="I780" s="734"/>
      <c r="J780" s="731"/>
      <c r="K780" s="731"/>
      <c r="L780" s="734"/>
      <c r="M780" s="731"/>
      <c r="N780" s="731"/>
      <c r="O780" s="730"/>
      <c r="P780" s="731"/>
      <c r="Q780" s="731"/>
      <c r="R780" s="734"/>
      <c r="S780" s="731"/>
      <c r="T780" s="731"/>
      <c r="U780" s="734"/>
      <c r="V780" s="731"/>
      <c r="W780" s="731"/>
      <c r="X780" s="734"/>
      <c r="Y780" s="731"/>
      <c r="Z780" s="731"/>
    </row>
    <row r="781">
      <c r="C781" s="734"/>
      <c r="D781" s="731"/>
      <c r="E781" s="731"/>
      <c r="F781" s="734"/>
      <c r="G781" s="731"/>
      <c r="H781" s="731"/>
      <c r="I781" s="734"/>
      <c r="J781" s="731"/>
      <c r="K781" s="731"/>
      <c r="L781" s="734"/>
      <c r="M781" s="731"/>
      <c r="N781" s="731"/>
      <c r="O781" s="730"/>
      <c r="P781" s="731"/>
      <c r="Q781" s="731"/>
      <c r="R781" s="734"/>
      <c r="S781" s="731"/>
      <c r="T781" s="731"/>
      <c r="U781" s="734"/>
      <c r="V781" s="731"/>
      <c r="W781" s="731"/>
      <c r="X781" s="734"/>
      <c r="Y781" s="731"/>
      <c r="Z781" s="731"/>
    </row>
    <row r="782">
      <c r="C782" s="734"/>
      <c r="D782" s="731"/>
      <c r="E782" s="731"/>
      <c r="F782" s="734"/>
      <c r="G782" s="731"/>
      <c r="H782" s="731"/>
      <c r="I782" s="734"/>
      <c r="J782" s="731"/>
      <c r="K782" s="731"/>
      <c r="L782" s="734"/>
      <c r="M782" s="731"/>
      <c r="N782" s="731"/>
      <c r="O782" s="730"/>
      <c r="P782" s="731"/>
      <c r="Q782" s="731"/>
      <c r="R782" s="734"/>
      <c r="S782" s="731"/>
      <c r="T782" s="731"/>
      <c r="U782" s="734"/>
      <c r="V782" s="731"/>
      <c r="W782" s="731"/>
      <c r="X782" s="734"/>
      <c r="Y782" s="731"/>
      <c r="Z782" s="731"/>
    </row>
    <row r="783">
      <c r="C783" s="734"/>
      <c r="D783" s="731"/>
      <c r="E783" s="731"/>
      <c r="F783" s="734"/>
      <c r="G783" s="731"/>
      <c r="H783" s="731"/>
      <c r="I783" s="734"/>
      <c r="J783" s="731"/>
      <c r="K783" s="731"/>
      <c r="L783" s="734"/>
      <c r="M783" s="731"/>
      <c r="N783" s="731"/>
      <c r="O783" s="730"/>
      <c r="P783" s="731"/>
      <c r="Q783" s="731"/>
      <c r="R783" s="734"/>
      <c r="S783" s="731"/>
      <c r="T783" s="731"/>
      <c r="U783" s="734"/>
      <c r="V783" s="731"/>
      <c r="W783" s="731"/>
      <c r="X783" s="734"/>
      <c r="Y783" s="731"/>
      <c r="Z783" s="731"/>
    </row>
    <row r="784">
      <c r="C784" s="734"/>
      <c r="D784" s="731"/>
      <c r="E784" s="731"/>
      <c r="F784" s="734"/>
      <c r="G784" s="731"/>
      <c r="H784" s="731"/>
      <c r="I784" s="734"/>
      <c r="J784" s="731"/>
      <c r="K784" s="731"/>
      <c r="L784" s="734"/>
      <c r="M784" s="731"/>
      <c r="N784" s="731"/>
      <c r="O784" s="730"/>
      <c r="P784" s="731"/>
      <c r="Q784" s="731"/>
      <c r="R784" s="734"/>
      <c r="S784" s="731"/>
      <c r="T784" s="731"/>
      <c r="U784" s="734"/>
      <c r="V784" s="731"/>
      <c r="W784" s="731"/>
      <c r="X784" s="734"/>
      <c r="Y784" s="731"/>
      <c r="Z784" s="731"/>
    </row>
    <row r="785">
      <c r="C785" s="734"/>
      <c r="D785" s="731"/>
      <c r="E785" s="731"/>
      <c r="F785" s="734"/>
      <c r="G785" s="731"/>
      <c r="H785" s="731"/>
      <c r="I785" s="734"/>
      <c r="J785" s="731"/>
      <c r="K785" s="731"/>
      <c r="L785" s="734"/>
      <c r="M785" s="731"/>
      <c r="N785" s="731"/>
      <c r="O785" s="730"/>
      <c r="P785" s="731"/>
      <c r="Q785" s="731"/>
      <c r="R785" s="734"/>
      <c r="S785" s="731"/>
      <c r="T785" s="731"/>
      <c r="U785" s="734"/>
      <c r="V785" s="731"/>
      <c r="W785" s="731"/>
      <c r="X785" s="734"/>
      <c r="Y785" s="731"/>
      <c r="Z785" s="731"/>
    </row>
    <row r="786">
      <c r="C786" s="734"/>
      <c r="D786" s="731"/>
      <c r="E786" s="731"/>
      <c r="F786" s="734"/>
      <c r="G786" s="731"/>
      <c r="H786" s="731"/>
      <c r="I786" s="734"/>
      <c r="J786" s="731"/>
      <c r="K786" s="731"/>
      <c r="L786" s="734"/>
      <c r="M786" s="731"/>
      <c r="N786" s="731"/>
      <c r="O786" s="730"/>
      <c r="P786" s="731"/>
      <c r="Q786" s="731"/>
      <c r="R786" s="734"/>
      <c r="S786" s="731"/>
      <c r="T786" s="731"/>
      <c r="U786" s="734"/>
      <c r="V786" s="731"/>
      <c r="W786" s="731"/>
      <c r="X786" s="734"/>
      <c r="Y786" s="731"/>
      <c r="Z786" s="731"/>
    </row>
    <row r="787">
      <c r="C787" s="734"/>
      <c r="D787" s="731"/>
      <c r="E787" s="731"/>
      <c r="F787" s="734"/>
      <c r="G787" s="731"/>
      <c r="H787" s="731"/>
      <c r="I787" s="734"/>
      <c r="J787" s="731"/>
      <c r="K787" s="731"/>
      <c r="L787" s="734"/>
      <c r="M787" s="731"/>
      <c r="N787" s="731"/>
      <c r="O787" s="730"/>
      <c r="P787" s="731"/>
      <c r="Q787" s="731"/>
      <c r="R787" s="734"/>
      <c r="S787" s="731"/>
      <c r="T787" s="731"/>
      <c r="U787" s="734"/>
      <c r="V787" s="731"/>
      <c r="W787" s="731"/>
      <c r="X787" s="734"/>
      <c r="Y787" s="731"/>
      <c r="Z787" s="731"/>
    </row>
    <row r="788">
      <c r="C788" s="734"/>
      <c r="D788" s="731"/>
      <c r="E788" s="731"/>
      <c r="F788" s="734"/>
      <c r="G788" s="731"/>
      <c r="H788" s="731"/>
      <c r="I788" s="734"/>
      <c r="J788" s="731"/>
      <c r="K788" s="731"/>
      <c r="L788" s="734"/>
      <c r="M788" s="731"/>
      <c r="N788" s="731"/>
      <c r="O788" s="730"/>
      <c r="P788" s="731"/>
      <c r="Q788" s="731"/>
      <c r="R788" s="734"/>
      <c r="S788" s="731"/>
      <c r="T788" s="731"/>
      <c r="U788" s="734"/>
      <c r="V788" s="731"/>
      <c r="W788" s="731"/>
      <c r="X788" s="734"/>
      <c r="Y788" s="731"/>
      <c r="Z788" s="731"/>
    </row>
    <row r="789">
      <c r="C789" s="734"/>
      <c r="D789" s="731"/>
      <c r="E789" s="731"/>
      <c r="F789" s="734"/>
      <c r="G789" s="731"/>
      <c r="H789" s="731"/>
      <c r="I789" s="734"/>
      <c r="J789" s="731"/>
      <c r="K789" s="731"/>
      <c r="L789" s="734"/>
      <c r="M789" s="731"/>
      <c r="N789" s="731"/>
      <c r="O789" s="730"/>
      <c r="P789" s="731"/>
      <c r="Q789" s="731"/>
      <c r="R789" s="734"/>
      <c r="S789" s="731"/>
      <c r="T789" s="731"/>
      <c r="U789" s="734"/>
      <c r="V789" s="731"/>
      <c r="W789" s="731"/>
      <c r="X789" s="734"/>
      <c r="Y789" s="731"/>
      <c r="Z789" s="731"/>
    </row>
    <row r="790">
      <c r="C790" s="734"/>
      <c r="D790" s="731"/>
      <c r="E790" s="731"/>
      <c r="F790" s="734"/>
      <c r="G790" s="731"/>
      <c r="H790" s="731"/>
      <c r="I790" s="734"/>
      <c r="J790" s="731"/>
      <c r="K790" s="731"/>
      <c r="L790" s="734"/>
      <c r="M790" s="731"/>
      <c r="N790" s="731"/>
      <c r="O790" s="730"/>
      <c r="P790" s="731"/>
      <c r="Q790" s="731"/>
      <c r="R790" s="734"/>
      <c r="S790" s="731"/>
      <c r="T790" s="731"/>
      <c r="U790" s="734"/>
      <c r="V790" s="731"/>
      <c r="W790" s="731"/>
      <c r="X790" s="734"/>
      <c r="Y790" s="731"/>
      <c r="Z790" s="731"/>
    </row>
    <row r="791">
      <c r="C791" s="734"/>
      <c r="D791" s="731"/>
      <c r="E791" s="731"/>
      <c r="F791" s="734"/>
      <c r="G791" s="731"/>
      <c r="H791" s="731"/>
      <c r="I791" s="734"/>
      <c r="J791" s="731"/>
      <c r="K791" s="731"/>
      <c r="L791" s="734"/>
      <c r="M791" s="731"/>
      <c r="N791" s="731"/>
      <c r="O791" s="730"/>
      <c r="P791" s="731"/>
      <c r="Q791" s="731"/>
      <c r="R791" s="734"/>
      <c r="S791" s="731"/>
      <c r="T791" s="731"/>
      <c r="U791" s="734"/>
      <c r="V791" s="731"/>
      <c r="W791" s="731"/>
      <c r="X791" s="734"/>
      <c r="Y791" s="731"/>
      <c r="Z791" s="731"/>
    </row>
    <row r="792">
      <c r="C792" s="734"/>
      <c r="D792" s="731"/>
      <c r="E792" s="731"/>
      <c r="F792" s="734"/>
      <c r="G792" s="731"/>
      <c r="H792" s="731"/>
      <c r="I792" s="734"/>
      <c r="J792" s="731"/>
      <c r="K792" s="731"/>
      <c r="L792" s="734"/>
      <c r="M792" s="731"/>
      <c r="N792" s="731"/>
      <c r="O792" s="730"/>
      <c r="P792" s="731"/>
      <c r="Q792" s="731"/>
      <c r="R792" s="734"/>
      <c r="S792" s="731"/>
      <c r="T792" s="731"/>
      <c r="U792" s="734"/>
      <c r="V792" s="731"/>
      <c r="W792" s="731"/>
      <c r="X792" s="734"/>
      <c r="Y792" s="731"/>
      <c r="Z792" s="731"/>
    </row>
    <row r="793">
      <c r="C793" s="734"/>
      <c r="D793" s="731"/>
      <c r="E793" s="731"/>
      <c r="F793" s="734"/>
      <c r="G793" s="731"/>
      <c r="H793" s="731"/>
      <c r="I793" s="734"/>
      <c r="J793" s="731"/>
      <c r="K793" s="731"/>
      <c r="L793" s="734"/>
      <c r="M793" s="731"/>
      <c r="N793" s="731"/>
      <c r="O793" s="730"/>
      <c r="P793" s="731"/>
      <c r="Q793" s="731"/>
      <c r="R793" s="734"/>
      <c r="S793" s="731"/>
      <c r="T793" s="731"/>
      <c r="U793" s="734"/>
      <c r="V793" s="731"/>
      <c r="W793" s="731"/>
      <c r="X793" s="734"/>
      <c r="Y793" s="731"/>
      <c r="Z793" s="731"/>
    </row>
    <row r="794">
      <c r="C794" s="734"/>
      <c r="D794" s="731"/>
      <c r="E794" s="731"/>
      <c r="F794" s="734"/>
      <c r="G794" s="731"/>
      <c r="H794" s="731"/>
      <c r="I794" s="734"/>
      <c r="J794" s="731"/>
      <c r="K794" s="731"/>
      <c r="L794" s="734"/>
      <c r="M794" s="731"/>
      <c r="N794" s="731"/>
      <c r="O794" s="730"/>
      <c r="P794" s="731"/>
      <c r="Q794" s="731"/>
      <c r="R794" s="734"/>
      <c r="S794" s="731"/>
      <c r="T794" s="731"/>
      <c r="U794" s="734"/>
      <c r="V794" s="731"/>
      <c r="W794" s="731"/>
      <c r="X794" s="734"/>
      <c r="Y794" s="731"/>
      <c r="Z794" s="731"/>
    </row>
    <row r="795">
      <c r="C795" s="734"/>
      <c r="D795" s="731"/>
      <c r="E795" s="731"/>
      <c r="F795" s="734"/>
      <c r="G795" s="731"/>
      <c r="H795" s="731"/>
      <c r="I795" s="734"/>
      <c r="J795" s="731"/>
      <c r="K795" s="731"/>
      <c r="L795" s="734"/>
      <c r="M795" s="731"/>
      <c r="N795" s="731"/>
      <c r="O795" s="730"/>
      <c r="P795" s="731"/>
      <c r="Q795" s="731"/>
      <c r="R795" s="734"/>
      <c r="S795" s="731"/>
      <c r="T795" s="731"/>
      <c r="U795" s="734"/>
      <c r="V795" s="731"/>
      <c r="W795" s="731"/>
      <c r="X795" s="734"/>
      <c r="Y795" s="731"/>
      <c r="Z795" s="731"/>
    </row>
    <row r="796">
      <c r="C796" s="734"/>
      <c r="D796" s="731"/>
      <c r="E796" s="731"/>
      <c r="F796" s="734"/>
      <c r="G796" s="731"/>
      <c r="H796" s="731"/>
      <c r="I796" s="734"/>
      <c r="J796" s="731"/>
      <c r="K796" s="731"/>
      <c r="L796" s="734"/>
      <c r="M796" s="731"/>
      <c r="N796" s="731"/>
      <c r="O796" s="730"/>
      <c r="P796" s="731"/>
      <c r="Q796" s="731"/>
      <c r="R796" s="734"/>
      <c r="S796" s="731"/>
      <c r="T796" s="731"/>
      <c r="U796" s="734"/>
      <c r="V796" s="731"/>
      <c r="W796" s="731"/>
      <c r="X796" s="734"/>
      <c r="Y796" s="731"/>
      <c r="Z796" s="731"/>
    </row>
    <row r="797">
      <c r="C797" s="734"/>
      <c r="D797" s="731"/>
      <c r="E797" s="731"/>
      <c r="F797" s="734"/>
      <c r="G797" s="731"/>
      <c r="H797" s="731"/>
      <c r="I797" s="734"/>
      <c r="J797" s="731"/>
      <c r="K797" s="731"/>
      <c r="L797" s="734"/>
      <c r="M797" s="731"/>
      <c r="N797" s="731"/>
      <c r="O797" s="730"/>
      <c r="P797" s="731"/>
      <c r="Q797" s="731"/>
      <c r="R797" s="734"/>
      <c r="S797" s="731"/>
      <c r="T797" s="731"/>
      <c r="U797" s="734"/>
      <c r="V797" s="731"/>
      <c r="W797" s="731"/>
      <c r="X797" s="734"/>
      <c r="Y797" s="731"/>
      <c r="Z797" s="731"/>
    </row>
    <row r="798">
      <c r="C798" s="734"/>
      <c r="D798" s="731"/>
      <c r="E798" s="731"/>
      <c r="F798" s="734"/>
      <c r="G798" s="731"/>
      <c r="H798" s="731"/>
      <c r="I798" s="734"/>
      <c r="J798" s="731"/>
      <c r="K798" s="731"/>
      <c r="L798" s="734"/>
      <c r="M798" s="731"/>
      <c r="N798" s="731"/>
      <c r="O798" s="730"/>
      <c r="P798" s="731"/>
      <c r="Q798" s="731"/>
      <c r="R798" s="734"/>
      <c r="S798" s="731"/>
      <c r="T798" s="731"/>
      <c r="U798" s="734"/>
      <c r="V798" s="731"/>
      <c r="W798" s="731"/>
      <c r="X798" s="734"/>
      <c r="Y798" s="731"/>
      <c r="Z798" s="731"/>
    </row>
    <row r="799">
      <c r="C799" s="734"/>
      <c r="D799" s="731"/>
      <c r="E799" s="731"/>
      <c r="F799" s="734"/>
      <c r="G799" s="731"/>
      <c r="H799" s="731"/>
      <c r="I799" s="734"/>
      <c r="J799" s="731"/>
      <c r="K799" s="731"/>
      <c r="L799" s="734"/>
      <c r="M799" s="731"/>
      <c r="N799" s="731"/>
      <c r="O799" s="730"/>
      <c r="P799" s="731"/>
      <c r="Q799" s="731"/>
      <c r="R799" s="734"/>
      <c r="S799" s="731"/>
      <c r="T799" s="731"/>
      <c r="U799" s="734"/>
      <c r="V799" s="731"/>
      <c r="W799" s="731"/>
      <c r="X799" s="734"/>
      <c r="Y799" s="731"/>
      <c r="Z799" s="731"/>
    </row>
    <row r="800">
      <c r="C800" s="734"/>
      <c r="D800" s="731"/>
      <c r="E800" s="731"/>
      <c r="F800" s="734"/>
      <c r="G800" s="731"/>
      <c r="H800" s="731"/>
      <c r="I800" s="734"/>
      <c r="J800" s="731"/>
      <c r="K800" s="731"/>
      <c r="L800" s="734"/>
      <c r="M800" s="731"/>
      <c r="N800" s="731"/>
      <c r="O800" s="730"/>
      <c r="P800" s="731"/>
      <c r="Q800" s="731"/>
      <c r="R800" s="734"/>
      <c r="S800" s="731"/>
      <c r="T800" s="731"/>
      <c r="U800" s="734"/>
      <c r="V800" s="731"/>
      <c r="W800" s="731"/>
      <c r="X800" s="734"/>
      <c r="Y800" s="731"/>
      <c r="Z800" s="731"/>
    </row>
    <row r="801">
      <c r="C801" s="734"/>
      <c r="D801" s="731"/>
      <c r="E801" s="731"/>
      <c r="F801" s="734"/>
      <c r="G801" s="731"/>
      <c r="H801" s="731"/>
      <c r="I801" s="734"/>
      <c r="J801" s="731"/>
      <c r="K801" s="731"/>
      <c r="L801" s="734"/>
      <c r="M801" s="731"/>
      <c r="N801" s="731"/>
      <c r="O801" s="730"/>
      <c r="P801" s="731"/>
      <c r="Q801" s="731"/>
      <c r="R801" s="734"/>
      <c r="S801" s="731"/>
      <c r="T801" s="731"/>
      <c r="U801" s="734"/>
      <c r="V801" s="731"/>
      <c r="W801" s="731"/>
      <c r="X801" s="734"/>
      <c r="Y801" s="731"/>
      <c r="Z801" s="731"/>
    </row>
    <row r="802">
      <c r="C802" s="734"/>
      <c r="D802" s="731"/>
      <c r="E802" s="731"/>
      <c r="F802" s="734"/>
      <c r="G802" s="731"/>
      <c r="H802" s="731"/>
      <c r="I802" s="734"/>
      <c r="J802" s="731"/>
      <c r="K802" s="731"/>
      <c r="L802" s="734"/>
      <c r="M802" s="731"/>
      <c r="N802" s="731"/>
      <c r="O802" s="730"/>
      <c r="P802" s="731"/>
      <c r="Q802" s="731"/>
      <c r="R802" s="734"/>
      <c r="S802" s="731"/>
      <c r="T802" s="731"/>
      <c r="U802" s="734"/>
      <c r="V802" s="731"/>
      <c r="W802" s="731"/>
      <c r="X802" s="734"/>
      <c r="Y802" s="731"/>
      <c r="Z802" s="731"/>
    </row>
    <row r="803">
      <c r="C803" s="734"/>
      <c r="D803" s="731"/>
      <c r="E803" s="731"/>
      <c r="F803" s="734"/>
      <c r="G803" s="731"/>
      <c r="H803" s="731"/>
      <c r="I803" s="734"/>
      <c r="J803" s="731"/>
      <c r="K803" s="731"/>
      <c r="L803" s="734"/>
      <c r="M803" s="731"/>
      <c r="N803" s="731"/>
      <c r="O803" s="730"/>
      <c r="P803" s="731"/>
      <c r="Q803" s="731"/>
      <c r="R803" s="734"/>
      <c r="S803" s="731"/>
      <c r="T803" s="731"/>
      <c r="U803" s="734"/>
      <c r="V803" s="731"/>
      <c r="W803" s="731"/>
      <c r="X803" s="734"/>
      <c r="Y803" s="731"/>
      <c r="Z803" s="731"/>
    </row>
    <row r="804">
      <c r="C804" s="734"/>
      <c r="D804" s="731"/>
      <c r="E804" s="731"/>
      <c r="F804" s="734"/>
      <c r="G804" s="731"/>
      <c r="H804" s="731"/>
      <c r="I804" s="734"/>
      <c r="J804" s="731"/>
      <c r="K804" s="731"/>
      <c r="L804" s="734"/>
      <c r="M804" s="731"/>
      <c r="N804" s="731"/>
      <c r="O804" s="730"/>
      <c r="P804" s="731"/>
      <c r="Q804" s="731"/>
      <c r="R804" s="734"/>
      <c r="S804" s="731"/>
      <c r="T804" s="731"/>
      <c r="U804" s="734"/>
      <c r="V804" s="731"/>
      <c r="W804" s="731"/>
      <c r="X804" s="734"/>
      <c r="Y804" s="731"/>
      <c r="Z804" s="731"/>
    </row>
    <row r="805">
      <c r="C805" s="734"/>
      <c r="D805" s="731"/>
      <c r="E805" s="731"/>
      <c r="F805" s="734"/>
      <c r="G805" s="731"/>
      <c r="H805" s="731"/>
      <c r="I805" s="734"/>
      <c r="J805" s="731"/>
      <c r="K805" s="731"/>
      <c r="L805" s="734"/>
      <c r="M805" s="731"/>
      <c r="N805" s="731"/>
      <c r="O805" s="730"/>
      <c r="P805" s="731"/>
      <c r="Q805" s="731"/>
      <c r="R805" s="734"/>
      <c r="S805" s="731"/>
      <c r="T805" s="731"/>
      <c r="U805" s="734"/>
      <c r="V805" s="731"/>
      <c r="W805" s="731"/>
      <c r="X805" s="734"/>
      <c r="Y805" s="731"/>
      <c r="Z805" s="731"/>
    </row>
    <row r="806">
      <c r="C806" s="734"/>
      <c r="D806" s="731"/>
      <c r="E806" s="731"/>
      <c r="F806" s="734"/>
      <c r="G806" s="731"/>
      <c r="H806" s="731"/>
      <c r="I806" s="734"/>
      <c r="J806" s="731"/>
      <c r="K806" s="731"/>
      <c r="L806" s="734"/>
      <c r="M806" s="731"/>
      <c r="N806" s="731"/>
      <c r="O806" s="730"/>
      <c r="P806" s="731"/>
      <c r="Q806" s="731"/>
      <c r="R806" s="734"/>
      <c r="S806" s="731"/>
      <c r="T806" s="731"/>
      <c r="U806" s="734"/>
      <c r="V806" s="731"/>
      <c r="W806" s="731"/>
      <c r="X806" s="734"/>
      <c r="Y806" s="731"/>
      <c r="Z806" s="731"/>
    </row>
    <row r="807">
      <c r="C807" s="734"/>
      <c r="D807" s="731"/>
      <c r="E807" s="731"/>
      <c r="F807" s="734"/>
      <c r="G807" s="731"/>
      <c r="H807" s="731"/>
      <c r="I807" s="734"/>
      <c r="J807" s="731"/>
      <c r="K807" s="731"/>
      <c r="L807" s="734"/>
      <c r="M807" s="731"/>
      <c r="N807" s="731"/>
      <c r="O807" s="730"/>
      <c r="P807" s="731"/>
      <c r="Q807" s="731"/>
      <c r="R807" s="734"/>
      <c r="S807" s="731"/>
      <c r="T807" s="731"/>
      <c r="U807" s="734"/>
      <c r="V807" s="731"/>
      <c r="W807" s="731"/>
      <c r="X807" s="734"/>
      <c r="Y807" s="731"/>
      <c r="Z807" s="731"/>
    </row>
    <row r="808">
      <c r="C808" s="734"/>
      <c r="D808" s="731"/>
      <c r="E808" s="731"/>
      <c r="F808" s="734"/>
      <c r="G808" s="731"/>
      <c r="H808" s="731"/>
      <c r="I808" s="734"/>
      <c r="J808" s="731"/>
      <c r="K808" s="731"/>
      <c r="L808" s="734"/>
      <c r="M808" s="731"/>
      <c r="N808" s="731"/>
      <c r="O808" s="730"/>
      <c r="P808" s="731"/>
      <c r="Q808" s="731"/>
      <c r="R808" s="734"/>
      <c r="S808" s="731"/>
      <c r="T808" s="731"/>
      <c r="U808" s="734"/>
      <c r="V808" s="731"/>
      <c r="W808" s="731"/>
      <c r="X808" s="734"/>
      <c r="Y808" s="731"/>
      <c r="Z808" s="731"/>
    </row>
    <row r="809">
      <c r="C809" s="734"/>
      <c r="D809" s="731"/>
      <c r="E809" s="731"/>
      <c r="F809" s="734"/>
      <c r="G809" s="731"/>
      <c r="H809" s="731"/>
      <c r="I809" s="734"/>
      <c r="J809" s="731"/>
      <c r="K809" s="731"/>
      <c r="L809" s="734"/>
      <c r="M809" s="731"/>
      <c r="N809" s="731"/>
      <c r="O809" s="730"/>
      <c r="P809" s="731"/>
      <c r="Q809" s="731"/>
      <c r="R809" s="734"/>
      <c r="S809" s="731"/>
      <c r="T809" s="731"/>
      <c r="U809" s="734"/>
      <c r="V809" s="731"/>
      <c r="W809" s="731"/>
      <c r="X809" s="734"/>
      <c r="Y809" s="731"/>
      <c r="Z809" s="731"/>
    </row>
    <row r="810">
      <c r="C810" s="734"/>
      <c r="D810" s="731"/>
      <c r="E810" s="731"/>
      <c r="F810" s="734"/>
      <c r="G810" s="731"/>
      <c r="H810" s="731"/>
      <c r="I810" s="734"/>
      <c r="J810" s="731"/>
      <c r="K810" s="731"/>
      <c r="L810" s="734"/>
      <c r="M810" s="731"/>
      <c r="N810" s="731"/>
      <c r="O810" s="730"/>
      <c r="P810" s="731"/>
      <c r="Q810" s="731"/>
      <c r="R810" s="734"/>
      <c r="S810" s="731"/>
      <c r="T810" s="731"/>
      <c r="U810" s="734"/>
      <c r="V810" s="731"/>
      <c r="W810" s="731"/>
      <c r="X810" s="734"/>
      <c r="Y810" s="731"/>
      <c r="Z810" s="731"/>
    </row>
    <row r="811">
      <c r="C811" s="734"/>
      <c r="D811" s="731"/>
      <c r="E811" s="731"/>
      <c r="F811" s="734"/>
      <c r="G811" s="731"/>
      <c r="H811" s="731"/>
      <c r="I811" s="734"/>
      <c r="J811" s="731"/>
      <c r="K811" s="731"/>
      <c r="L811" s="734"/>
      <c r="M811" s="731"/>
      <c r="N811" s="731"/>
      <c r="O811" s="730"/>
      <c r="P811" s="731"/>
      <c r="Q811" s="731"/>
      <c r="R811" s="734"/>
      <c r="S811" s="731"/>
      <c r="T811" s="731"/>
      <c r="U811" s="734"/>
      <c r="V811" s="731"/>
      <c r="W811" s="731"/>
      <c r="X811" s="734"/>
      <c r="Y811" s="731"/>
      <c r="Z811" s="731"/>
    </row>
    <row r="812">
      <c r="C812" s="734"/>
      <c r="D812" s="731"/>
      <c r="E812" s="731"/>
      <c r="F812" s="734"/>
      <c r="G812" s="731"/>
      <c r="H812" s="731"/>
      <c r="I812" s="734"/>
      <c r="J812" s="731"/>
      <c r="K812" s="731"/>
      <c r="L812" s="734"/>
      <c r="M812" s="731"/>
      <c r="N812" s="731"/>
      <c r="O812" s="730"/>
      <c r="P812" s="731"/>
      <c r="Q812" s="731"/>
      <c r="R812" s="734"/>
      <c r="S812" s="731"/>
      <c r="T812" s="731"/>
      <c r="U812" s="734"/>
      <c r="V812" s="731"/>
      <c r="W812" s="731"/>
      <c r="X812" s="734"/>
      <c r="Y812" s="731"/>
      <c r="Z812" s="731"/>
    </row>
    <row r="813">
      <c r="C813" s="734"/>
      <c r="D813" s="731"/>
      <c r="E813" s="731"/>
      <c r="F813" s="734"/>
      <c r="G813" s="731"/>
      <c r="H813" s="731"/>
      <c r="I813" s="734"/>
      <c r="J813" s="731"/>
      <c r="K813" s="731"/>
      <c r="L813" s="734"/>
      <c r="M813" s="731"/>
      <c r="N813" s="731"/>
      <c r="O813" s="730"/>
      <c r="P813" s="731"/>
      <c r="Q813" s="731"/>
      <c r="R813" s="734"/>
      <c r="S813" s="731"/>
      <c r="T813" s="731"/>
      <c r="U813" s="734"/>
      <c r="V813" s="731"/>
      <c r="W813" s="731"/>
      <c r="X813" s="734"/>
      <c r="Y813" s="731"/>
      <c r="Z813" s="731"/>
    </row>
    <row r="814">
      <c r="C814" s="734"/>
      <c r="D814" s="731"/>
      <c r="E814" s="731"/>
      <c r="F814" s="734"/>
      <c r="G814" s="731"/>
      <c r="H814" s="731"/>
      <c r="I814" s="734"/>
      <c r="J814" s="731"/>
      <c r="K814" s="731"/>
      <c r="L814" s="734"/>
      <c r="M814" s="731"/>
      <c r="N814" s="731"/>
      <c r="O814" s="730"/>
      <c r="P814" s="731"/>
      <c r="Q814" s="731"/>
      <c r="R814" s="734"/>
      <c r="S814" s="731"/>
      <c r="T814" s="731"/>
      <c r="U814" s="734"/>
      <c r="V814" s="731"/>
      <c r="W814" s="731"/>
      <c r="X814" s="734"/>
      <c r="Y814" s="731"/>
      <c r="Z814" s="731"/>
    </row>
    <row r="815">
      <c r="C815" s="734"/>
      <c r="D815" s="731"/>
      <c r="E815" s="731"/>
      <c r="F815" s="734"/>
      <c r="G815" s="731"/>
      <c r="H815" s="731"/>
      <c r="I815" s="734"/>
      <c r="J815" s="731"/>
      <c r="K815" s="731"/>
      <c r="L815" s="734"/>
      <c r="M815" s="731"/>
      <c r="N815" s="731"/>
      <c r="O815" s="730"/>
      <c r="P815" s="731"/>
      <c r="Q815" s="731"/>
      <c r="R815" s="734"/>
      <c r="S815" s="731"/>
      <c r="T815" s="731"/>
      <c r="U815" s="734"/>
      <c r="V815" s="731"/>
      <c r="W815" s="731"/>
      <c r="X815" s="734"/>
      <c r="Y815" s="731"/>
      <c r="Z815" s="731"/>
    </row>
    <row r="816">
      <c r="C816" s="734"/>
      <c r="D816" s="731"/>
      <c r="E816" s="731"/>
      <c r="F816" s="734"/>
      <c r="G816" s="731"/>
      <c r="H816" s="731"/>
      <c r="I816" s="734"/>
      <c r="J816" s="731"/>
      <c r="K816" s="731"/>
      <c r="L816" s="734"/>
      <c r="M816" s="731"/>
      <c r="N816" s="731"/>
      <c r="O816" s="730"/>
      <c r="P816" s="731"/>
      <c r="Q816" s="731"/>
      <c r="R816" s="734"/>
      <c r="S816" s="731"/>
      <c r="T816" s="731"/>
      <c r="U816" s="734"/>
      <c r="V816" s="731"/>
      <c r="W816" s="731"/>
      <c r="X816" s="734"/>
      <c r="Y816" s="731"/>
      <c r="Z816" s="731"/>
    </row>
    <row r="817">
      <c r="C817" s="734"/>
      <c r="D817" s="731"/>
      <c r="E817" s="731"/>
      <c r="F817" s="734"/>
      <c r="G817" s="731"/>
      <c r="H817" s="731"/>
      <c r="I817" s="734"/>
      <c r="J817" s="731"/>
      <c r="K817" s="731"/>
      <c r="L817" s="734"/>
      <c r="M817" s="731"/>
      <c r="N817" s="731"/>
      <c r="O817" s="730"/>
      <c r="P817" s="731"/>
      <c r="Q817" s="731"/>
      <c r="R817" s="734"/>
      <c r="S817" s="731"/>
      <c r="T817" s="731"/>
      <c r="U817" s="734"/>
      <c r="V817" s="731"/>
      <c r="W817" s="731"/>
      <c r="X817" s="734"/>
      <c r="Y817" s="731"/>
      <c r="Z817" s="731"/>
    </row>
    <row r="818">
      <c r="C818" s="734"/>
      <c r="D818" s="731"/>
      <c r="E818" s="731"/>
      <c r="F818" s="734"/>
      <c r="G818" s="731"/>
      <c r="H818" s="731"/>
      <c r="I818" s="734"/>
      <c r="J818" s="731"/>
      <c r="K818" s="731"/>
      <c r="L818" s="734"/>
      <c r="M818" s="731"/>
      <c r="N818" s="731"/>
      <c r="O818" s="730"/>
      <c r="P818" s="731"/>
      <c r="Q818" s="731"/>
      <c r="R818" s="734"/>
      <c r="S818" s="731"/>
      <c r="T818" s="731"/>
      <c r="U818" s="734"/>
      <c r="V818" s="731"/>
      <c r="W818" s="731"/>
      <c r="X818" s="734"/>
      <c r="Y818" s="731"/>
      <c r="Z818" s="731"/>
    </row>
    <row r="819">
      <c r="C819" s="734"/>
      <c r="D819" s="731"/>
      <c r="E819" s="731"/>
      <c r="F819" s="734"/>
      <c r="G819" s="731"/>
      <c r="H819" s="731"/>
      <c r="I819" s="734"/>
      <c r="J819" s="731"/>
      <c r="K819" s="731"/>
      <c r="L819" s="734"/>
      <c r="M819" s="731"/>
      <c r="N819" s="731"/>
      <c r="O819" s="730"/>
      <c r="P819" s="731"/>
      <c r="Q819" s="731"/>
      <c r="R819" s="734"/>
      <c r="S819" s="731"/>
      <c r="T819" s="731"/>
      <c r="U819" s="734"/>
      <c r="V819" s="731"/>
      <c r="W819" s="731"/>
      <c r="X819" s="734"/>
      <c r="Y819" s="731"/>
      <c r="Z819" s="731"/>
    </row>
    <row r="820">
      <c r="C820" s="734"/>
      <c r="D820" s="731"/>
      <c r="E820" s="731"/>
      <c r="F820" s="734"/>
      <c r="G820" s="731"/>
      <c r="H820" s="731"/>
      <c r="I820" s="734"/>
      <c r="J820" s="731"/>
      <c r="K820" s="731"/>
      <c r="L820" s="734"/>
      <c r="M820" s="731"/>
      <c r="N820" s="731"/>
      <c r="O820" s="730"/>
      <c r="P820" s="731"/>
      <c r="Q820" s="731"/>
      <c r="R820" s="734"/>
      <c r="S820" s="731"/>
      <c r="T820" s="731"/>
      <c r="U820" s="734"/>
      <c r="V820" s="731"/>
      <c r="W820" s="731"/>
      <c r="X820" s="734"/>
      <c r="Y820" s="731"/>
      <c r="Z820" s="731"/>
    </row>
    <row r="821">
      <c r="C821" s="734"/>
      <c r="D821" s="731"/>
      <c r="E821" s="731"/>
      <c r="F821" s="734"/>
      <c r="G821" s="731"/>
      <c r="H821" s="731"/>
      <c r="I821" s="734"/>
      <c r="J821" s="731"/>
      <c r="K821" s="731"/>
      <c r="L821" s="734"/>
      <c r="M821" s="731"/>
      <c r="N821" s="731"/>
      <c r="O821" s="730"/>
      <c r="P821" s="731"/>
      <c r="Q821" s="731"/>
      <c r="R821" s="734"/>
      <c r="S821" s="731"/>
      <c r="T821" s="731"/>
      <c r="U821" s="734"/>
      <c r="V821" s="731"/>
      <c r="W821" s="731"/>
      <c r="X821" s="734"/>
      <c r="Y821" s="731"/>
      <c r="Z821" s="731"/>
    </row>
    <row r="822">
      <c r="C822" s="734"/>
      <c r="D822" s="731"/>
      <c r="E822" s="731"/>
      <c r="F822" s="734"/>
      <c r="G822" s="731"/>
      <c r="H822" s="731"/>
      <c r="I822" s="734"/>
      <c r="J822" s="731"/>
      <c r="K822" s="731"/>
      <c r="L822" s="734"/>
      <c r="M822" s="731"/>
      <c r="N822" s="731"/>
      <c r="O822" s="730"/>
      <c r="P822" s="731"/>
      <c r="Q822" s="731"/>
      <c r="R822" s="734"/>
      <c r="S822" s="731"/>
      <c r="T822" s="731"/>
      <c r="U822" s="734"/>
      <c r="V822" s="731"/>
      <c r="W822" s="731"/>
      <c r="X822" s="734"/>
      <c r="Y822" s="731"/>
      <c r="Z822" s="731"/>
    </row>
    <row r="823">
      <c r="C823" s="734"/>
      <c r="D823" s="731"/>
      <c r="E823" s="731"/>
      <c r="F823" s="734"/>
      <c r="G823" s="731"/>
      <c r="H823" s="731"/>
      <c r="I823" s="734"/>
      <c r="J823" s="731"/>
      <c r="K823" s="731"/>
      <c r="L823" s="734"/>
      <c r="M823" s="731"/>
      <c r="N823" s="731"/>
      <c r="O823" s="730"/>
      <c r="P823" s="731"/>
      <c r="Q823" s="731"/>
      <c r="R823" s="734"/>
      <c r="S823" s="731"/>
      <c r="T823" s="731"/>
      <c r="U823" s="734"/>
      <c r="V823" s="731"/>
      <c r="W823" s="731"/>
      <c r="X823" s="734"/>
      <c r="Y823" s="731"/>
      <c r="Z823" s="731"/>
    </row>
    <row r="824">
      <c r="C824" s="734"/>
      <c r="D824" s="731"/>
      <c r="E824" s="731"/>
      <c r="F824" s="734"/>
      <c r="G824" s="731"/>
      <c r="H824" s="731"/>
      <c r="I824" s="734"/>
      <c r="J824" s="731"/>
      <c r="K824" s="731"/>
      <c r="L824" s="734"/>
      <c r="M824" s="731"/>
      <c r="N824" s="731"/>
      <c r="O824" s="730"/>
      <c r="P824" s="731"/>
      <c r="Q824" s="731"/>
      <c r="R824" s="734"/>
      <c r="S824" s="731"/>
      <c r="T824" s="731"/>
      <c r="U824" s="734"/>
      <c r="V824" s="731"/>
      <c r="W824" s="731"/>
      <c r="X824" s="734"/>
      <c r="Y824" s="731"/>
      <c r="Z824" s="731"/>
    </row>
    <row r="825">
      <c r="C825" s="734"/>
      <c r="D825" s="731"/>
      <c r="E825" s="731"/>
      <c r="F825" s="734"/>
      <c r="G825" s="731"/>
      <c r="H825" s="731"/>
      <c r="I825" s="734"/>
      <c r="J825" s="731"/>
      <c r="K825" s="731"/>
      <c r="L825" s="734"/>
      <c r="M825" s="731"/>
      <c r="N825" s="731"/>
      <c r="O825" s="730"/>
      <c r="P825" s="731"/>
      <c r="Q825" s="731"/>
      <c r="R825" s="734"/>
      <c r="S825" s="731"/>
      <c r="T825" s="731"/>
      <c r="U825" s="734"/>
      <c r="V825" s="731"/>
      <c r="W825" s="731"/>
      <c r="X825" s="734"/>
      <c r="Y825" s="731"/>
      <c r="Z825" s="731"/>
    </row>
    <row r="826">
      <c r="C826" s="734"/>
      <c r="D826" s="731"/>
      <c r="E826" s="731"/>
      <c r="F826" s="734"/>
      <c r="G826" s="731"/>
      <c r="H826" s="731"/>
      <c r="I826" s="734"/>
      <c r="J826" s="731"/>
      <c r="K826" s="731"/>
      <c r="L826" s="734"/>
      <c r="M826" s="731"/>
      <c r="N826" s="731"/>
      <c r="O826" s="730"/>
      <c r="P826" s="731"/>
      <c r="Q826" s="731"/>
      <c r="R826" s="734"/>
      <c r="S826" s="731"/>
      <c r="T826" s="731"/>
      <c r="U826" s="734"/>
      <c r="V826" s="731"/>
      <c r="W826" s="731"/>
      <c r="X826" s="734"/>
      <c r="Y826" s="731"/>
      <c r="Z826" s="731"/>
    </row>
    <row r="827">
      <c r="C827" s="734"/>
      <c r="D827" s="731"/>
      <c r="E827" s="731"/>
      <c r="F827" s="734"/>
      <c r="G827" s="731"/>
      <c r="H827" s="731"/>
      <c r="I827" s="734"/>
      <c r="J827" s="731"/>
      <c r="K827" s="731"/>
      <c r="L827" s="734"/>
      <c r="M827" s="731"/>
      <c r="N827" s="731"/>
      <c r="O827" s="730"/>
      <c r="P827" s="731"/>
      <c r="Q827" s="731"/>
      <c r="R827" s="734"/>
      <c r="S827" s="731"/>
      <c r="T827" s="731"/>
      <c r="U827" s="734"/>
      <c r="V827" s="731"/>
      <c r="W827" s="731"/>
      <c r="X827" s="734"/>
      <c r="Y827" s="731"/>
      <c r="Z827" s="731"/>
    </row>
    <row r="828">
      <c r="C828" s="734"/>
      <c r="D828" s="731"/>
      <c r="E828" s="731"/>
      <c r="F828" s="734"/>
      <c r="G828" s="731"/>
      <c r="H828" s="731"/>
      <c r="I828" s="734"/>
      <c r="J828" s="731"/>
      <c r="K828" s="731"/>
      <c r="L828" s="734"/>
      <c r="M828" s="731"/>
      <c r="N828" s="731"/>
      <c r="O828" s="730"/>
      <c r="P828" s="731"/>
      <c r="Q828" s="731"/>
      <c r="R828" s="734"/>
      <c r="S828" s="731"/>
      <c r="T828" s="731"/>
      <c r="U828" s="734"/>
      <c r="V828" s="731"/>
      <c r="W828" s="731"/>
      <c r="X828" s="734"/>
      <c r="Y828" s="731"/>
      <c r="Z828" s="731"/>
    </row>
    <row r="829">
      <c r="C829" s="734"/>
      <c r="D829" s="731"/>
      <c r="E829" s="731"/>
      <c r="F829" s="734"/>
      <c r="G829" s="731"/>
      <c r="H829" s="731"/>
      <c r="I829" s="734"/>
      <c r="J829" s="731"/>
      <c r="K829" s="731"/>
      <c r="L829" s="734"/>
      <c r="M829" s="731"/>
      <c r="N829" s="731"/>
      <c r="O829" s="730"/>
      <c r="P829" s="731"/>
      <c r="Q829" s="731"/>
      <c r="R829" s="734"/>
      <c r="S829" s="731"/>
      <c r="T829" s="731"/>
      <c r="U829" s="734"/>
      <c r="V829" s="731"/>
      <c r="W829" s="731"/>
      <c r="X829" s="734"/>
      <c r="Y829" s="731"/>
      <c r="Z829" s="731"/>
    </row>
    <row r="830">
      <c r="C830" s="734"/>
      <c r="D830" s="731"/>
      <c r="E830" s="731"/>
      <c r="F830" s="734"/>
      <c r="G830" s="731"/>
      <c r="H830" s="731"/>
      <c r="I830" s="734"/>
      <c r="J830" s="731"/>
      <c r="K830" s="731"/>
      <c r="L830" s="734"/>
      <c r="M830" s="731"/>
      <c r="N830" s="731"/>
      <c r="O830" s="730"/>
      <c r="P830" s="731"/>
      <c r="Q830" s="731"/>
      <c r="R830" s="734"/>
      <c r="S830" s="731"/>
      <c r="T830" s="731"/>
      <c r="U830" s="734"/>
      <c r="V830" s="731"/>
      <c r="W830" s="731"/>
      <c r="X830" s="734"/>
      <c r="Y830" s="731"/>
      <c r="Z830" s="731"/>
    </row>
    <row r="831">
      <c r="C831" s="734"/>
      <c r="D831" s="731"/>
      <c r="E831" s="731"/>
      <c r="F831" s="734"/>
      <c r="G831" s="731"/>
      <c r="H831" s="731"/>
      <c r="I831" s="734"/>
      <c r="J831" s="731"/>
      <c r="K831" s="731"/>
      <c r="L831" s="734"/>
      <c r="M831" s="731"/>
      <c r="N831" s="731"/>
      <c r="O831" s="730"/>
      <c r="P831" s="731"/>
      <c r="Q831" s="731"/>
      <c r="R831" s="734"/>
      <c r="S831" s="731"/>
      <c r="T831" s="731"/>
      <c r="U831" s="734"/>
      <c r="V831" s="731"/>
      <c r="W831" s="731"/>
      <c r="X831" s="734"/>
      <c r="Y831" s="731"/>
      <c r="Z831" s="731"/>
    </row>
    <row r="832">
      <c r="C832" s="734"/>
      <c r="D832" s="731"/>
      <c r="E832" s="731"/>
      <c r="F832" s="734"/>
      <c r="G832" s="731"/>
      <c r="H832" s="731"/>
      <c r="I832" s="734"/>
      <c r="J832" s="731"/>
      <c r="K832" s="731"/>
      <c r="L832" s="734"/>
      <c r="M832" s="731"/>
      <c r="N832" s="731"/>
      <c r="O832" s="730"/>
      <c r="P832" s="731"/>
      <c r="Q832" s="731"/>
      <c r="R832" s="734"/>
      <c r="S832" s="731"/>
      <c r="T832" s="731"/>
      <c r="U832" s="734"/>
      <c r="V832" s="731"/>
      <c r="W832" s="731"/>
      <c r="X832" s="734"/>
      <c r="Y832" s="731"/>
      <c r="Z832" s="731"/>
    </row>
    <row r="833">
      <c r="C833" s="734"/>
      <c r="D833" s="731"/>
      <c r="E833" s="731"/>
      <c r="F833" s="734"/>
      <c r="G833" s="731"/>
      <c r="H833" s="731"/>
      <c r="I833" s="734"/>
      <c r="J833" s="731"/>
      <c r="K833" s="731"/>
      <c r="L833" s="734"/>
      <c r="M833" s="731"/>
      <c r="N833" s="731"/>
      <c r="O833" s="730"/>
      <c r="P833" s="731"/>
      <c r="Q833" s="731"/>
      <c r="R833" s="734"/>
      <c r="S833" s="731"/>
      <c r="T833" s="731"/>
      <c r="U833" s="734"/>
      <c r="V833" s="731"/>
      <c r="W833" s="731"/>
      <c r="X833" s="734"/>
      <c r="Y833" s="731"/>
      <c r="Z833" s="731"/>
    </row>
    <row r="834">
      <c r="C834" s="734"/>
      <c r="D834" s="731"/>
      <c r="E834" s="731"/>
      <c r="F834" s="734"/>
      <c r="G834" s="731"/>
      <c r="H834" s="731"/>
      <c r="I834" s="734"/>
      <c r="J834" s="731"/>
      <c r="K834" s="731"/>
      <c r="L834" s="734"/>
      <c r="M834" s="731"/>
      <c r="N834" s="731"/>
      <c r="O834" s="730"/>
      <c r="P834" s="731"/>
      <c r="Q834" s="731"/>
      <c r="R834" s="734"/>
      <c r="S834" s="731"/>
      <c r="T834" s="731"/>
      <c r="U834" s="734"/>
      <c r="V834" s="731"/>
      <c r="W834" s="731"/>
      <c r="X834" s="734"/>
      <c r="Y834" s="731"/>
      <c r="Z834" s="731"/>
    </row>
    <row r="835">
      <c r="C835" s="734"/>
      <c r="D835" s="731"/>
      <c r="E835" s="731"/>
      <c r="F835" s="734"/>
      <c r="G835" s="731"/>
      <c r="H835" s="731"/>
      <c r="I835" s="734"/>
      <c r="J835" s="731"/>
      <c r="K835" s="731"/>
      <c r="L835" s="734"/>
      <c r="M835" s="731"/>
      <c r="N835" s="731"/>
      <c r="O835" s="730"/>
      <c r="P835" s="731"/>
      <c r="Q835" s="731"/>
      <c r="R835" s="734"/>
      <c r="S835" s="731"/>
      <c r="T835" s="731"/>
      <c r="U835" s="734"/>
      <c r="V835" s="731"/>
      <c r="W835" s="731"/>
      <c r="X835" s="734"/>
      <c r="Y835" s="731"/>
      <c r="Z835" s="731"/>
    </row>
    <row r="836">
      <c r="C836" s="734"/>
      <c r="D836" s="731"/>
      <c r="E836" s="731"/>
      <c r="F836" s="734"/>
      <c r="G836" s="731"/>
      <c r="H836" s="731"/>
      <c r="I836" s="734"/>
      <c r="J836" s="731"/>
      <c r="K836" s="731"/>
      <c r="L836" s="734"/>
      <c r="M836" s="731"/>
      <c r="N836" s="731"/>
      <c r="O836" s="730"/>
      <c r="P836" s="731"/>
      <c r="Q836" s="731"/>
      <c r="R836" s="734"/>
      <c r="S836" s="731"/>
      <c r="T836" s="731"/>
      <c r="U836" s="734"/>
      <c r="V836" s="731"/>
      <c r="W836" s="731"/>
      <c r="X836" s="734"/>
      <c r="Y836" s="731"/>
      <c r="Z836" s="731"/>
    </row>
    <row r="837">
      <c r="C837" s="734"/>
      <c r="D837" s="731"/>
      <c r="E837" s="731"/>
      <c r="F837" s="734"/>
      <c r="G837" s="731"/>
      <c r="H837" s="731"/>
      <c r="I837" s="734"/>
      <c r="J837" s="731"/>
      <c r="K837" s="731"/>
      <c r="L837" s="734"/>
      <c r="M837" s="731"/>
      <c r="N837" s="731"/>
      <c r="O837" s="730"/>
      <c r="P837" s="731"/>
      <c r="Q837" s="731"/>
      <c r="R837" s="734"/>
      <c r="S837" s="731"/>
      <c r="T837" s="731"/>
      <c r="U837" s="734"/>
      <c r="V837" s="731"/>
      <c r="W837" s="731"/>
      <c r="X837" s="734"/>
      <c r="Y837" s="731"/>
      <c r="Z837" s="731"/>
    </row>
    <row r="838">
      <c r="C838" s="734"/>
      <c r="D838" s="731"/>
      <c r="E838" s="731"/>
      <c r="F838" s="734"/>
      <c r="G838" s="731"/>
      <c r="H838" s="731"/>
      <c r="I838" s="734"/>
      <c r="J838" s="731"/>
      <c r="K838" s="731"/>
      <c r="L838" s="734"/>
      <c r="M838" s="731"/>
      <c r="N838" s="731"/>
      <c r="O838" s="730"/>
      <c r="P838" s="731"/>
      <c r="Q838" s="731"/>
      <c r="R838" s="734"/>
      <c r="S838" s="731"/>
      <c r="T838" s="731"/>
      <c r="U838" s="734"/>
      <c r="V838" s="731"/>
      <c r="W838" s="731"/>
      <c r="X838" s="734"/>
      <c r="Y838" s="731"/>
      <c r="Z838" s="731"/>
    </row>
    <row r="839">
      <c r="C839" s="734"/>
      <c r="D839" s="731"/>
      <c r="E839" s="731"/>
      <c r="F839" s="734"/>
      <c r="G839" s="731"/>
      <c r="H839" s="731"/>
      <c r="I839" s="734"/>
      <c r="J839" s="731"/>
      <c r="K839" s="731"/>
      <c r="L839" s="734"/>
      <c r="M839" s="731"/>
      <c r="N839" s="731"/>
      <c r="O839" s="730"/>
      <c r="P839" s="731"/>
      <c r="Q839" s="731"/>
      <c r="R839" s="734"/>
      <c r="S839" s="731"/>
      <c r="T839" s="731"/>
      <c r="U839" s="734"/>
      <c r="V839" s="731"/>
      <c r="W839" s="731"/>
      <c r="X839" s="734"/>
      <c r="Y839" s="731"/>
      <c r="Z839" s="731"/>
    </row>
    <row r="840">
      <c r="C840" s="734"/>
      <c r="D840" s="731"/>
      <c r="E840" s="731"/>
      <c r="F840" s="734"/>
      <c r="G840" s="731"/>
      <c r="H840" s="731"/>
      <c r="I840" s="734"/>
      <c r="J840" s="731"/>
      <c r="K840" s="731"/>
      <c r="L840" s="734"/>
      <c r="M840" s="731"/>
      <c r="N840" s="731"/>
      <c r="O840" s="730"/>
      <c r="P840" s="731"/>
      <c r="Q840" s="731"/>
      <c r="R840" s="734"/>
      <c r="S840" s="731"/>
      <c r="T840" s="731"/>
      <c r="U840" s="734"/>
      <c r="V840" s="731"/>
      <c r="W840" s="731"/>
      <c r="X840" s="734"/>
      <c r="Y840" s="731"/>
      <c r="Z840" s="731"/>
    </row>
    <row r="841">
      <c r="C841" s="734"/>
      <c r="D841" s="731"/>
      <c r="E841" s="731"/>
      <c r="F841" s="734"/>
      <c r="G841" s="731"/>
      <c r="H841" s="731"/>
      <c r="I841" s="734"/>
      <c r="J841" s="731"/>
      <c r="K841" s="731"/>
      <c r="L841" s="734"/>
      <c r="M841" s="731"/>
      <c r="N841" s="731"/>
      <c r="O841" s="730"/>
      <c r="P841" s="731"/>
      <c r="Q841" s="731"/>
      <c r="R841" s="734"/>
      <c r="S841" s="731"/>
      <c r="T841" s="731"/>
      <c r="U841" s="734"/>
      <c r="V841" s="731"/>
      <c r="W841" s="731"/>
      <c r="X841" s="734"/>
      <c r="Y841" s="731"/>
      <c r="Z841" s="731"/>
    </row>
    <row r="842">
      <c r="C842" s="734"/>
      <c r="D842" s="731"/>
      <c r="E842" s="731"/>
      <c r="F842" s="734"/>
      <c r="G842" s="731"/>
      <c r="H842" s="731"/>
      <c r="I842" s="734"/>
      <c r="J842" s="731"/>
      <c r="K842" s="731"/>
      <c r="L842" s="734"/>
      <c r="M842" s="731"/>
      <c r="N842" s="731"/>
      <c r="O842" s="730"/>
      <c r="P842" s="731"/>
      <c r="Q842" s="731"/>
      <c r="R842" s="734"/>
      <c r="S842" s="731"/>
      <c r="T842" s="731"/>
      <c r="U842" s="734"/>
      <c r="V842" s="731"/>
      <c r="W842" s="731"/>
      <c r="X842" s="734"/>
      <c r="Y842" s="731"/>
      <c r="Z842" s="731"/>
    </row>
    <row r="843">
      <c r="C843" s="734"/>
      <c r="D843" s="731"/>
      <c r="E843" s="731"/>
      <c r="F843" s="734"/>
      <c r="G843" s="731"/>
      <c r="H843" s="731"/>
      <c r="I843" s="734"/>
      <c r="J843" s="731"/>
      <c r="K843" s="731"/>
      <c r="L843" s="734"/>
      <c r="M843" s="731"/>
      <c r="N843" s="731"/>
      <c r="O843" s="730"/>
      <c r="P843" s="731"/>
      <c r="Q843" s="731"/>
      <c r="R843" s="734"/>
      <c r="S843" s="731"/>
      <c r="T843" s="731"/>
      <c r="U843" s="734"/>
      <c r="V843" s="731"/>
      <c r="W843" s="731"/>
      <c r="X843" s="734"/>
      <c r="Y843" s="731"/>
      <c r="Z843" s="731"/>
    </row>
    <row r="844">
      <c r="C844" s="734"/>
      <c r="D844" s="731"/>
      <c r="E844" s="731"/>
      <c r="F844" s="734"/>
      <c r="G844" s="731"/>
      <c r="H844" s="731"/>
      <c r="I844" s="734"/>
      <c r="J844" s="731"/>
      <c r="K844" s="731"/>
      <c r="L844" s="734"/>
      <c r="M844" s="731"/>
      <c r="N844" s="731"/>
      <c r="O844" s="730"/>
      <c r="P844" s="731"/>
      <c r="Q844" s="731"/>
      <c r="R844" s="734"/>
      <c r="S844" s="731"/>
      <c r="T844" s="731"/>
      <c r="U844" s="734"/>
      <c r="V844" s="731"/>
      <c r="W844" s="731"/>
      <c r="X844" s="734"/>
      <c r="Y844" s="731"/>
      <c r="Z844" s="731"/>
    </row>
    <row r="845">
      <c r="C845" s="734"/>
      <c r="D845" s="731"/>
      <c r="E845" s="731"/>
      <c r="F845" s="734"/>
      <c r="G845" s="731"/>
      <c r="H845" s="731"/>
      <c r="I845" s="734"/>
      <c r="J845" s="731"/>
      <c r="K845" s="731"/>
      <c r="L845" s="734"/>
      <c r="M845" s="731"/>
      <c r="N845" s="731"/>
      <c r="O845" s="730"/>
      <c r="P845" s="731"/>
      <c r="Q845" s="731"/>
      <c r="R845" s="734"/>
      <c r="S845" s="731"/>
      <c r="T845" s="731"/>
      <c r="U845" s="734"/>
      <c r="V845" s="731"/>
      <c r="W845" s="731"/>
      <c r="X845" s="734"/>
      <c r="Y845" s="731"/>
      <c r="Z845" s="731"/>
    </row>
    <row r="846">
      <c r="C846" s="734"/>
      <c r="D846" s="731"/>
      <c r="E846" s="731"/>
      <c r="F846" s="734"/>
      <c r="G846" s="731"/>
      <c r="H846" s="731"/>
      <c r="I846" s="734"/>
      <c r="J846" s="731"/>
      <c r="K846" s="731"/>
      <c r="L846" s="734"/>
      <c r="M846" s="731"/>
      <c r="N846" s="731"/>
      <c r="O846" s="730"/>
      <c r="P846" s="731"/>
      <c r="Q846" s="731"/>
      <c r="R846" s="734"/>
      <c r="S846" s="731"/>
      <c r="T846" s="731"/>
      <c r="U846" s="734"/>
      <c r="V846" s="731"/>
      <c r="W846" s="731"/>
      <c r="X846" s="734"/>
      <c r="Y846" s="731"/>
      <c r="Z846" s="731"/>
    </row>
    <row r="847">
      <c r="C847" s="734"/>
      <c r="D847" s="731"/>
      <c r="E847" s="731"/>
      <c r="F847" s="734"/>
      <c r="G847" s="731"/>
      <c r="H847" s="731"/>
      <c r="I847" s="734"/>
      <c r="J847" s="731"/>
      <c r="K847" s="731"/>
      <c r="L847" s="734"/>
      <c r="M847" s="731"/>
      <c r="N847" s="731"/>
      <c r="O847" s="730"/>
      <c r="P847" s="731"/>
      <c r="Q847" s="731"/>
      <c r="R847" s="734"/>
      <c r="S847" s="731"/>
      <c r="T847" s="731"/>
      <c r="U847" s="734"/>
      <c r="V847" s="731"/>
      <c r="W847" s="731"/>
      <c r="X847" s="734"/>
      <c r="Y847" s="731"/>
      <c r="Z847" s="731"/>
    </row>
    <row r="848">
      <c r="C848" s="734"/>
      <c r="D848" s="731"/>
      <c r="E848" s="731"/>
      <c r="F848" s="734"/>
      <c r="G848" s="731"/>
      <c r="H848" s="731"/>
      <c r="I848" s="734"/>
      <c r="J848" s="731"/>
      <c r="K848" s="731"/>
      <c r="L848" s="734"/>
      <c r="M848" s="731"/>
      <c r="N848" s="731"/>
      <c r="O848" s="730"/>
      <c r="P848" s="731"/>
      <c r="Q848" s="731"/>
      <c r="R848" s="734"/>
      <c r="S848" s="731"/>
      <c r="T848" s="731"/>
      <c r="U848" s="734"/>
      <c r="V848" s="731"/>
      <c r="W848" s="731"/>
      <c r="X848" s="734"/>
      <c r="Y848" s="731"/>
      <c r="Z848" s="731"/>
    </row>
    <row r="849">
      <c r="C849" s="734"/>
      <c r="D849" s="731"/>
      <c r="E849" s="731"/>
      <c r="F849" s="734"/>
      <c r="G849" s="731"/>
      <c r="H849" s="731"/>
      <c r="I849" s="734"/>
      <c r="J849" s="731"/>
      <c r="K849" s="731"/>
      <c r="L849" s="734"/>
      <c r="M849" s="731"/>
      <c r="N849" s="731"/>
      <c r="O849" s="730"/>
      <c r="P849" s="731"/>
      <c r="Q849" s="731"/>
      <c r="R849" s="734"/>
      <c r="S849" s="731"/>
      <c r="T849" s="731"/>
      <c r="U849" s="734"/>
      <c r="V849" s="731"/>
      <c r="W849" s="731"/>
      <c r="X849" s="734"/>
      <c r="Y849" s="731"/>
      <c r="Z849" s="731"/>
    </row>
    <row r="850">
      <c r="C850" s="734"/>
      <c r="D850" s="731"/>
      <c r="E850" s="731"/>
      <c r="F850" s="734"/>
      <c r="G850" s="731"/>
      <c r="H850" s="731"/>
      <c r="I850" s="734"/>
      <c r="J850" s="731"/>
      <c r="K850" s="731"/>
      <c r="L850" s="734"/>
      <c r="M850" s="731"/>
      <c r="N850" s="731"/>
      <c r="O850" s="730"/>
      <c r="P850" s="731"/>
      <c r="Q850" s="731"/>
      <c r="R850" s="734"/>
      <c r="S850" s="731"/>
      <c r="T850" s="731"/>
      <c r="U850" s="734"/>
      <c r="V850" s="731"/>
      <c r="W850" s="731"/>
      <c r="X850" s="734"/>
      <c r="Y850" s="731"/>
      <c r="Z850" s="731"/>
    </row>
    <row r="851">
      <c r="C851" s="734"/>
      <c r="D851" s="731"/>
      <c r="E851" s="731"/>
      <c r="F851" s="734"/>
      <c r="G851" s="731"/>
      <c r="H851" s="731"/>
      <c r="I851" s="734"/>
      <c r="J851" s="731"/>
      <c r="K851" s="731"/>
      <c r="L851" s="734"/>
      <c r="M851" s="731"/>
      <c r="N851" s="731"/>
      <c r="O851" s="730"/>
      <c r="P851" s="731"/>
      <c r="Q851" s="731"/>
      <c r="R851" s="734"/>
      <c r="S851" s="731"/>
      <c r="T851" s="731"/>
      <c r="U851" s="734"/>
      <c r="V851" s="731"/>
      <c r="W851" s="731"/>
      <c r="X851" s="734"/>
      <c r="Y851" s="731"/>
      <c r="Z851" s="731"/>
    </row>
    <row r="852">
      <c r="C852" s="734"/>
      <c r="D852" s="731"/>
      <c r="E852" s="731"/>
      <c r="F852" s="734"/>
      <c r="G852" s="731"/>
      <c r="H852" s="731"/>
      <c r="I852" s="734"/>
      <c r="J852" s="731"/>
      <c r="K852" s="731"/>
      <c r="L852" s="734"/>
      <c r="M852" s="731"/>
      <c r="N852" s="731"/>
      <c r="O852" s="730"/>
      <c r="P852" s="731"/>
      <c r="Q852" s="731"/>
      <c r="R852" s="734"/>
      <c r="S852" s="731"/>
      <c r="T852" s="731"/>
      <c r="U852" s="734"/>
      <c r="V852" s="731"/>
      <c r="W852" s="731"/>
      <c r="X852" s="734"/>
      <c r="Y852" s="731"/>
      <c r="Z852" s="731"/>
    </row>
    <row r="853">
      <c r="C853" s="734"/>
      <c r="D853" s="731"/>
      <c r="E853" s="731"/>
      <c r="F853" s="734"/>
      <c r="G853" s="731"/>
      <c r="H853" s="731"/>
      <c r="I853" s="734"/>
      <c r="J853" s="731"/>
      <c r="K853" s="731"/>
      <c r="L853" s="734"/>
      <c r="M853" s="731"/>
      <c r="N853" s="731"/>
      <c r="O853" s="730"/>
      <c r="P853" s="731"/>
      <c r="Q853" s="731"/>
      <c r="R853" s="734"/>
      <c r="S853" s="731"/>
      <c r="T853" s="731"/>
      <c r="U853" s="734"/>
      <c r="V853" s="731"/>
      <c r="W853" s="731"/>
      <c r="X853" s="734"/>
      <c r="Y853" s="731"/>
      <c r="Z853" s="731"/>
    </row>
    <row r="854">
      <c r="C854" s="734"/>
      <c r="D854" s="731"/>
      <c r="E854" s="731"/>
      <c r="F854" s="734"/>
      <c r="G854" s="731"/>
      <c r="H854" s="731"/>
      <c r="I854" s="734"/>
      <c r="J854" s="731"/>
      <c r="K854" s="731"/>
      <c r="L854" s="734"/>
      <c r="M854" s="731"/>
      <c r="N854" s="731"/>
      <c r="O854" s="730"/>
      <c r="P854" s="731"/>
      <c r="Q854" s="731"/>
      <c r="R854" s="734"/>
      <c r="S854" s="731"/>
      <c r="T854" s="731"/>
      <c r="U854" s="734"/>
      <c r="V854" s="731"/>
      <c r="W854" s="731"/>
      <c r="X854" s="734"/>
      <c r="Y854" s="731"/>
      <c r="Z854" s="731"/>
    </row>
    <row r="855">
      <c r="C855" s="734"/>
      <c r="D855" s="731"/>
      <c r="E855" s="731"/>
      <c r="F855" s="734"/>
      <c r="G855" s="731"/>
      <c r="H855" s="731"/>
      <c r="I855" s="734"/>
      <c r="J855" s="731"/>
      <c r="K855" s="731"/>
      <c r="L855" s="734"/>
      <c r="M855" s="731"/>
      <c r="N855" s="731"/>
      <c r="O855" s="730"/>
      <c r="P855" s="731"/>
      <c r="Q855" s="731"/>
      <c r="R855" s="734"/>
      <c r="S855" s="731"/>
      <c r="T855" s="731"/>
      <c r="U855" s="734"/>
      <c r="V855" s="731"/>
      <c r="W855" s="731"/>
      <c r="X855" s="734"/>
      <c r="Y855" s="731"/>
      <c r="Z855" s="731"/>
    </row>
    <row r="856">
      <c r="C856" s="734"/>
      <c r="D856" s="731"/>
      <c r="E856" s="731"/>
      <c r="F856" s="734"/>
      <c r="G856" s="731"/>
      <c r="H856" s="731"/>
      <c r="I856" s="734"/>
      <c r="J856" s="731"/>
      <c r="K856" s="731"/>
      <c r="L856" s="734"/>
      <c r="M856" s="731"/>
      <c r="N856" s="731"/>
      <c r="O856" s="730"/>
      <c r="P856" s="731"/>
      <c r="Q856" s="731"/>
      <c r="R856" s="734"/>
      <c r="S856" s="731"/>
      <c r="T856" s="731"/>
      <c r="U856" s="734"/>
      <c r="V856" s="731"/>
      <c r="W856" s="731"/>
      <c r="X856" s="734"/>
      <c r="Y856" s="731"/>
      <c r="Z856" s="731"/>
    </row>
    <row r="857">
      <c r="C857" s="734"/>
      <c r="D857" s="731"/>
      <c r="E857" s="731"/>
      <c r="F857" s="734"/>
      <c r="G857" s="731"/>
      <c r="H857" s="731"/>
      <c r="I857" s="734"/>
      <c r="J857" s="731"/>
      <c r="K857" s="731"/>
      <c r="L857" s="734"/>
      <c r="M857" s="731"/>
      <c r="N857" s="731"/>
      <c r="O857" s="730"/>
      <c r="P857" s="731"/>
      <c r="Q857" s="731"/>
      <c r="R857" s="734"/>
      <c r="S857" s="731"/>
      <c r="T857" s="731"/>
      <c r="U857" s="734"/>
      <c r="V857" s="731"/>
      <c r="W857" s="731"/>
      <c r="X857" s="734"/>
      <c r="Y857" s="731"/>
      <c r="Z857" s="731"/>
    </row>
    <row r="858">
      <c r="C858" s="734"/>
      <c r="D858" s="731"/>
      <c r="E858" s="731"/>
      <c r="F858" s="734"/>
      <c r="G858" s="731"/>
      <c r="H858" s="731"/>
      <c r="I858" s="734"/>
      <c r="J858" s="731"/>
      <c r="K858" s="731"/>
      <c r="L858" s="734"/>
      <c r="M858" s="731"/>
      <c r="N858" s="731"/>
      <c r="O858" s="730"/>
      <c r="P858" s="731"/>
      <c r="Q858" s="731"/>
      <c r="R858" s="734"/>
      <c r="S858" s="731"/>
      <c r="T858" s="731"/>
      <c r="U858" s="734"/>
      <c r="V858" s="731"/>
      <c r="W858" s="731"/>
      <c r="X858" s="734"/>
      <c r="Y858" s="731"/>
      <c r="Z858" s="731"/>
    </row>
    <row r="859">
      <c r="C859" s="734"/>
      <c r="D859" s="731"/>
      <c r="E859" s="731"/>
      <c r="F859" s="734"/>
      <c r="G859" s="731"/>
      <c r="H859" s="731"/>
      <c r="I859" s="734"/>
      <c r="J859" s="731"/>
      <c r="K859" s="731"/>
      <c r="L859" s="734"/>
      <c r="M859" s="731"/>
      <c r="N859" s="731"/>
      <c r="O859" s="730"/>
      <c r="P859" s="731"/>
      <c r="Q859" s="731"/>
      <c r="R859" s="734"/>
      <c r="S859" s="731"/>
      <c r="T859" s="731"/>
      <c r="U859" s="734"/>
      <c r="V859" s="731"/>
      <c r="W859" s="731"/>
      <c r="X859" s="734"/>
      <c r="Y859" s="731"/>
      <c r="Z859" s="731"/>
    </row>
    <row r="860">
      <c r="C860" s="734"/>
      <c r="D860" s="731"/>
      <c r="E860" s="731"/>
      <c r="F860" s="734"/>
      <c r="G860" s="731"/>
      <c r="H860" s="731"/>
      <c r="I860" s="734"/>
      <c r="J860" s="731"/>
      <c r="K860" s="731"/>
      <c r="L860" s="734"/>
      <c r="M860" s="731"/>
      <c r="N860" s="731"/>
      <c r="O860" s="730"/>
      <c r="P860" s="731"/>
      <c r="Q860" s="731"/>
      <c r="R860" s="734"/>
      <c r="S860" s="731"/>
      <c r="T860" s="731"/>
      <c r="U860" s="734"/>
      <c r="V860" s="731"/>
      <c r="W860" s="731"/>
      <c r="X860" s="734"/>
      <c r="Y860" s="731"/>
      <c r="Z860" s="731"/>
    </row>
    <row r="861">
      <c r="C861" s="734"/>
      <c r="D861" s="731"/>
      <c r="E861" s="731"/>
      <c r="F861" s="734"/>
      <c r="G861" s="731"/>
      <c r="H861" s="731"/>
      <c r="I861" s="734"/>
      <c r="J861" s="731"/>
      <c r="K861" s="731"/>
      <c r="L861" s="734"/>
      <c r="M861" s="731"/>
      <c r="N861" s="731"/>
      <c r="O861" s="730"/>
      <c r="P861" s="731"/>
      <c r="Q861" s="731"/>
      <c r="R861" s="734"/>
      <c r="S861" s="731"/>
      <c r="T861" s="731"/>
      <c r="U861" s="734"/>
      <c r="V861" s="731"/>
      <c r="W861" s="731"/>
      <c r="X861" s="734"/>
      <c r="Y861" s="731"/>
      <c r="Z861" s="731"/>
    </row>
    <row r="862">
      <c r="C862" s="734"/>
      <c r="D862" s="731"/>
      <c r="E862" s="731"/>
      <c r="F862" s="734"/>
      <c r="G862" s="731"/>
      <c r="H862" s="731"/>
      <c r="I862" s="734"/>
      <c r="J862" s="731"/>
      <c r="K862" s="731"/>
      <c r="L862" s="734"/>
      <c r="M862" s="731"/>
      <c r="N862" s="731"/>
      <c r="O862" s="730"/>
      <c r="P862" s="731"/>
      <c r="Q862" s="731"/>
      <c r="R862" s="734"/>
      <c r="S862" s="731"/>
      <c r="T862" s="731"/>
      <c r="U862" s="734"/>
      <c r="V862" s="731"/>
      <c r="W862" s="731"/>
      <c r="X862" s="734"/>
      <c r="Y862" s="731"/>
      <c r="Z862" s="731"/>
    </row>
    <row r="863">
      <c r="C863" s="734"/>
      <c r="D863" s="731"/>
      <c r="E863" s="731"/>
      <c r="F863" s="734"/>
      <c r="G863" s="731"/>
      <c r="H863" s="731"/>
      <c r="I863" s="734"/>
      <c r="J863" s="731"/>
      <c r="K863" s="731"/>
      <c r="L863" s="734"/>
      <c r="M863" s="731"/>
      <c r="N863" s="731"/>
      <c r="O863" s="730"/>
      <c r="P863" s="731"/>
      <c r="Q863" s="731"/>
      <c r="R863" s="734"/>
      <c r="S863" s="731"/>
      <c r="T863" s="731"/>
      <c r="U863" s="734"/>
      <c r="V863" s="731"/>
      <c r="W863" s="731"/>
      <c r="X863" s="734"/>
      <c r="Y863" s="731"/>
      <c r="Z863" s="731"/>
    </row>
    <row r="864">
      <c r="C864" s="734"/>
      <c r="D864" s="731"/>
      <c r="E864" s="731"/>
      <c r="F864" s="734"/>
      <c r="G864" s="731"/>
      <c r="H864" s="731"/>
      <c r="I864" s="734"/>
      <c r="J864" s="731"/>
      <c r="K864" s="731"/>
      <c r="L864" s="734"/>
      <c r="M864" s="731"/>
      <c r="N864" s="731"/>
      <c r="O864" s="730"/>
      <c r="P864" s="731"/>
      <c r="Q864" s="731"/>
      <c r="R864" s="734"/>
      <c r="S864" s="731"/>
      <c r="T864" s="731"/>
      <c r="U864" s="734"/>
      <c r="V864" s="731"/>
      <c r="W864" s="731"/>
      <c r="X864" s="734"/>
      <c r="Y864" s="731"/>
      <c r="Z864" s="731"/>
    </row>
    <row r="865">
      <c r="C865" s="734"/>
      <c r="D865" s="731"/>
      <c r="E865" s="731"/>
      <c r="F865" s="734"/>
      <c r="G865" s="731"/>
      <c r="H865" s="731"/>
      <c r="I865" s="734"/>
      <c r="J865" s="731"/>
      <c r="K865" s="731"/>
      <c r="L865" s="734"/>
      <c r="M865" s="731"/>
      <c r="N865" s="731"/>
      <c r="O865" s="730"/>
      <c r="P865" s="731"/>
      <c r="Q865" s="731"/>
      <c r="R865" s="734"/>
      <c r="S865" s="731"/>
      <c r="T865" s="731"/>
      <c r="U865" s="734"/>
      <c r="V865" s="731"/>
      <c r="W865" s="731"/>
      <c r="X865" s="734"/>
      <c r="Y865" s="731"/>
      <c r="Z865" s="731"/>
    </row>
    <row r="866">
      <c r="C866" s="734"/>
      <c r="D866" s="731"/>
      <c r="E866" s="731"/>
      <c r="F866" s="734"/>
      <c r="G866" s="731"/>
      <c r="H866" s="731"/>
      <c r="I866" s="734"/>
      <c r="J866" s="731"/>
      <c r="K866" s="731"/>
      <c r="L866" s="734"/>
      <c r="M866" s="731"/>
      <c r="N866" s="731"/>
      <c r="O866" s="730"/>
      <c r="P866" s="731"/>
      <c r="Q866" s="731"/>
      <c r="R866" s="734"/>
      <c r="S866" s="731"/>
      <c r="T866" s="731"/>
      <c r="U866" s="734"/>
      <c r="V866" s="731"/>
      <c r="W866" s="731"/>
      <c r="X866" s="734"/>
      <c r="Y866" s="731"/>
      <c r="Z866" s="731"/>
    </row>
    <row r="867">
      <c r="C867" s="734"/>
      <c r="D867" s="731"/>
      <c r="E867" s="731"/>
      <c r="F867" s="734"/>
      <c r="G867" s="731"/>
      <c r="H867" s="731"/>
      <c r="I867" s="734"/>
      <c r="J867" s="731"/>
      <c r="K867" s="731"/>
      <c r="L867" s="734"/>
      <c r="M867" s="731"/>
      <c r="N867" s="731"/>
      <c r="O867" s="730"/>
      <c r="P867" s="731"/>
      <c r="Q867" s="731"/>
      <c r="R867" s="734"/>
      <c r="S867" s="731"/>
      <c r="T867" s="731"/>
      <c r="U867" s="734"/>
      <c r="V867" s="731"/>
      <c r="W867" s="731"/>
      <c r="X867" s="734"/>
      <c r="Y867" s="731"/>
      <c r="Z867" s="731"/>
    </row>
    <row r="868">
      <c r="C868" s="734"/>
      <c r="D868" s="731"/>
      <c r="E868" s="731"/>
      <c r="F868" s="734"/>
      <c r="G868" s="731"/>
      <c r="H868" s="731"/>
      <c r="I868" s="734"/>
      <c r="J868" s="731"/>
      <c r="K868" s="731"/>
      <c r="L868" s="734"/>
      <c r="M868" s="731"/>
      <c r="N868" s="731"/>
      <c r="O868" s="730"/>
      <c r="P868" s="731"/>
      <c r="Q868" s="731"/>
      <c r="R868" s="734"/>
      <c r="S868" s="731"/>
      <c r="T868" s="731"/>
      <c r="U868" s="734"/>
      <c r="V868" s="731"/>
      <c r="W868" s="731"/>
      <c r="X868" s="734"/>
      <c r="Y868" s="731"/>
      <c r="Z868" s="731"/>
    </row>
    <row r="869">
      <c r="C869" s="734"/>
      <c r="D869" s="731"/>
      <c r="E869" s="731"/>
      <c r="F869" s="734"/>
      <c r="G869" s="731"/>
      <c r="H869" s="731"/>
      <c r="I869" s="734"/>
      <c r="J869" s="731"/>
      <c r="K869" s="731"/>
      <c r="L869" s="734"/>
      <c r="M869" s="731"/>
      <c r="N869" s="731"/>
      <c r="O869" s="730"/>
      <c r="P869" s="731"/>
      <c r="Q869" s="731"/>
      <c r="R869" s="734"/>
      <c r="S869" s="731"/>
      <c r="T869" s="731"/>
      <c r="U869" s="734"/>
      <c r="V869" s="731"/>
      <c r="W869" s="731"/>
      <c r="X869" s="734"/>
      <c r="Y869" s="731"/>
      <c r="Z869" s="731"/>
    </row>
    <row r="870">
      <c r="C870" s="734"/>
      <c r="D870" s="731"/>
      <c r="E870" s="731"/>
      <c r="F870" s="734"/>
      <c r="G870" s="731"/>
      <c r="H870" s="731"/>
      <c r="I870" s="734"/>
      <c r="J870" s="731"/>
      <c r="K870" s="731"/>
      <c r="L870" s="734"/>
      <c r="M870" s="731"/>
      <c r="N870" s="731"/>
      <c r="O870" s="730"/>
      <c r="P870" s="731"/>
      <c r="Q870" s="731"/>
      <c r="R870" s="734"/>
      <c r="S870" s="731"/>
      <c r="T870" s="731"/>
      <c r="U870" s="734"/>
      <c r="V870" s="731"/>
      <c r="W870" s="731"/>
      <c r="X870" s="734"/>
      <c r="Y870" s="731"/>
      <c r="Z870" s="731"/>
    </row>
    <row r="871">
      <c r="C871" s="734"/>
      <c r="D871" s="731"/>
      <c r="E871" s="731"/>
      <c r="F871" s="734"/>
      <c r="G871" s="731"/>
      <c r="H871" s="731"/>
      <c r="I871" s="734"/>
      <c r="J871" s="731"/>
      <c r="K871" s="731"/>
      <c r="L871" s="734"/>
      <c r="M871" s="731"/>
      <c r="N871" s="731"/>
      <c r="O871" s="730"/>
      <c r="P871" s="731"/>
      <c r="Q871" s="731"/>
      <c r="R871" s="734"/>
      <c r="S871" s="731"/>
      <c r="T871" s="731"/>
      <c r="U871" s="734"/>
      <c r="V871" s="731"/>
      <c r="W871" s="731"/>
      <c r="X871" s="734"/>
      <c r="Y871" s="731"/>
      <c r="Z871" s="731"/>
    </row>
    <row r="872">
      <c r="C872" s="734"/>
      <c r="D872" s="731"/>
      <c r="E872" s="731"/>
      <c r="F872" s="734"/>
      <c r="G872" s="731"/>
      <c r="H872" s="731"/>
      <c r="I872" s="734"/>
      <c r="J872" s="731"/>
      <c r="K872" s="731"/>
      <c r="L872" s="734"/>
      <c r="M872" s="731"/>
      <c r="N872" s="731"/>
      <c r="O872" s="730"/>
      <c r="P872" s="731"/>
      <c r="Q872" s="731"/>
      <c r="R872" s="734"/>
      <c r="S872" s="731"/>
      <c r="T872" s="731"/>
      <c r="U872" s="734"/>
      <c r="V872" s="731"/>
      <c r="W872" s="731"/>
      <c r="X872" s="734"/>
      <c r="Y872" s="731"/>
      <c r="Z872" s="731"/>
    </row>
    <row r="873">
      <c r="C873" s="734"/>
      <c r="D873" s="731"/>
      <c r="E873" s="731"/>
      <c r="F873" s="734"/>
      <c r="G873" s="731"/>
      <c r="H873" s="731"/>
      <c r="I873" s="734"/>
      <c r="J873" s="731"/>
      <c r="K873" s="731"/>
      <c r="L873" s="734"/>
      <c r="M873" s="731"/>
      <c r="N873" s="731"/>
      <c r="O873" s="730"/>
      <c r="P873" s="731"/>
      <c r="Q873" s="731"/>
      <c r="R873" s="734"/>
      <c r="S873" s="731"/>
      <c r="T873" s="731"/>
      <c r="U873" s="734"/>
      <c r="V873" s="731"/>
      <c r="W873" s="731"/>
      <c r="X873" s="734"/>
      <c r="Y873" s="731"/>
      <c r="Z873" s="731"/>
    </row>
    <row r="874">
      <c r="C874" s="734"/>
      <c r="D874" s="731"/>
      <c r="E874" s="731"/>
      <c r="F874" s="734"/>
      <c r="G874" s="731"/>
      <c r="H874" s="731"/>
      <c r="I874" s="734"/>
      <c r="J874" s="731"/>
      <c r="K874" s="731"/>
      <c r="L874" s="734"/>
      <c r="M874" s="731"/>
      <c r="N874" s="731"/>
      <c r="O874" s="730"/>
      <c r="P874" s="731"/>
      <c r="Q874" s="731"/>
      <c r="R874" s="734"/>
      <c r="S874" s="731"/>
      <c r="T874" s="731"/>
      <c r="U874" s="734"/>
      <c r="V874" s="731"/>
      <c r="W874" s="731"/>
      <c r="X874" s="734"/>
      <c r="Y874" s="731"/>
      <c r="Z874" s="731"/>
    </row>
    <row r="875">
      <c r="C875" s="734"/>
      <c r="D875" s="731"/>
      <c r="E875" s="731"/>
      <c r="F875" s="734"/>
      <c r="G875" s="731"/>
      <c r="H875" s="731"/>
      <c r="I875" s="734"/>
      <c r="J875" s="731"/>
      <c r="K875" s="731"/>
      <c r="L875" s="734"/>
      <c r="M875" s="731"/>
      <c r="N875" s="731"/>
      <c r="O875" s="730"/>
      <c r="P875" s="731"/>
      <c r="Q875" s="731"/>
      <c r="R875" s="734"/>
      <c r="S875" s="731"/>
      <c r="T875" s="731"/>
      <c r="U875" s="734"/>
      <c r="V875" s="731"/>
      <c r="W875" s="731"/>
      <c r="X875" s="734"/>
      <c r="Y875" s="731"/>
      <c r="Z875" s="731"/>
    </row>
    <row r="876">
      <c r="C876" s="734"/>
      <c r="D876" s="731"/>
      <c r="E876" s="731"/>
      <c r="F876" s="734"/>
      <c r="G876" s="731"/>
      <c r="H876" s="731"/>
      <c r="I876" s="734"/>
      <c r="J876" s="731"/>
      <c r="K876" s="731"/>
      <c r="L876" s="734"/>
      <c r="M876" s="731"/>
      <c r="N876" s="731"/>
      <c r="O876" s="730"/>
      <c r="P876" s="731"/>
      <c r="Q876" s="731"/>
      <c r="R876" s="734"/>
      <c r="S876" s="731"/>
      <c r="T876" s="731"/>
      <c r="U876" s="734"/>
      <c r="V876" s="731"/>
      <c r="W876" s="731"/>
      <c r="X876" s="734"/>
      <c r="Y876" s="731"/>
      <c r="Z876" s="731"/>
    </row>
    <row r="877">
      <c r="C877" s="734"/>
      <c r="D877" s="731"/>
      <c r="E877" s="731"/>
      <c r="F877" s="734"/>
      <c r="G877" s="731"/>
      <c r="H877" s="731"/>
      <c r="I877" s="734"/>
      <c r="J877" s="731"/>
      <c r="K877" s="731"/>
      <c r="L877" s="734"/>
      <c r="M877" s="731"/>
      <c r="N877" s="731"/>
      <c r="O877" s="730"/>
      <c r="P877" s="731"/>
      <c r="Q877" s="731"/>
      <c r="R877" s="734"/>
      <c r="S877" s="731"/>
      <c r="T877" s="731"/>
      <c r="U877" s="734"/>
      <c r="V877" s="731"/>
      <c r="W877" s="731"/>
      <c r="X877" s="734"/>
      <c r="Y877" s="731"/>
      <c r="Z877" s="731"/>
    </row>
    <row r="878">
      <c r="C878" s="734"/>
      <c r="D878" s="731"/>
      <c r="E878" s="731"/>
      <c r="F878" s="734"/>
      <c r="G878" s="731"/>
      <c r="H878" s="731"/>
      <c r="I878" s="734"/>
      <c r="J878" s="731"/>
      <c r="K878" s="731"/>
      <c r="L878" s="734"/>
      <c r="M878" s="731"/>
      <c r="N878" s="731"/>
      <c r="O878" s="730"/>
      <c r="P878" s="731"/>
      <c r="Q878" s="731"/>
      <c r="R878" s="734"/>
      <c r="S878" s="731"/>
      <c r="T878" s="731"/>
      <c r="U878" s="734"/>
      <c r="V878" s="731"/>
      <c r="W878" s="731"/>
      <c r="X878" s="734"/>
      <c r="Y878" s="731"/>
      <c r="Z878" s="731"/>
    </row>
    <row r="879">
      <c r="C879" s="734"/>
      <c r="D879" s="731"/>
      <c r="E879" s="731"/>
      <c r="F879" s="734"/>
      <c r="G879" s="731"/>
      <c r="H879" s="731"/>
      <c r="I879" s="734"/>
      <c r="J879" s="731"/>
      <c r="K879" s="731"/>
      <c r="L879" s="734"/>
      <c r="M879" s="731"/>
      <c r="N879" s="731"/>
      <c r="O879" s="730"/>
      <c r="P879" s="731"/>
      <c r="Q879" s="731"/>
      <c r="R879" s="734"/>
      <c r="S879" s="731"/>
      <c r="T879" s="731"/>
      <c r="U879" s="734"/>
      <c r="V879" s="731"/>
      <c r="W879" s="731"/>
      <c r="X879" s="734"/>
      <c r="Y879" s="731"/>
      <c r="Z879" s="731"/>
    </row>
    <row r="880">
      <c r="C880" s="734"/>
      <c r="D880" s="731"/>
      <c r="E880" s="731"/>
      <c r="F880" s="734"/>
      <c r="G880" s="731"/>
      <c r="H880" s="731"/>
      <c r="I880" s="734"/>
      <c r="J880" s="731"/>
      <c r="K880" s="731"/>
      <c r="L880" s="734"/>
      <c r="M880" s="731"/>
      <c r="N880" s="731"/>
      <c r="O880" s="730"/>
      <c r="P880" s="731"/>
      <c r="Q880" s="731"/>
      <c r="R880" s="734"/>
      <c r="S880" s="731"/>
      <c r="T880" s="731"/>
      <c r="U880" s="734"/>
      <c r="V880" s="731"/>
      <c r="W880" s="731"/>
      <c r="X880" s="734"/>
      <c r="Y880" s="731"/>
      <c r="Z880" s="731"/>
    </row>
    <row r="881">
      <c r="C881" s="734"/>
      <c r="D881" s="731"/>
      <c r="E881" s="731"/>
      <c r="F881" s="734"/>
      <c r="G881" s="731"/>
      <c r="H881" s="731"/>
      <c r="I881" s="734"/>
      <c r="J881" s="731"/>
      <c r="K881" s="731"/>
      <c r="L881" s="734"/>
      <c r="M881" s="731"/>
      <c r="N881" s="731"/>
      <c r="O881" s="730"/>
      <c r="P881" s="731"/>
      <c r="Q881" s="731"/>
      <c r="R881" s="734"/>
      <c r="S881" s="731"/>
      <c r="T881" s="731"/>
      <c r="U881" s="734"/>
      <c r="V881" s="731"/>
      <c r="W881" s="731"/>
      <c r="X881" s="734"/>
      <c r="Y881" s="731"/>
      <c r="Z881" s="731"/>
    </row>
    <row r="882">
      <c r="C882" s="734"/>
      <c r="D882" s="731"/>
      <c r="E882" s="731"/>
      <c r="F882" s="734"/>
      <c r="G882" s="731"/>
      <c r="H882" s="731"/>
      <c r="I882" s="734"/>
      <c r="J882" s="731"/>
      <c r="K882" s="731"/>
      <c r="L882" s="734"/>
      <c r="M882" s="731"/>
      <c r="N882" s="731"/>
      <c r="O882" s="730"/>
      <c r="P882" s="731"/>
      <c r="Q882" s="731"/>
      <c r="R882" s="734"/>
      <c r="S882" s="731"/>
      <c r="T882" s="731"/>
      <c r="U882" s="734"/>
      <c r="V882" s="731"/>
      <c r="W882" s="731"/>
      <c r="X882" s="734"/>
      <c r="Y882" s="731"/>
      <c r="Z882" s="731"/>
    </row>
    <row r="883">
      <c r="C883" s="734"/>
      <c r="D883" s="731"/>
      <c r="E883" s="731"/>
      <c r="F883" s="734"/>
      <c r="G883" s="731"/>
      <c r="H883" s="731"/>
      <c r="I883" s="734"/>
      <c r="J883" s="731"/>
      <c r="K883" s="731"/>
      <c r="L883" s="734"/>
      <c r="M883" s="731"/>
      <c r="N883" s="731"/>
      <c r="O883" s="730"/>
      <c r="P883" s="731"/>
      <c r="Q883" s="731"/>
      <c r="R883" s="734"/>
      <c r="S883" s="731"/>
      <c r="T883" s="731"/>
      <c r="U883" s="734"/>
      <c r="V883" s="731"/>
      <c r="W883" s="731"/>
      <c r="X883" s="734"/>
      <c r="Y883" s="731"/>
      <c r="Z883" s="731"/>
    </row>
    <row r="884">
      <c r="C884" s="734"/>
      <c r="D884" s="731"/>
      <c r="E884" s="731"/>
      <c r="F884" s="734"/>
      <c r="G884" s="731"/>
      <c r="H884" s="731"/>
      <c r="I884" s="734"/>
      <c r="J884" s="731"/>
      <c r="K884" s="731"/>
      <c r="L884" s="734"/>
      <c r="M884" s="731"/>
      <c r="N884" s="731"/>
      <c r="O884" s="730"/>
      <c r="P884" s="731"/>
      <c r="Q884" s="731"/>
      <c r="R884" s="734"/>
      <c r="S884" s="731"/>
      <c r="T884" s="731"/>
      <c r="U884" s="734"/>
      <c r="V884" s="731"/>
      <c r="W884" s="731"/>
      <c r="X884" s="734"/>
      <c r="Y884" s="731"/>
      <c r="Z884" s="731"/>
    </row>
    <row r="885">
      <c r="C885" s="734"/>
      <c r="D885" s="731"/>
      <c r="E885" s="731"/>
      <c r="F885" s="734"/>
      <c r="G885" s="731"/>
      <c r="H885" s="731"/>
      <c r="I885" s="734"/>
      <c r="J885" s="731"/>
      <c r="K885" s="731"/>
      <c r="L885" s="734"/>
      <c r="M885" s="731"/>
      <c r="N885" s="731"/>
      <c r="O885" s="730"/>
      <c r="P885" s="731"/>
      <c r="Q885" s="731"/>
      <c r="R885" s="734"/>
      <c r="S885" s="731"/>
      <c r="T885" s="731"/>
      <c r="U885" s="734"/>
      <c r="V885" s="731"/>
      <c r="W885" s="731"/>
      <c r="X885" s="734"/>
      <c r="Y885" s="731"/>
      <c r="Z885" s="731"/>
    </row>
    <row r="886">
      <c r="C886" s="734"/>
      <c r="D886" s="731"/>
      <c r="E886" s="731"/>
      <c r="F886" s="734"/>
      <c r="G886" s="731"/>
      <c r="H886" s="731"/>
      <c r="I886" s="734"/>
      <c r="J886" s="731"/>
      <c r="K886" s="731"/>
      <c r="L886" s="734"/>
      <c r="M886" s="731"/>
      <c r="N886" s="731"/>
      <c r="O886" s="730"/>
      <c r="P886" s="731"/>
      <c r="Q886" s="731"/>
      <c r="R886" s="734"/>
      <c r="S886" s="731"/>
      <c r="T886" s="731"/>
      <c r="U886" s="734"/>
      <c r="V886" s="731"/>
      <c r="W886" s="731"/>
      <c r="X886" s="734"/>
      <c r="Y886" s="731"/>
      <c r="Z886" s="731"/>
    </row>
    <row r="887">
      <c r="C887" s="734"/>
      <c r="D887" s="731"/>
      <c r="E887" s="731"/>
      <c r="F887" s="734"/>
      <c r="G887" s="731"/>
      <c r="H887" s="731"/>
      <c r="I887" s="734"/>
      <c r="J887" s="731"/>
      <c r="K887" s="731"/>
      <c r="L887" s="734"/>
      <c r="M887" s="731"/>
      <c r="N887" s="731"/>
      <c r="O887" s="730"/>
      <c r="P887" s="731"/>
      <c r="Q887" s="731"/>
      <c r="R887" s="734"/>
      <c r="S887" s="731"/>
      <c r="T887" s="731"/>
      <c r="U887" s="734"/>
      <c r="V887" s="731"/>
      <c r="W887" s="731"/>
      <c r="X887" s="734"/>
      <c r="Y887" s="731"/>
      <c r="Z887" s="731"/>
    </row>
    <row r="888">
      <c r="C888" s="734"/>
      <c r="D888" s="731"/>
      <c r="E888" s="731"/>
      <c r="F888" s="734"/>
      <c r="G888" s="731"/>
      <c r="H888" s="731"/>
      <c r="I888" s="734"/>
      <c r="J888" s="731"/>
      <c r="K888" s="731"/>
      <c r="L888" s="734"/>
      <c r="M888" s="731"/>
      <c r="N888" s="731"/>
      <c r="O888" s="730"/>
      <c r="P888" s="731"/>
      <c r="Q888" s="731"/>
      <c r="R888" s="734"/>
      <c r="S888" s="731"/>
      <c r="T888" s="731"/>
      <c r="U888" s="734"/>
      <c r="V888" s="731"/>
      <c r="W888" s="731"/>
      <c r="X888" s="734"/>
      <c r="Y888" s="731"/>
      <c r="Z888" s="731"/>
    </row>
    <row r="889">
      <c r="C889" s="734"/>
      <c r="D889" s="731"/>
      <c r="E889" s="731"/>
      <c r="F889" s="734"/>
      <c r="G889" s="731"/>
      <c r="H889" s="731"/>
      <c r="I889" s="734"/>
      <c r="J889" s="731"/>
      <c r="K889" s="731"/>
      <c r="L889" s="734"/>
      <c r="M889" s="731"/>
      <c r="N889" s="731"/>
      <c r="O889" s="730"/>
      <c r="P889" s="731"/>
      <c r="Q889" s="731"/>
      <c r="R889" s="734"/>
      <c r="S889" s="731"/>
      <c r="T889" s="731"/>
      <c r="U889" s="734"/>
      <c r="V889" s="731"/>
      <c r="W889" s="731"/>
      <c r="X889" s="734"/>
      <c r="Y889" s="731"/>
      <c r="Z889" s="731"/>
    </row>
    <row r="890">
      <c r="C890" s="734"/>
      <c r="D890" s="731"/>
      <c r="E890" s="731"/>
      <c r="F890" s="734"/>
      <c r="G890" s="731"/>
      <c r="H890" s="731"/>
      <c r="I890" s="734"/>
      <c r="J890" s="731"/>
      <c r="K890" s="731"/>
      <c r="L890" s="734"/>
      <c r="M890" s="731"/>
      <c r="N890" s="731"/>
      <c r="O890" s="730"/>
      <c r="P890" s="731"/>
      <c r="Q890" s="731"/>
      <c r="R890" s="734"/>
      <c r="S890" s="731"/>
      <c r="T890" s="731"/>
      <c r="U890" s="734"/>
      <c r="V890" s="731"/>
      <c r="W890" s="731"/>
      <c r="X890" s="734"/>
      <c r="Y890" s="731"/>
      <c r="Z890" s="731"/>
    </row>
    <row r="891">
      <c r="C891" s="734"/>
      <c r="D891" s="731"/>
      <c r="E891" s="731"/>
      <c r="F891" s="734"/>
      <c r="G891" s="731"/>
      <c r="H891" s="731"/>
      <c r="I891" s="734"/>
      <c r="J891" s="731"/>
      <c r="K891" s="731"/>
      <c r="L891" s="734"/>
      <c r="M891" s="731"/>
      <c r="N891" s="731"/>
      <c r="O891" s="730"/>
      <c r="P891" s="731"/>
      <c r="Q891" s="731"/>
      <c r="R891" s="734"/>
      <c r="S891" s="731"/>
      <c r="T891" s="731"/>
      <c r="U891" s="734"/>
      <c r="V891" s="731"/>
      <c r="W891" s="731"/>
      <c r="X891" s="734"/>
      <c r="Y891" s="731"/>
      <c r="Z891" s="731"/>
    </row>
    <row r="892">
      <c r="C892" s="734"/>
      <c r="D892" s="731"/>
      <c r="E892" s="731"/>
      <c r="F892" s="734"/>
      <c r="G892" s="731"/>
      <c r="H892" s="731"/>
      <c r="I892" s="734"/>
      <c r="J892" s="731"/>
      <c r="K892" s="731"/>
      <c r="L892" s="734"/>
      <c r="M892" s="731"/>
      <c r="N892" s="731"/>
      <c r="O892" s="730"/>
      <c r="P892" s="731"/>
      <c r="Q892" s="731"/>
      <c r="R892" s="734"/>
      <c r="S892" s="731"/>
      <c r="T892" s="731"/>
      <c r="U892" s="734"/>
      <c r="V892" s="731"/>
      <c r="W892" s="731"/>
      <c r="X892" s="734"/>
      <c r="Y892" s="731"/>
      <c r="Z892" s="731"/>
    </row>
    <row r="893">
      <c r="C893" s="734"/>
      <c r="D893" s="731"/>
      <c r="E893" s="731"/>
      <c r="F893" s="734"/>
      <c r="G893" s="731"/>
      <c r="H893" s="731"/>
      <c r="I893" s="734"/>
      <c r="J893" s="731"/>
      <c r="K893" s="731"/>
      <c r="L893" s="734"/>
      <c r="M893" s="731"/>
      <c r="N893" s="731"/>
      <c r="O893" s="730"/>
      <c r="P893" s="731"/>
      <c r="Q893" s="731"/>
      <c r="R893" s="734"/>
      <c r="S893" s="731"/>
      <c r="T893" s="731"/>
      <c r="U893" s="734"/>
      <c r="V893" s="731"/>
      <c r="W893" s="731"/>
      <c r="X893" s="734"/>
      <c r="Y893" s="731"/>
      <c r="Z893" s="731"/>
    </row>
    <row r="894">
      <c r="C894" s="734"/>
      <c r="D894" s="731"/>
      <c r="E894" s="731"/>
      <c r="F894" s="734"/>
      <c r="G894" s="731"/>
      <c r="H894" s="731"/>
      <c r="I894" s="734"/>
      <c r="J894" s="731"/>
      <c r="K894" s="731"/>
      <c r="L894" s="734"/>
      <c r="M894" s="731"/>
      <c r="N894" s="731"/>
      <c r="O894" s="730"/>
      <c r="P894" s="731"/>
      <c r="Q894" s="731"/>
      <c r="R894" s="734"/>
      <c r="S894" s="731"/>
      <c r="T894" s="731"/>
      <c r="U894" s="734"/>
      <c r="V894" s="731"/>
      <c r="W894" s="731"/>
      <c r="X894" s="734"/>
      <c r="Y894" s="731"/>
      <c r="Z894" s="731"/>
    </row>
    <row r="895">
      <c r="C895" s="734"/>
      <c r="D895" s="731"/>
      <c r="E895" s="731"/>
      <c r="F895" s="734"/>
      <c r="G895" s="731"/>
      <c r="H895" s="731"/>
      <c r="I895" s="734"/>
      <c r="J895" s="731"/>
      <c r="K895" s="731"/>
      <c r="L895" s="734"/>
      <c r="M895" s="731"/>
      <c r="N895" s="731"/>
      <c r="O895" s="730"/>
      <c r="P895" s="731"/>
      <c r="Q895" s="731"/>
      <c r="R895" s="734"/>
      <c r="S895" s="731"/>
      <c r="T895" s="731"/>
      <c r="U895" s="734"/>
      <c r="V895" s="731"/>
      <c r="W895" s="731"/>
      <c r="X895" s="734"/>
      <c r="Y895" s="731"/>
      <c r="Z895" s="731"/>
    </row>
    <row r="896">
      <c r="C896" s="734"/>
      <c r="D896" s="731"/>
      <c r="E896" s="731"/>
      <c r="F896" s="734"/>
      <c r="G896" s="731"/>
      <c r="H896" s="731"/>
      <c r="I896" s="734"/>
      <c r="J896" s="731"/>
      <c r="K896" s="731"/>
      <c r="L896" s="734"/>
      <c r="M896" s="731"/>
      <c r="N896" s="731"/>
      <c r="O896" s="730"/>
      <c r="P896" s="731"/>
      <c r="Q896" s="731"/>
      <c r="R896" s="734"/>
      <c r="S896" s="731"/>
      <c r="T896" s="731"/>
      <c r="U896" s="734"/>
      <c r="V896" s="731"/>
      <c r="W896" s="731"/>
      <c r="X896" s="734"/>
      <c r="Y896" s="731"/>
      <c r="Z896" s="731"/>
    </row>
    <row r="897">
      <c r="C897" s="734"/>
      <c r="D897" s="731"/>
      <c r="E897" s="731"/>
      <c r="F897" s="734"/>
      <c r="G897" s="731"/>
      <c r="H897" s="731"/>
      <c r="I897" s="734"/>
      <c r="J897" s="731"/>
      <c r="K897" s="731"/>
      <c r="L897" s="734"/>
      <c r="M897" s="731"/>
      <c r="N897" s="731"/>
      <c r="O897" s="730"/>
      <c r="P897" s="731"/>
      <c r="Q897" s="731"/>
      <c r="R897" s="734"/>
      <c r="S897" s="731"/>
      <c r="T897" s="731"/>
      <c r="U897" s="734"/>
      <c r="V897" s="731"/>
      <c r="W897" s="731"/>
      <c r="X897" s="734"/>
      <c r="Y897" s="731"/>
      <c r="Z897" s="731"/>
    </row>
    <row r="898">
      <c r="C898" s="734"/>
      <c r="D898" s="731"/>
      <c r="E898" s="731"/>
      <c r="F898" s="734"/>
      <c r="G898" s="731"/>
      <c r="H898" s="731"/>
      <c r="I898" s="734"/>
      <c r="J898" s="731"/>
      <c r="K898" s="731"/>
      <c r="L898" s="734"/>
      <c r="M898" s="731"/>
      <c r="N898" s="731"/>
      <c r="O898" s="730"/>
      <c r="P898" s="731"/>
      <c r="Q898" s="731"/>
      <c r="R898" s="734"/>
      <c r="S898" s="731"/>
      <c r="T898" s="731"/>
      <c r="U898" s="734"/>
      <c r="V898" s="731"/>
      <c r="W898" s="731"/>
      <c r="X898" s="734"/>
      <c r="Y898" s="731"/>
      <c r="Z898" s="731"/>
    </row>
    <row r="899">
      <c r="C899" s="734"/>
      <c r="D899" s="731"/>
      <c r="E899" s="731"/>
      <c r="F899" s="734"/>
      <c r="G899" s="731"/>
      <c r="H899" s="731"/>
      <c r="I899" s="734"/>
      <c r="J899" s="731"/>
      <c r="K899" s="731"/>
      <c r="L899" s="734"/>
      <c r="M899" s="731"/>
      <c r="N899" s="731"/>
      <c r="O899" s="730"/>
      <c r="P899" s="731"/>
      <c r="Q899" s="731"/>
      <c r="R899" s="734"/>
      <c r="S899" s="731"/>
      <c r="T899" s="731"/>
      <c r="U899" s="734"/>
      <c r="V899" s="731"/>
      <c r="W899" s="731"/>
      <c r="X899" s="734"/>
      <c r="Y899" s="731"/>
      <c r="Z899" s="731"/>
    </row>
    <row r="900">
      <c r="C900" s="734"/>
      <c r="D900" s="731"/>
      <c r="E900" s="731"/>
      <c r="F900" s="734"/>
      <c r="G900" s="731"/>
      <c r="H900" s="731"/>
      <c r="I900" s="734"/>
      <c r="J900" s="731"/>
      <c r="K900" s="731"/>
      <c r="L900" s="734"/>
      <c r="M900" s="731"/>
      <c r="N900" s="731"/>
      <c r="O900" s="730"/>
      <c r="P900" s="731"/>
      <c r="Q900" s="731"/>
      <c r="R900" s="734"/>
      <c r="S900" s="731"/>
      <c r="T900" s="731"/>
      <c r="U900" s="734"/>
      <c r="V900" s="731"/>
      <c r="W900" s="731"/>
      <c r="X900" s="734"/>
      <c r="Y900" s="731"/>
      <c r="Z900" s="731"/>
    </row>
    <row r="901">
      <c r="C901" s="734"/>
      <c r="D901" s="731"/>
      <c r="E901" s="731"/>
      <c r="F901" s="734"/>
      <c r="G901" s="731"/>
      <c r="H901" s="731"/>
      <c r="I901" s="734"/>
      <c r="J901" s="731"/>
      <c r="K901" s="731"/>
      <c r="L901" s="734"/>
      <c r="M901" s="731"/>
      <c r="N901" s="731"/>
      <c r="O901" s="730"/>
      <c r="P901" s="731"/>
      <c r="Q901" s="731"/>
      <c r="R901" s="734"/>
      <c r="S901" s="731"/>
      <c r="T901" s="731"/>
      <c r="U901" s="734"/>
      <c r="V901" s="731"/>
      <c r="W901" s="731"/>
      <c r="X901" s="734"/>
      <c r="Y901" s="731"/>
      <c r="Z901" s="731"/>
    </row>
    <row r="902">
      <c r="C902" s="734"/>
      <c r="D902" s="731"/>
      <c r="E902" s="731"/>
      <c r="F902" s="734"/>
      <c r="G902" s="731"/>
      <c r="H902" s="731"/>
      <c r="I902" s="734"/>
      <c r="J902" s="731"/>
      <c r="K902" s="731"/>
      <c r="L902" s="734"/>
      <c r="M902" s="731"/>
      <c r="N902" s="731"/>
      <c r="O902" s="730"/>
      <c r="P902" s="731"/>
      <c r="Q902" s="731"/>
      <c r="R902" s="734"/>
      <c r="S902" s="731"/>
      <c r="T902" s="731"/>
      <c r="U902" s="734"/>
      <c r="V902" s="731"/>
      <c r="W902" s="731"/>
      <c r="X902" s="734"/>
      <c r="Y902" s="731"/>
      <c r="Z902" s="731"/>
    </row>
    <row r="903">
      <c r="C903" s="734"/>
      <c r="D903" s="731"/>
      <c r="E903" s="731"/>
      <c r="F903" s="734"/>
      <c r="G903" s="731"/>
      <c r="H903" s="731"/>
      <c r="I903" s="734"/>
      <c r="J903" s="731"/>
      <c r="K903" s="731"/>
      <c r="L903" s="734"/>
      <c r="M903" s="731"/>
      <c r="N903" s="731"/>
      <c r="O903" s="730"/>
      <c r="P903" s="731"/>
      <c r="Q903" s="731"/>
      <c r="R903" s="734"/>
      <c r="S903" s="731"/>
      <c r="T903" s="731"/>
      <c r="U903" s="734"/>
      <c r="V903" s="731"/>
      <c r="W903" s="731"/>
      <c r="X903" s="734"/>
      <c r="Y903" s="731"/>
      <c r="Z903" s="731"/>
    </row>
    <row r="904">
      <c r="C904" s="734"/>
      <c r="D904" s="731"/>
      <c r="E904" s="731"/>
      <c r="F904" s="734"/>
      <c r="G904" s="731"/>
      <c r="H904" s="731"/>
      <c r="I904" s="734"/>
      <c r="J904" s="731"/>
      <c r="K904" s="731"/>
      <c r="L904" s="734"/>
      <c r="M904" s="731"/>
      <c r="N904" s="731"/>
      <c r="O904" s="730"/>
      <c r="P904" s="731"/>
      <c r="Q904" s="731"/>
      <c r="R904" s="734"/>
      <c r="S904" s="731"/>
      <c r="T904" s="731"/>
      <c r="U904" s="734"/>
      <c r="V904" s="731"/>
      <c r="W904" s="731"/>
      <c r="X904" s="734"/>
      <c r="Y904" s="731"/>
      <c r="Z904" s="731"/>
    </row>
    <row r="905">
      <c r="C905" s="734"/>
      <c r="D905" s="731"/>
      <c r="E905" s="731"/>
      <c r="F905" s="734"/>
      <c r="G905" s="731"/>
      <c r="H905" s="731"/>
      <c r="I905" s="734"/>
      <c r="J905" s="731"/>
      <c r="K905" s="731"/>
      <c r="L905" s="734"/>
      <c r="M905" s="731"/>
      <c r="N905" s="731"/>
      <c r="O905" s="730"/>
      <c r="P905" s="731"/>
      <c r="Q905" s="731"/>
      <c r="R905" s="734"/>
      <c r="S905" s="731"/>
      <c r="T905" s="731"/>
      <c r="U905" s="734"/>
      <c r="V905" s="731"/>
      <c r="W905" s="731"/>
      <c r="X905" s="734"/>
      <c r="Y905" s="731"/>
      <c r="Z905" s="731"/>
    </row>
    <row r="906">
      <c r="C906" s="734"/>
      <c r="D906" s="731"/>
      <c r="E906" s="731"/>
      <c r="F906" s="734"/>
      <c r="G906" s="731"/>
      <c r="H906" s="731"/>
      <c r="I906" s="734"/>
      <c r="J906" s="731"/>
      <c r="K906" s="731"/>
      <c r="L906" s="734"/>
      <c r="M906" s="731"/>
      <c r="N906" s="731"/>
      <c r="O906" s="730"/>
      <c r="P906" s="731"/>
      <c r="Q906" s="731"/>
      <c r="R906" s="734"/>
      <c r="S906" s="731"/>
      <c r="T906" s="731"/>
      <c r="U906" s="734"/>
      <c r="V906" s="731"/>
      <c r="W906" s="731"/>
      <c r="X906" s="734"/>
      <c r="Y906" s="731"/>
      <c r="Z906" s="731"/>
    </row>
    <row r="907">
      <c r="C907" s="734"/>
      <c r="D907" s="731"/>
      <c r="E907" s="731"/>
      <c r="F907" s="734"/>
      <c r="G907" s="731"/>
      <c r="H907" s="731"/>
      <c r="I907" s="734"/>
      <c r="J907" s="731"/>
      <c r="K907" s="731"/>
      <c r="L907" s="734"/>
      <c r="M907" s="731"/>
      <c r="N907" s="731"/>
      <c r="O907" s="730"/>
      <c r="P907" s="731"/>
      <c r="Q907" s="731"/>
      <c r="R907" s="734"/>
      <c r="S907" s="731"/>
      <c r="T907" s="731"/>
      <c r="U907" s="734"/>
      <c r="V907" s="731"/>
      <c r="W907" s="731"/>
      <c r="X907" s="734"/>
      <c r="Y907" s="731"/>
      <c r="Z907" s="731"/>
    </row>
    <row r="908">
      <c r="C908" s="734"/>
      <c r="D908" s="731"/>
      <c r="E908" s="731"/>
      <c r="F908" s="734"/>
      <c r="G908" s="731"/>
      <c r="H908" s="731"/>
      <c r="I908" s="734"/>
      <c r="J908" s="731"/>
      <c r="K908" s="731"/>
      <c r="L908" s="734"/>
      <c r="M908" s="731"/>
      <c r="N908" s="731"/>
      <c r="O908" s="730"/>
      <c r="P908" s="731"/>
      <c r="Q908" s="731"/>
      <c r="R908" s="734"/>
      <c r="S908" s="731"/>
      <c r="T908" s="731"/>
      <c r="U908" s="734"/>
      <c r="V908" s="731"/>
      <c r="W908" s="731"/>
      <c r="X908" s="734"/>
      <c r="Y908" s="731"/>
      <c r="Z908" s="731"/>
    </row>
    <row r="909">
      <c r="C909" s="734"/>
      <c r="D909" s="731"/>
      <c r="E909" s="731"/>
      <c r="F909" s="734"/>
      <c r="G909" s="731"/>
      <c r="H909" s="731"/>
      <c r="I909" s="734"/>
      <c r="J909" s="731"/>
      <c r="K909" s="731"/>
      <c r="L909" s="734"/>
      <c r="M909" s="731"/>
      <c r="N909" s="731"/>
      <c r="O909" s="730"/>
      <c r="P909" s="731"/>
      <c r="Q909" s="731"/>
      <c r="R909" s="734"/>
      <c r="S909" s="731"/>
      <c r="T909" s="731"/>
      <c r="U909" s="734"/>
      <c r="V909" s="731"/>
      <c r="W909" s="731"/>
      <c r="X909" s="734"/>
      <c r="Y909" s="731"/>
      <c r="Z909" s="731"/>
    </row>
    <row r="910">
      <c r="C910" s="734"/>
      <c r="D910" s="731"/>
      <c r="E910" s="731"/>
      <c r="F910" s="734"/>
      <c r="G910" s="731"/>
      <c r="H910" s="731"/>
      <c r="I910" s="734"/>
      <c r="J910" s="731"/>
      <c r="K910" s="731"/>
      <c r="L910" s="734"/>
      <c r="M910" s="731"/>
      <c r="N910" s="731"/>
      <c r="O910" s="730"/>
      <c r="P910" s="731"/>
      <c r="Q910" s="731"/>
      <c r="R910" s="734"/>
      <c r="S910" s="731"/>
      <c r="T910" s="731"/>
      <c r="U910" s="734"/>
      <c r="V910" s="731"/>
      <c r="W910" s="731"/>
      <c r="X910" s="734"/>
      <c r="Y910" s="731"/>
      <c r="Z910" s="731"/>
    </row>
    <row r="911">
      <c r="C911" s="734"/>
      <c r="D911" s="731"/>
      <c r="E911" s="731"/>
      <c r="F911" s="734"/>
      <c r="G911" s="731"/>
      <c r="H911" s="731"/>
      <c r="I911" s="734"/>
      <c r="J911" s="731"/>
      <c r="K911" s="731"/>
      <c r="L911" s="734"/>
      <c r="M911" s="731"/>
      <c r="N911" s="731"/>
      <c r="O911" s="730"/>
      <c r="P911" s="731"/>
      <c r="Q911" s="731"/>
      <c r="R911" s="734"/>
      <c r="S911" s="731"/>
      <c r="T911" s="731"/>
      <c r="U911" s="734"/>
      <c r="V911" s="731"/>
      <c r="W911" s="731"/>
      <c r="X911" s="734"/>
      <c r="Y911" s="731"/>
      <c r="Z911" s="731"/>
    </row>
    <row r="912">
      <c r="C912" s="734"/>
      <c r="D912" s="731"/>
      <c r="E912" s="731"/>
      <c r="F912" s="734"/>
      <c r="G912" s="731"/>
      <c r="H912" s="731"/>
      <c r="I912" s="734"/>
      <c r="J912" s="731"/>
      <c r="K912" s="731"/>
      <c r="L912" s="734"/>
      <c r="M912" s="731"/>
      <c r="N912" s="731"/>
      <c r="O912" s="730"/>
      <c r="P912" s="731"/>
      <c r="Q912" s="731"/>
      <c r="R912" s="734"/>
      <c r="S912" s="731"/>
      <c r="T912" s="731"/>
      <c r="U912" s="734"/>
      <c r="V912" s="731"/>
      <c r="W912" s="731"/>
      <c r="X912" s="734"/>
      <c r="Y912" s="731"/>
      <c r="Z912" s="731"/>
    </row>
    <row r="913">
      <c r="C913" s="734"/>
      <c r="D913" s="731"/>
      <c r="E913" s="731"/>
      <c r="F913" s="734"/>
      <c r="G913" s="731"/>
      <c r="H913" s="731"/>
      <c r="I913" s="734"/>
      <c r="J913" s="731"/>
      <c r="K913" s="731"/>
      <c r="L913" s="734"/>
      <c r="M913" s="731"/>
      <c r="N913" s="731"/>
      <c r="O913" s="730"/>
      <c r="P913" s="731"/>
      <c r="Q913" s="731"/>
      <c r="R913" s="734"/>
      <c r="S913" s="731"/>
      <c r="T913" s="731"/>
      <c r="U913" s="734"/>
      <c r="V913" s="731"/>
      <c r="W913" s="731"/>
      <c r="X913" s="734"/>
      <c r="Y913" s="731"/>
      <c r="Z913" s="731"/>
    </row>
    <row r="914">
      <c r="C914" s="734"/>
      <c r="D914" s="731"/>
      <c r="E914" s="731"/>
      <c r="F914" s="734"/>
      <c r="G914" s="731"/>
      <c r="H914" s="731"/>
      <c r="I914" s="734"/>
      <c r="J914" s="731"/>
      <c r="K914" s="731"/>
      <c r="L914" s="734"/>
      <c r="M914" s="731"/>
      <c r="N914" s="731"/>
      <c r="O914" s="730"/>
      <c r="P914" s="731"/>
      <c r="Q914" s="731"/>
      <c r="R914" s="734"/>
      <c r="S914" s="731"/>
      <c r="T914" s="731"/>
      <c r="U914" s="734"/>
      <c r="V914" s="731"/>
      <c r="W914" s="731"/>
      <c r="X914" s="734"/>
      <c r="Y914" s="731"/>
      <c r="Z914" s="731"/>
    </row>
    <row r="915">
      <c r="C915" s="734"/>
      <c r="D915" s="731"/>
      <c r="E915" s="731"/>
      <c r="F915" s="734"/>
      <c r="G915" s="731"/>
      <c r="H915" s="731"/>
      <c r="I915" s="734"/>
      <c r="J915" s="731"/>
      <c r="K915" s="731"/>
      <c r="L915" s="734"/>
      <c r="M915" s="731"/>
      <c r="N915" s="731"/>
      <c r="O915" s="730"/>
      <c r="P915" s="731"/>
      <c r="Q915" s="731"/>
      <c r="R915" s="734"/>
      <c r="S915" s="731"/>
      <c r="T915" s="731"/>
      <c r="U915" s="734"/>
      <c r="V915" s="731"/>
      <c r="W915" s="731"/>
      <c r="X915" s="734"/>
      <c r="Y915" s="731"/>
      <c r="Z915" s="731"/>
    </row>
    <row r="916">
      <c r="C916" s="734"/>
      <c r="D916" s="731"/>
      <c r="E916" s="731"/>
      <c r="F916" s="734"/>
      <c r="G916" s="731"/>
      <c r="H916" s="731"/>
      <c r="I916" s="734"/>
      <c r="J916" s="731"/>
      <c r="K916" s="731"/>
      <c r="L916" s="734"/>
      <c r="M916" s="731"/>
      <c r="N916" s="731"/>
      <c r="O916" s="730"/>
      <c r="P916" s="731"/>
      <c r="Q916" s="731"/>
      <c r="R916" s="734"/>
      <c r="S916" s="731"/>
      <c r="T916" s="731"/>
      <c r="U916" s="734"/>
      <c r="V916" s="731"/>
      <c r="W916" s="731"/>
      <c r="X916" s="734"/>
      <c r="Y916" s="731"/>
      <c r="Z916" s="731"/>
    </row>
    <row r="917">
      <c r="C917" s="734"/>
      <c r="D917" s="731"/>
      <c r="E917" s="731"/>
      <c r="F917" s="734"/>
      <c r="G917" s="731"/>
      <c r="H917" s="731"/>
      <c r="I917" s="734"/>
      <c r="J917" s="731"/>
      <c r="K917" s="731"/>
      <c r="L917" s="734"/>
      <c r="M917" s="731"/>
      <c r="N917" s="731"/>
      <c r="O917" s="730"/>
      <c r="P917" s="731"/>
      <c r="Q917" s="731"/>
      <c r="R917" s="734"/>
      <c r="S917" s="731"/>
      <c r="T917" s="731"/>
      <c r="U917" s="734"/>
      <c r="V917" s="731"/>
      <c r="W917" s="731"/>
      <c r="X917" s="734"/>
      <c r="Y917" s="731"/>
      <c r="Z917" s="731"/>
    </row>
    <row r="918">
      <c r="C918" s="734"/>
      <c r="D918" s="731"/>
      <c r="E918" s="731"/>
      <c r="F918" s="734"/>
      <c r="G918" s="731"/>
      <c r="H918" s="731"/>
      <c r="I918" s="734"/>
      <c r="J918" s="731"/>
      <c r="K918" s="731"/>
      <c r="L918" s="734"/>
      <c r="M918" s="731"/>
      <c r="N918" s="731"/>
      <c r="O918" s="730"/>
      <c r="P918" s="731"/>
      <c r="Q918" s="731"/>
      <c r="R918" s="734"/>
      <c r="S918" s="731"/>
      <c r="T918" s="731"/>
      <c r="U918" s="734"/>
      <c r="V918" s="731"/>
      <c r="W918" s="731"/>
      <c r="X918" s="734"/>
      <c r="Y918" s="731"/>
      <c r="Z918" s="731"/>
    </row>
    <row r="919">
      <c r="C919" s="734"/>
      <c r="D919" s="731"/>
      <c r="E919" s="731"/>
      <c r="F919" s="734"/>
      <c r="G919" s="731"/>
      <c r="H919" s="731"/>
      <c r="I919" s="734"/>
      <c r="J919" s="731"/>
      <c r="K919" s="731"/>
      <c r="L919" s="734"/>
      <c r="M919" s="731"/>
      <c r="N919" s="731"/>
      <c r="O919" s="730"/>
      <c r="P919" s="731"/>
      <c r="Q919" s="731"/>
      <c r="R919" s="734"/>
      <c r="S919" s="731"/>
      <c r="T919" s="731"/>
      <c r="U919" s="734"/>
      <c r="V919" s="731"/>
      <c r="W919" s="731"/>
      <c r="X919" s="734"/>
      <c r="Y919" s="731"/>
      <c r="Z919" s="731"/>
    </row>
    <row r="920">
      <c r="C920" s="734"/>
      <c r="D920" s="731"/>
      <c r="E920" s="731"/>
      <c r="F920" s="734"/>
      <c r="G920" s="731"/>
      <c r="H920" s="731"/>
      <c r="I920" s="734"/>
      <c r="J920" s="731"/>
      <c r="K920" s="731"/>
      <c r="L920" s="734"/>
      <c r="M920" s="731"/>
      <c r="N920" s="731"/>
      <c r="O920" s="730"/>
      <c r="P920" s="731"/>
      <c r="Q920" s="731"/>
      <c r="R920" s="734"/>
      <c r="S920" s="731"/>
      <c r="T920" s="731"/>
      <c r="U920" s="734"/>
      <c r="V920" s="731"/>
      <c r="W920" s="731"/>
      <c r="X920" s="734"/>
      <c r="Y920" s="731"/>
      <c r="Z920" s="731"/>
    </row>
    <row r="921">
      <c r="C921" s="734"/>
      <c r="D921" s="731"/>
      <c r="E921" s="731"/>
      <c r="F921" s="734"/>
      <c r="G921" s="731"/>
      <c r="H921" s="731"/>
      <c r="I921" s="734"/>
      <c r="J921" s="731"/>
      <c r="K921" s="731"/>
      <c r="L921" s="734"/>
      <c r="M921" s="731"/>
      <c r="N921" s="731"/>
      <c r="O921" s="730"/>
      <c r="P921" s="731"/>
      <c r="Q921" s="731"/>
      <c r="R921" s="734"/>
      <c r="S921" s="731"/>
      <c r="T921" s="731"/>
      <c r="U921" s="734"/>
      <c r="V921" s="731"/>
      <c r="W921" s="731"/>
      <c r="X921" s="734"/>
      <c r="Y921" s="731"/>
      <c r="Z921" s="731"/>
    </row>
    <row r="922">
      <c r="C922" s="734"/>
      <c r="D922" s="731"/>
      <c r="E922" s="731"/>
      <c r="F922" s="734"/>
      <c r="G922" s="731"/>
      <c r="H922" s="731"/>
      <c r="I922" s="734"/>
      <c r="J922" s="731"/>
      <c r="K922" s="731"/>
      <c r="L922" s="734"/>
      <c r="M922" s="731"/>
      <c r="N922" s="731"/>
      <c r="O922" s="730"/>
      <c r="P922" s="731"/>
      <c r="Q922" s="731"/>
      <c r="R922" s="734"/>
      <c r="S922" s="731"/>
      <c r="T922" s="731"/>
      <c r="U922" s="734"/>
      <c r="V922" s="731"/>
      <c r="W922" s="731"/>
      <c r="X922" s="734"/>
      <c r="Y922" s="731"/>
      <c r="Z922" s="731"/>
    </row>
    <row r="923">
      <c r="C923" s="734"/>
      <c r="D923" s="731"/>
      <c r="E923" s="731"/>
      <c r="F923" s="734"/>
      <c r="G923" s="731"/>
      <c r="H923" s="731"/>
      <c r="I923" s="734"/>
      <c r="J923" s="731"/>
      <c r="K923" s="731"/>
      <c r="L923" s="734"/>
      <c r="M923" s="731"/>
      <c r="N923" s="731"/>
      <c r="O923" s="730"/>
      <c r="P923" s="731"/>
      <c r="Q923" s="731"/>
      <c r="R923" s="734"/>
      <c r="S923" s="731"/>
      <c r="T923" s="731"/>
      <c r="U923" s="734"/>
      <c r="V923" s="731"/>
      <c r="W923" s="731"/>
      <c r="X923" s="734"/>
      <c r="Y923" s="731"/>
      <c r="Z923" s="731"/>
    </row>
    <row r="924">
      <c r="C924" s="734"/>
      <c r="D924" s="731"/>
      <c r="E924" s="731"/>
      <c r="F924" s="734"/>
      <c r="G924" s="731"/>
      <c r="H924" s="731"/>
      <c r="I924" s="734"/>
      <c r="J924" s="731"/>
      <c r="K924" s="731"/>
      <c r="L924" s="734"/>
      <c r="M924" s="731"/>
      <c r="N924" s="731"/>
      <c r="O924" s="730"/>
      <c r="P924" s="731"/>
      <c r="Q924" s="731"/>
      <c r="R924" s="734"/>
      <c r="S924" s="731"/>
      <c r="T924" s="731"/>
      <c r="U924" s="734"/>
      <c r="V924" s="731"/>
      <c r="W924" s="731"/>
      <c r="X924" s="734"/>
      <c r="Y924" s="731"/>
      <c r="Z924" s="731"/>
    </row>
    <row r="925">
      <c r="C925" s="734"/>
      <c r="D925" s="731"/>
      <c r="E925" s="731"/>
      <c r="F925" s="734"/>
      <c r="G925" s="731"/>
      <c r="H925" s="731"/>
      <c r="I925" s="734"/>
      <c r="J925" s="731"/>
      <c r="K925" s="731"/>
      <c r="L925" s="734"/>
      <c r="M925" s="731"/>
      <c r="N925" s="731"/>
      <c r="O925" s="730"/>
      <c r="P925" s="731"/>
      <c r="Q925" s="731"/>
      <c r="R925" s="734"/>
      <c r="S925" s="731"/>
      <c r="T925" s="731"/>
      <c r="U925" s="734"/>
      <c r="V925" s="731"/>
      <c r="W925" s="731"/>
      <c r="X925" s="734"/>
      <c r="Y925" s="731"/>
      <c r="Z925" s="731"/>
    </row>
    <row r="926">
      <c r="C926" s="734"/>
      <c r="D926" s="731"/>
      <c r="E926" s="731"/>
      <c r="F926" s="734"/>
      <c r="G926" s="731"/>
      <c r="H926" s="731"/>
      <c r="I926" s="734"/>
      <c r="J926" s="731"/>
      <c r="K926" s="731"/>
      <c r="L926" s="734"/>
      <c r="M926" s="731"/>
      <c r="N926" s="731"/>
      <c r="O926" s="730"/>
      <c r="P926" s="731"/>
      <c r="Q926" s="731"/>
      <c r="R926" s="734"/>
      <c r="S926" s="731"/>
      <c r="T926" s="731"/>
      <c r="U926" s="734"/>
      <c r="V926" s="731"/>
      <c r="W926" s="731"/>
      <c r="X926" s="734"/>
      <c r="Y926" s="731"/>
      <c r="Z926" s="731"/>
    </row>
    <row r="927">
      <c r="C927" s="734"/>
      <c r="D927" s="731"/>
      <c r="E927" s="731"/>
      <c r="F927" s="734"/>
      <c r="G927" s="731"/>
      <c r="H927" s="731"/>
      <c r="I927" s="734"/>
      <c r="J927" s="731"/>
      <c r="K927" s="731"/>
      <c r="L927" s="734"/>
      <c r="M927" s="731"/>
      <c r="N927" s="731"/>
      <c r="O927" s="730"/>
      <c r="P927" s="731"/>
      <c r="Q927" s="731"/>
      <c r="R927" s="734"/>
      <c r="S927" s="731"/>
      <c r="T927" s="731"/>
      <c r="U927" s="734"/>
      <c r="V927" s="731"/>
      <c r="W927" s="731"/>
      <c r="X927" s="734"/>
      <c r="Y927" s="731"/>
      <c r="Z927" s="731"/>
    </row>
    <row r="928">
      <c r="C928" s="734"/>
      <c r="D928" s="731"/>
      <c r="E928" s="731"/>
      <c r="F928" s="734"/>
      <c r="G928" s="731"/>
      <c r="H928" s="731"/>
      <c r="I928" s="734"/>
      <c r="J928" s="731"/>
      <c r="K928" s="731"/>
      <c r="L928" s="734"/>
      <c r="M928" s="731"/>
      <c r="N928" s="731"/>
      <c r="O928" s="730"/>
      <c r="P928" s="731"/>
      <c r="Q928" s="731"/>
      <c r="R928" s="734"/>
      <c r="S928" s="731"/>
      <c r="T928" s="731"/>
      <c r="U928" s="734"/>
      <c r="V928" s="731"/>
      <c r="W928" s="731"/>
      <c r="X928" s="734"/>
      <c r="Y928" s="731"/>
      <c r="Z928" s="731"/>
    </row>
    <row r="929">
      <c r="C929" s="734"/>
      <c r="D929" s="731"/>
      <c r="E929" s="731"/>
      <c r="F929" s="734"/>
      <c r="G929" s="731"/>
      <c r="H929" s="731"/>
      <c r="I929" s="734"/>
      <c r="J929" s="731"/>
      <c r="K929" s="731"/>
      <c r="L929" s="734"/>
      <c r="M929" s="731"/>
      <c r="N929" s="731"/>
      <c r="O929" s="730"/>
      <c r="P929" s="731"/>
      <c r="Q929" s="731"/>
      <c r="R929" s="734"/>
      <c r="S929" s="731"/>
      <c r="T929" s="731"/>
      <c r="U929" s="734"/>
      <c r="V929" s="731"/>
      <c r="W929" s="731"/>
      <c r="X929" s="734"/>
      <c r="Y929" s="731"/>
      <c r="Z929" s="731"/>
    </row>
    <row r="930">
      <c r="C930" s="734"/>
      <c r="D930" s="731"/>
      <c r="E930" s="731"/>
      <c r="F930" s="734"/>
      <c r="G930" s="731"/>
      <c r="H930" s="731"/>
      <c r="I930" s="734"/>
      <c r="J930" s="731"/>
      <c r="K930" s="731"/>
      <c r="L930" s="734"/>
      <c r="M930" s="731"/>
      <c r="N930" s="731"/>
      <c r="O930" s="730"/>
      <c r="P930" s="731"/>
      <c r="Q930" s="731"/>
      <c r="R930" s="734"/>
      <c r="S930" s="731"/>
      <c r="T930" s="731"/>
      <c r="U930" s="734"/>
      <c r="V930" s="731"/>
      <c r="W930" s="731"/>
      <c r="X930" s="734"/>
      <c r="Y930" s="731"/>
      <c r="Z930" s="731"/>
    </row>
    <row r="931">
      <c r="C931" s="734"/>
      <c r="D931" s="731"/>
      <c r="E931" s="731"/>
      <c r="F931" s="734"/>
      <c r="G931" s="731"/>
      <c r="H931" s="731"/>
      <c r="I931" s="734"/>
      <c r="J931" s="731"/>
      <c r="K931" s="731"/>
      <c r="L931" s="734"/>
      <c r="M931" s="731"/>
      <c r="N931" s="731"/>
      <c r="O931" s="730"/>
      <c r="P931" s="731"/>
      <c r="Q931" s="731"/>
      <c r="R931" s="734"/>
      <c r="S931" s="731"/>
      <c r="T931" s="731"/>
      <c r="U931" s="734"/>
      <c r="V931" s="731"/>
      <c r="W931" s="731"/>
      <c r="X931" s="734"/>
      <c r="Y931" s="731"/>
      <c r="Z931" s="731"/>
    </row>
    <row r="932">
      <c r="C932" s="734"/>
      <c r="D932" s="731"/>
      <c r="E932" s="731"/>
      <c r="F932" s="734"/>
      <c r="G932" s="731"/>
      <c r="H932" s="731"/>
      <c r="I932" s="734"/>
      <c r="J932" s="731"/>
      <c r="K932" s="731"/>
      <c r="L932" s="734"/>
      <c r="M932" s="731"/>
      <c r="N932" s="731"/>
      <c r="O932" s="730"/>
      <c r="P932" s="731"/>
      <c r="Q932" s="731"/>
      <c r="R932" s="734"/>
      <c r="S932" s="731"/>
      <c r="T932" s="731"/>
      <c r="U932" s="734"/>
      <c r="V932" s="731"/>
      <c r="W932" s="731"/>
      <c r="X932" s="734"/>
      <c r="Y932" s="731"/>
      <c r="Z932" s="731"/>
    </row>
    <row r="933">
      <c r="C933" s="734"/>
      <c r="D933" s="731"/>
      <c r="E933" s="731"/>
      <c r="F933" s="734"/>
      <c r="G933" s="731"/>
      <c r="H933" s="731"/>
      <c r="I933" s="734"/>
      <c r="J933" s="731"/>
      <c r="K933" s="731"/>
      <c r="L933" s="734"/>
      <c r="M933" s="731"/>
      <c r="N933" s="731"/>
      <c r="O933" s="730"/>
      <c r="P933" s="731"/>
      <c r="Q933" s="731"/>
      <c r="R933" s="734"/>
      <c r="S933" s="731"/>
      <c r="T933" s="731"/>
      <c r="U933" s="734"/>
      <c r="V933" s="731"/>
      <c r="W933" s="731"/>
      <c r="X933" s="734"/>
      <c r="Y933" s="731"/>
      <c r="Z933" s="731"/>
    </row>
    <row r="934">
      <c r="C934" s="734"/>
      <c r="D934" s="731"/>
      <c r="E934" s="731"/>
      <c r="F934" s="734"/>
      <c r="G934" s="731"/>
      <c r="H934" s="731"/>
      <c r="I934" s="734"/>
      <c r="J934" s="731"/>
      <c r="K934" s="731"/>
      <c r="L934" s="734"/>
      <c r="M934" s="731"/>
      <c r="N934" s="731"/>
      <c r="O934" s="730"/>
      <c r="P934" s="731"/>
      <c r="Q934" s="731"/>
      <c r="R934" s="734"/>
      <c r="S934" s="731"/>
      <c r="T934" s="731"/>
      <c r="U934" s="734"/>
      <c r="V934" s="731"/>
      <c r="W934" s="731"/>
      <c r="X934" s="734"/>
      <c r="Y934" s="731"/>
      <c r="Z934" s="731"/>
    </row>
    <row r="935">
      <c r="C935" s="734"/>
      <c r="D935" s="731"/>
      <c r="E935" s="731"/>
      <c r="F935" s="734"/>
      <c r="G935" s="731"/>
      <c r="H935" s="731"/>
      <c r="I935" s="734"/>
      <c r="J935" s="731"/>
      <c r="K935" s="731"/>
      <c r="L935" s="734"/>
      <c r="M935" s="731"/>
      <c r="N935" s="731"/>
      <c r="O935" s="730"/>
      <c r="P935" s="731"/>
      <c r="Q935" s="731"/>
      <c r="R935" s="734"/>
      <c r="S935" s="731"/>
      <c r="T935" s="731"/>
      <c r="U935" s="734"/>
      <c r="V935" s="731"/>
      <c r="W935" s="731"/>
      <c r="X935" s="734"/>
      <c r="Y935" s="731"/>
      <c r="Z935" s="731"/>
    </row>
    <row r="936">
      <c r="C936" s="734"/>
      <c r="D936" s="731"/>
      <c r="E936" s="731"/>
      <c r="F936" s="734"/>
      <c r="G936" s="731"/>
      <c r="H936" s="731"/>
      <c r="I936" s="734"/>
      <c r="J936" s="731"/>
      <c r="K936" s="731"/>
      <c r="L936" s="734"/>
      <c r="M936" s="731"/>
      <c r="N936" s="731"/>
      <c r="O936" s="730"/>
      <c r="P936" s="731"/>
      <c r="Q936" s="731"/>
      <c r="R936" s="734"/>
      <c r="S936" s="731"/>
      <c r="T936" s="731"/>
      <c r="U936" s="734"/>
      <c r="V936" s="731"/>
      <c r="W936" s="731"/>
      <c r="X936" s="734"/>
      <c r="Y936" s="731"/>
      <c r="Z936" s="731"/>
    </row>
    <row r="937">
      <c r="C937" s="734"/>
      <c r="D937" s="731"/>
      <c r="E937" s="731"/>
      <c r="F937" s="734"/>
      <c r="G937" s="731"/>
      <c r="H937" s="731"/>
      <c r="I937" s="734"/>
      <c r="J937" s="731"/>
      <c r="K937" s="731"/>
      <c r="L937" s="734"/>
      <c r="M937" s="731"/>
      <c r="N937" s="731"/>
      <c r="O937" s="730"/>
      <c r="P937" s="731"/>
      <c r="Q937" s="731"/>
      <c r="R937" s="734"/>
      <c r="S937" s="731"/>
      <c r="T937" s="731"/>
      <c r="U937" s="734"/>
      <c r="V937" s="731"/>
      <c r="W937" s="731"/>
      <c r="X937" s="734"/>
      <c r="Y937" s="731"/>
      <c r="Z937" s="731"/>
    </row>
    <row r="938">
      <c r="C938" s="734"/>
      <c r="D938" s="731"/>
      <c r="E938" s="731"/>
      <c r="F938" s="734"/>
      <c r="G938" s="731"/>
      <c r="H938" s="731"/>
      <c r="I938" s="734"/>
      <c r="J938" s="731"/>
      <c r="K938" s="731"/>
      <c r="L938" s="734"/>
      <c r="M938" s="731"/>
      <c r="N938" s="731"/>
      <c r="O938" s="730"/>
      <c r="P938" s="731"/>
      <c r="Q938" s="731"/>
      <c r="R938" s="734"/>
      <c r="S938" s="731"/>
      <c r="T938" s="731"/>
      <c r="U938" s="734"/>
      <c r="V938" s="731"/>
      <c r="W938" s="731"/>
      <c r="X938" s="734"/>
      <c r="Y938" s="731"/>
      <c r="Z938" s="731"/>
    </row>
    <row r="939">
      <c r="C939" s="734"/>
      <c r="D939" s="731"/>
      <c r="E939" s="731"/>
      <c r="F939" s="734"/>
      <c r="G939" s="731"/>
      <c r="H939" s="731"/>
      <c r="I939" s="734"/>
      <c r="J939" s="731"/>
      <c r="K939" s="731"/>
      <c r="L939" s="734"/>
      <c r="M939" s="731"/>
      <c r="N939" s="731"/>
      <c r="O939" s="730"/>
      <c r="P939" s="731"/>
      <c r="Q939" s="731"/>
      <c r="R939" s="734"/>
      <c r="S939" s="731"/>
      <c r="T939" s="731"/>
      <c r="U939" s="734"/>
      <c r="V939" s="731"/>
      <c r="W939" s="731"/>
      <c r="X939" s="734"/>
      <c r="Y939" s="731"/>
      <c r="Z939" s="731"/>
    </row>
    <row r="940">
      <c r="C940" s="734"/>
      <c r="D940" s="731"/>
      <c r="E940" s="731"/>
      <c r="F940" s="734"/>
      <c r="G940" s="731"/>
      <c r="H940" s="731"/>
      <c r="I940" s="734"/>
      <c r="J940" s="731"/>
      <c r="K940" s="731"/>
      <c r="L940" s="734"/>
      <c r="M940" s="731"/>
      <c r="N940" s="731"/>
      <c r="O940" s="730"/>
      <c r="P940" s="731"/>
      <c r="Q940" s="731"/>
      <c r="R940" s="734"/>
      <c r="S940" s="731"/>
      <c r="T940" s="731"/>
      <c r="U940" s="734"/>
      <c r="V940" s="731"/>
      <c r="W940" s="731"/>
      <c r="X940" s="734"/>
      <c r="Y940" s="731"/>
      <c r="Z940" s="731"/>
    </row>
    <row r="941">
      <c r="C941" s="734"/>
      <c r="D941" s="731"/>
      <c r="E941" s="731"/>
      <c r="F941" s="734"/>
      <c r="G941" s="731"/>
      <c r="H941" s="731"/>
      <c r="I941" s="734"/>
      <c r="J941" s="731"/>
      <c r="K941" s="731"/>
      <c r="L941" s="734"/>
      <c r="M941" s="731"/>
      <c r="N941" s="731"/>
      <c r="O941" s="730"/>
      <c r="P941" s="731"/>
      <c r="Q941" s="731"/>
      <c r="R941" s="734"/>
      <c r="S941" s="731"/>
      <c r="T941" s="731"/>
      <c r="U941" s="734"/>
      <c r="V941" s="731"/>
      <c r="W941" s="731"/>
      <c r="X941" s="734"/>
      <c r="Y941" s="731"/>
      <c r="Z941" s="731"/>
    </row>
    <row r="942">
      <c r="C942" s="734"/>
      <c r="D942" s="731"/>
      <c r="E942" s="731"/>
      <c r="F942" s="734"/>
      <c r="G942" s="731"/>
      <c r="H942" s="731"/>
      <c r="I942" s="734"/>
      <c r="J942" s="731"/>
      <c r="K942" s="731"/>
      <c r="L942" s="734"/>
      <c r="M942" s="731"/>
      <c r="N942" s="731"/>
      <c r="O942" s="730"/>
      <c r="P942" s="731"/>
      <c r="Q942" s="731"/>
      <c r="R942" s="734"/>
      <c r="S942" s="731"/>
      <c r="T942" s="731"/>
      <c r="U942" s="734"/>
      <c r="V942" s="731"/>
      <c r="W942" s="731"/>
      <c r="X942" s="734"/>
      <c r="Y942" s="731"/>
      <c r="Z942" s="731"/>
    </row>
    <row r="943">
      <c r="C943" s="734"/>
      <c r="D943" s="731"/>
      <c r="E943" s="731"/>
      <c r="F943" s="734"/>
      <c r="G943" s="731"/>
      <c r="H943" s="731"/>
      <c r="I943" s="734"/>
      <c r="J943" s="731"/>
      <c r="K943" s="731"/>
      <c r="L943" s="734"/>
      <c r="M943" s="731"/>
      <c r="N943" s="731"/>
      <c r="O943" s="730"/>
      <c r="P943" s="731"/>
      <c r="Q943" s="731"/>
      <c r="R943" s="734"/>
      <c r="S943" s="731"/>
      <c r="T943" s="731"/>
      <c r="U943" s="734"/>
      <c r="V943" s="731"/>
      <c r="W943" s="731"/>
      <c r="X943" s="734"/>
      <c r="Y943" s="731"/>
      <c r="Z943" s="731"/>
    </row>
    <row r="944">
      <c r="C944" s="734"/>
      <c r="D944" s="731"/>
      <c r="E944" s="731"/>
      <c r="F944" s="734"/>
      <c r="G944" s="731"/>
      <c r="H944" s="731"/>
      <c r="I944" s="734"/>
      <c r="J944" s="731"/>
      <c r="K944" s="731"/>
      <c r="L944" s="734"/>
      <c r="M944" s="731"/>
      <c r="N944" s="731"/>
      <c r="O944" s="730"/>
      <c r="P944" s="731"/>
      <c r="Q944" s="731"/>
      <c r="R944" s="734"/>
      <c r="S944" s="731"/>
      <c r="T944" s="731"/>
      <c r="U944" s="734"/>
      <c r="V944" s="731"/>
      <c r="W944" s="731"/>
      <c r="X944" s="734"/>
      <c r="Y944" s="731"/>
      <c r="Z944" s="731"/>
    </row>
    <row r="945">
      <c r="C945" s="734"/>
      <c r="D945" s="731"/>
      <c r="E945" s="731"/>
      <c r="F945" s="734"/>
      <c r="G945" s="731"/>
      <c r="H945" s="731"/>
      <c r="I945" s="734"/>
      <c r="J945" s="731"/>
      <c r="K945" s="731"/>
      <c r="L945" s="734"/>
      <c r="M945" s="731"/>
      <c r="N945" s="731"/>
      <c r="O945" s="730"/>
      <c r="P945" s="731"/>
      <c r="Q945" s="731"/>
      <c r="R945" s="734"/>
      <c r="S945" s="731"/>
      <c r="T945" s="731"/>
      <c r="U945" s="734"/>
      <c r="V945" s="731"/>
      <c r="W945" s="731"/>
      <c r="X945" s="734"/>
      <c r="Y945" s="731"/>
      <c r="Z945" s="731"/>
    </row>
    <row r="946">
      <c r="C946" s="734"/>
      <c r="D946" s="731"/>
      <c r="E946" s="731"/>
      <c r="F946" s="734"/>
      <c r="G946" s="731"/>
      <c r="H946" s="731"/>
      <c r="I946" s="734"/>
      <c r="J946" s="731"/>
      <c r="K946" s="731"/>
      <c r="L946" s="734"/>
      <c r="M946" s="731"/>
      <c r="N946" s="731"/>
      <c r="O946" s="730"/>
      <c r="P946" s="731"/>
      <c r="Q946" s="731"/>
      <c r="R946" s="734"/>
      <c r="S946" s="731"/>
      <c r="T946" s="731"/>
      <c r="U946" s="734"/>
      <c r="V946" s="731"/>
      <c r="W946" s="731"/>
      <c r="X946" s="734"/>
      <c r="Y946" s="731"/>
      <c r="Z946" s="731"/>
    </row>
    <row r="947">
      <c r="C947" s="734"/>
      <c r="D947" s="731"/>
      <c r="E947" s="731"/>
      <c r="F947" s="734"/>
      <c r="G947" s="731"/>
      <c r="H947" s="731"/>
      <c r="I947" s="734"/>
      <c r="J947" s="731"/>
      <c r="K947" s="731"/>
      <c r="L947" s="734"/>
      <c r="M947" s="731"/>
      <c r="N947" s="731"/>
      <c r="O947" s="730"/>
      <c r="P947" s="731"/>
      <c r="Q947" s="731"/>
      <c r="R947" s="734"/>
      <c r="S947" s="731"/>
      <c r="T947" s="731"/>
      <c r="U947" s="734"/>
      <c r="V947" s="731"/>
      <c r="W947" s="731"/>
      <c r="X947" s="734"/>
      <c r="Y947" s="731"/>
      <c r="Z947" s="731"/>
    </row>
    <row r="948">
      <c r="C948" s="734"/>
      <c r="D948" s="731"/>
      <c r="E948" s="731"/>
      <c r="F948" s="734"/>
      <c r="G948" s="731"/>
      <c r="H948" s="731"/>
      <c r="I948" s="734"/>
      <c r="J948" s="731"/>
      <c r="K948" s="731"/>
      <c r="L948" s="734"/>
      <c r="M948" s="731"/>
      <c r="N948" s="731"/>
      <c r="O948" s="730"/>
      <c r="P948" s="731"/>
      <c r="Q948" s="731"/>
      <c r="R948" s="734"/>
      <c r="S948" s="731"/>
      <c r="T948" s="731"/>
      <c r="U948" s="734"/>
      <c r="V948" s="731"/>
      <c r="W948" s="731"/>
      <c r="X948" s="734"/>
      <c r="Y948" s="731"/>
      <c r="Z948" s="731"/>
    </row>
    <row r="949">
      <c r="C949" s="734"/>
      <c r="D949" s="731"/>
      <c r="E949" s="731"/>
      <c r="F949" s="734"/>
      <c r="G949" s="731"/>
      <c r="H949" s="731"/>
      <c r="I949" s="734"/>
      <c r="J949" s="731"/>
      <c r="K949" s="731"/>
      <c r="L949" s="734"/>
      <c r="M949" s="731"/>
      <c r="N949" s="731"/>
      <c r="O949" s="730"/>
      <c r="P949" s="731"/>
      <c r="Q949" s="731"/>
      <c r="R949" s="734"/>
      <c r="S949" s="731"/>
      <c r="T949" s="731"/>
      <c r="U949" s="734"/>
      <c r="V949" s="731"/>
      <c r="W949" s="731"/>
      <c r="X949" s="734"/>
      <c r="Y949" s="731"/>
      <c r="Z949" s="731"/>
    </row>
    <row r="950">
      <c r="C950" s="734"/>
      <c r="D950" s="731"/>
      <c r="E950" s="731"/>
      <c r="F950" s="734"/>
      <c r="G950" s="731"/>
      <c r="H950" s="731"/>
      <c r="I950" s="734"/>
      <c r="J950" s="731"/>
      <c r="K950" s="731"/>
      <c r="L950" s="734"/>
      <c r="M950" s="731"/>
      <c r="N950" s="731"/>
      <c r="O950" s="730"/>
      <c r="P950" s="731"/>
      <c r="Q950" s="731"/>
      <c r="R950" s="734"/>
      <c r="S950" s="731"/>
      <c r="T950" s="731"/>
      <c r="U950" s="734"/>
      <c r="V950" s="731"/>
      <c r="W950" s="731"/>
      <c r="X950" s="734"/>
      <c r="Y950" s="731"/>
      <c r="Z950" s="731"/>
    </row>
    <row r="951">
      <c r="C951" s="734"/>
      <c r="D951" s="731"/>
      <c r="E951" s="731"/>
      <c r="F951" s="734"/>
      <c r="G951" s="731"/>
      <c r="H951" s="731"/>
      <c r="I951" s="734"/>
      <c r="J951" s="731"/>
      <c r="K951" s="731"/>
      <c r="L951" s="734"/>
      <c r="M951" s="731"/>
      <c r="N951" s="731"/>
      <c r="O951" s="730"/>
      <c r="P951" s="731"/>
      <c r="Q951" s="731"/>
      <c r="R951" s="734"/>
      <c r="S951" s="731"/>
      <c r="T951" s="731"/>
      <c r="U951" s="734"/>
      <c r="V951" s="731"/>
      <c r="W951" s="731"/>
      <c r="X951" s="734"/>
      <c r="Y951" s="731"/>
      <c r="Z951" s="731"/>
    </row>
    <row r="952">
      <c r="C952" s="734"/>
      <c r="D952" s="731"/>
      <c r="E952" s="731"/>
      <c r="F952" s="734"/>
      <c r="G952" s="731"/>
      <c r="H952" s="731"/>
      <c r="I952" s="734"/>
      <c r="J952" s="731"/>
      <c r="K952" s="731"/>
      <c r="L952" s="734"/>
      <c r="M952" s="731"/>
      <c r="N952" s="731"/>
      <c r="O952" s="730"/>
      <c r="P952" s="731"/>
      <c r="Q952" s="731"/>
      <c r="R952" s="734"/>
      <c r="S952" s="731"/>
      <c r="T952" s="731"/>
      <c r="U952" s="734"/>
      <c r="V952" s="731"/>
      <c r="W952" s="731"/>
      <c r="X952" s="734"/>
      <c r="Y952" s="731"/>
      <c r="Z952" s="731"/>
    </row>
    <row r="953">
      <c r="C953" s="734"/>
      <c r="D953" s="731"/>
      <c r="E953" s="731"/>
      <c r="F953" s="734"/>
      <c r="G953" s="731"/>
      <c r="H953" s="731"/>
      <c r="I953" s="734"/>
      <c r="J953" s="731"/>
      <c r="K953" s="731"/>
      <c r="L953" s="734"/>
      <c r="M953" s="731"/>
      <c r="N953" s="731"/>
      <c r="O953" s="730"/>
      <c r="P953" s="731"/>
      <c r="Q953" s="731"/>
      <c r="R953" s="734"/>
      <c r="S953" s="731"/>
      <c r="T953" s="731"/>
      <c r="U953" s="734"/>
      <c r="V953" s="731"/>
      <c r="W953" s="731"/>
      <c r="X953" s="734"/>
      <c r="Y953" s="731"/>
      <c r="Z953" s="731"/>
    </row>
    <row r="954">
      <c r="C954" s="734"/>
      <c r="D954" s="731"/>
      <c r="E954" s="731"/>
      <c r="F954" s="734"/>
      <c r="G954" s="731"/>
      <c r="H954" s="731"/>
      <c r="I954" s="734"/>
      <c r="J954" s="731"/>
      <c r="K954" s="731"/>
      <c r="L954" s="734"/>
      <c r="M954" s="731"/>
      <c r="N954" s="731"/>
      <c r="O954" s="730"/>
      <c r="P954" s="731"/>
      <c r="Q954" s="731"/>
      <c r="R954" s="734"/>
      <c r="S954" s="731"/>
      <c r="T954" s="731"/>
      <c r="U954" s="734"/>
      <c r="V954" s="731"/>
      <c r="W954" s="731"/>
      <c r="X954" s="734"/>
      <c r="Y954" s="731"/>
      <c r="Z954" s="731"/>
    </row>
    <row r="955">
      <c r="C955" s="734"/>
      <c r="D955" s="731"/>
      <c r="E955" s="731"/>
      <c r="F955" s="734"/>
      <c r="G955" s="731"/>
      <c r="H955" s="731"/>
      <c r="I955" s="734"/>
      <c r="J955" s="731"/>
      <c r="K955" s="731"/>
      <c r="L955" s="734"/>
      <c r="M955" s="731"/>
      <c r="N955" s="731"/>
      <c r="O955" s="730"/>
      <c r="P955" s="731"/>
      <c r="Q955" s="731"/>
      <c r="R955" s="734"/>
      <c r="S955" s="731"/>
      <c r="T955" s="731"/>
      <c r="U955" s="734"/>
      <c r="V955" s="731"/>
      <c r="W955" s="731"/>
      <c r="X955" s="734"/>
      <c r="Y955" s="731"/>
      <c r="Z955" s="731"/>
    </row>
    <row r="956">
      <c r="C956" s="734"/>
      <c r="D956" s="731"/>
      <c r="E956" s="731"/>
      <c r="F956" s="734"/>
      <c r="G956" s="731"/>
      <c r="H956" s="731"/>
      <c r="I956" s="734"/>
      <c r="J956" s="731"/>
      <c r="K956" s="731"/>
      <c r="L956" s="734"/>
      <c r="M956" s="731"/>
      <c r="N956" s="731"/>
      <c r="O956" s="730"/>
      <c r="P956" s="731"/>
      <c r="Q956" s="731"/>
      <c r="R956" s="734"/>
      <c r="S956" s="731"/>
      <c r="T956" s="731"/>
      <c r="U956" s="734"/>
      <c r="V956" s="731"/>
      <c r="W956" s="731"/>
      <c r="X956" s="734"/>
      <c r="Y956" s="731"/>
      <c r="Z956" s="731"/>
    </row>
    <row r="957">
      <c r="C957" s="734"/>
      <c r="D957" s="731"/>
      <c r="E957" s="731"/>
      <c r="F957" s="734"/>
      <c r="G957" s="731"/>
      <c r="H957" s="731"/>
      <c r="I957" s="734"/>
      <c r="J957" s="731"/>
      <c r="K957" s="731"/>
      <c r="L957" s="734"/>
      <c r="M957" s="731"/>
      <c r="N957" s="731"/>
      <c r="O957" s="730"/>
      <c r="P957" s="731"/>
      <c r="Q957" s="731"/>
      <c r="R957" s="734"/>
      <c r="S957" s="731"/>
      <c r="T957" s="731"/>
      <c r="U957" s="734"/>
      <c r="V957" s="731"/>
      <c r="W957" s="731"/>
      <c r="X957" s="734"/>
      <c r="Y957" s="731"/>
      <c r="Z957" s="731"/>
    </row>
    <row r="958">
      <c r="C958" s="734"/>
      <c r="D958" s="731"/>
      <c r="E958" s="731"/>
      <c r="F958" s="734"/>
      <c r="G958" s="731"/>
      <c r="H958" s="731"/>
      <c r="I958" s="734"/>
      <c r="J958" s="731"/>
      <c r="K958" s="731"/>
      <c r="L958" s="734"/>
      <c r="M958" s="731"/>
      <c r="N958" s="731"/>
      <c r="O958" s="730"/>
      <c r="P958" s="731"/>
      <c r="Q958" s="731"/>
      <c r="R958" s="734"/>
      <c r="S958" s="731"/>
      <c r="T958" s="731"/>
      <c r="U958" s="734"/>
      <c r="V958" s="731"/>
      <c r="W958" s="731"/>
      <c r="X958" s="734"/>
      <c r="Y958" s="731"/>
      <c r="Z958" s="731"/>
    </row>
    <row r="959">
      <c r="C959" s="734"/>
      <c r="D959" s="731"/>
      <c r="E959" s="731"/>
      <c r="F959" s="734"/>
      <c r="G959" s="731"/>
      <c r="H959" s="731"/>
      <c r="I959" s="734"/>
      <c r="J959" s="731"/>
      <c r="K959" s="731"/>
      <c r="L959" s="734"/>
      <c r="M959" s="731"/>
      <c r="N959" s="731"/>
      <c r="O959" s="730"/>
      <c r="P959" s="731"/>
      <c r="Q959" s="731"/>
      <c r="R959" s="734"/>
      <c r="S959" s="731"/>
      <c r="T959" s="731"/>
      <c r="U959" s="734"/>
      <c r="V959" s="731"/>
      <c r="W959" s="731"/>
      <c r="X959" s="734"/>
      <c r="Y959" s="731"/>
      <c r="Z959" s="731"/>
    </row>
    <row r="960">
      <c r="C960" s="734"/>
      <c r="D960" s="731"/>
      <c r="E960" s="731"/>
      <c r="F960" s="734"/>
      <c r="G960" s="731"/>
      <c r="H960" s="731"/>
      <c r="I960" s="734"/>
      <c r="J960" s="731"/>
      <c r="K960" s="731"/>
      <c r="L960" s="734"/>
      <c r="M960" s="731"/>
      <c r="N960" s="731"/>
      <c r="O960" s="730"/>
      <c r="P960" s="731"/>
      <c r="Q960" s="731"/>
      <c r="R960" s="734"/>
      <c r="S960" s="731"/>
      <c r="T960" s="731"/>
      <c r="U960" s="734"/>
      <c r="V960" s="731"/>
      <c r="W960" s="731"/>
      <c r="X960" s="734"/>
      <c r="Y960" s="731"/>
      <c r="Z960" s="731"/>
    </row>
    <row r="961">
      <c r="C961" s="734"/>
      <c r="D961" s="731"/>
      <c r="E961" s="731"/>
      <c r="F961" s="734"/>
      <c r="G961" s="731"/>
      <c r="H961" s="731"/>
      <c r="I961" s="734"/>
      <c r="J961" s="731"/>
      <c r="K961" s="731"/>
      <c r="L961" s="734"/>
      <c r="M961" s="731"/>
      <c r="N961" s="731"/>
      <c r="O961" s="730"/>
      <c r="P961" s="731"/>
      <c r="Q961" s="731"/>
      <c r="R961" s="734"/>
      <c r="S961" s="731"/>
      <c r="T961" s="731"/>
      <c r="U961" s="734"/>
      <c r="V961" s="731"/>
      <c r="W961" s="731"/>
      <c r="X961" s="734"/>
      <c r="Y961" s="731"/>
      <c r="Z961" s="731"/>
    </row>
    <row r="962">
      <c r="C962" s="734"/>
      <c r="D962" s="731"/>
      <c r="E962" s="731"/>
      <c r="F962" s="734"/>
      <c r="G962" s="731"/>
      <c r="H962" s="731"/>
      <c r="I962" s="734"/>
      <c r="J962" s="731"/>
      <c r="K962" s="731"/>
      <c r="L962" s="734"/>
      <c r="M962" s="731"/>
      <c r="N962" s="731"/>
      <c r="O962" s="730"/>
      <c r="P962" s="731"/>
      <c r="Q962" s="731"/>
      <c r="R962" s="734"/>
      <c r="S962" s="731"/>
      <c r="T962" s="731"/>
      <c r="U962" s="734"/>
      <c r="V962" s="731"/>
      <c r="W962" s="731"/>
      <c r="X962" s="734"/>
      <c r="Y962" s="731"/>
      <c r="Z962" s="731"/>
    </row>
    <row r="963">
      <c r="C963" s="734"/>
      <c r="D963" s="731"/>
      <c r="E963" s="731"/>
      <c r="F963" s="734"/>
      <c r="G963" s="731"/>
      <c r="H963" s="731"/>
      <c r="I963" s="734"/>
      <c r="J963" s="731"/>
      <c r="K963" s="731"/>
      <c r="L963" s="734"/>
      <c r="M963" s="731"/>
      <c r="N963" s="731"/>
      <c r="O963" s="730"/>
      <c r="P963" s="731"/>
      <c r="Q963" s="731"/>
      <c r="R963" s="734"/>
      <c r="S963" s="731"/>
      <c r="T963" s="731"/>
      <c r="U963" s="734"/>
      <c r="V963" s="731"/>
      <c r="W963" s="731"/>
      <c r="X963" s="734"/>
      <c r="Y963" s="731"/>
      <c r="Z963" s="731"/>
    </row>
    <row r="964">
      <c r="C964" s="734"/>
      <c r="D964" s="731"/>
      <c r="E964" s="731"/>
      <c r="F964" s="734"/>
      <c r="G964" s="731"/>
      <c r="H964" s="731"/>
      <c r="I964" s="734"/>
      <c r="J964" s="731"/>
      <c r="K964" s="731"/>
      <c r="L964" s="734"/>
      <c r="M964" s="731"/>
      <c r="N964" s="731"/>
      <c r="O964" s="730"/>
      <c r="P964" s="731"/>
      <c r="Q964" s="731"/>
      <c r="R964" s="734"/>
      <c r="S964" s="731"/>
      <c r="T964" s="731"/>
      <c r="U964" s="734"/>
      <c r="V964" s="731"/>
      <c r="W964" s="731"/>
      <c r="X964" s="734"/>
      <c r="Y964" s="731"/>
      <c r="Z964" s="731"/>
    </row>
    <row r="965">
      <c r="C965" s="734"/>
      <c r="D965" s="731"/>
      <c r="E965" s="731"/>
      <c r="F965" s="734"/>
      <c r="G965" s="731"/>
      <c r="H965" s="731"/>
      <c r="I965" s="734"/>
      <c r="J965" s="731"/>
      <c r="K965" s="731"/>
      <c r="L965" s="734"/>
      <c r="M965" s="731"/>
      <c r="N965" s="731"/>
      <c r="O965" s="730"/>
      <c r="P965" s="731"/>
      <c r="Q965" s="731"/>
      <c r="R965" s="734"/>
      <c r="S965" s="731"/>
      <c r="T965" s="731"/>
      <c r="U965" s="734"/>
      <c r="V965" s="731"/>
      <c r="W965" s="731"/>
      <c r="X965" s="734"/>
      <c r="Y965" s="731"/>
      <c r="Z965" s="731"/>
    </row>
    <row r="966">
      <c r="C966" s="734"/>
      <c r="D966" s="731"/>
      <c r="E966" s="731"/>
      <c r="F966" s="734"/>
      <c r="G966" s="731"/>
      <c r="H966" s="731"/>
      <c r="I966" s="734"/>
      <c r="J966" s="731"/>
      <c r="K966" s="731"/>
      <c r="L966" s="734"/>
      <c r="M966" s="731"/>
      <c r="N966" s="731"/>
      <c r="O966" s="730"/>
      <c r="P966" s="731"/>
      <c r="Q966" s="731"/>
      <c r="R966" s="734"/>
      <c r="S966" s="731"/>
      <c r="T966" s="731"/>
      <c r="U966" s="734"/>
      <c r="V966" s="731"/>
      <c r="W966" s="731"/>
      <c r="X966" s="734"/>
      <c r="Y966" s="731"/>
      <c r="Z966" s="731"/>
    </row>
    <row r="967">
      <c r="C967" s="734"/>
      <c r="D967" s="731"/>
      <c r="E967" s="731"/>
      <c r="F967" s="734"/>
      <c r="G967" s="731"/>
      <c r="H967" s="731"/>
      <c r="I967" s="734"/>
      <c r="J967" s="731"/>
      <c r="K967" s="731"/>
      <c r="L967" s="734"/>
      <c r="M967" s="731"/>
      <c r="N967" s="731"/>
      <c r="O967" s="730"/>
      <c r="P967" s="731"/>
      <c r="Q967" s="731"/>
      <c r="R967" s="734"/>
      <c r="S967" s="731"/>
      <c r="T967" s="731"/>
      <c r="U967" s="734"/>
      <c r="V967" s="731"/>
      <c r="W967" s="731"/>
      <c r="X967" s="734"/>
      <c r="Y967" s="731"/>
      <c r="Z967" s="731"/>
    </row>
    <row r="968">
      <c r="C968" s="734"/>
      <c r="D968" s="731"/>
      <c r="E968" s="731"/>
      <c r="F968" s="734"/>
      <c r="G968" s="731"/>
      <c r="H968" s="731"/>
      <c r="I968" s="734"/>
      <c r="J968" s="731"/>
      <c r="K968" s="731"/>
      <c r="L968" s="734"/>
      <c r="M968" s="731"/>
      <c r="N968" s="731"/>
      <c r="O968" s="730"/>
      <c r="P968" s="731"/>
      <c r="Q968" s="731"/>
      <c r="R968" s="734"/>
      <c r="S968" s="731"/>
      <c r="T968" s="731"/>
      <c r="U968" s="734"/>
      <c r="V968" s="731"/>
      <c r="W968" s="731"/>
      <c r="X968" s="734"/>
      <c r="Y968" s="731"/>
      <c r="Z968" s="731"/>
    </row>
    <row r="969">
      <c r="C969" s="734"/>
      <c r="D969" s="731"/>
      <c r="E969" s="731"/>
      <c r="F969" s="734"/>
      <c r="G969" s="731"/>
      <c r="H969" s="731"/>
      <c r="I969" s="734"/>
      <c r="J969" s="731"/>
      <c r="K969" s="731"/>
      <c r="L969" s="734"/>
      <c r="M969" s="731"/>
      <c r="N969" s="731"/>
      <c r="O969" s="730"/>
      <c r="P969" s="731"/>
      <c r="Q969" s="731"/>
      <c r="R969" s="734"/>
      <c r="S969" s="731"/>
      <c r="T969" s="731"/>
      <c r="U969" s="734"/>
      <c r="V969" s="731"/>
      <c r="W969" s="731"/>
      <c r="X969" s="734"/>
      <c r="Y969" s="731"/>
      <c r="Z969" s="731"/>
    </row>
    <row r="970">
      <c r="C970" s="734"/>
      <c r="D970" s="731"/>
      <c r="E970" s="731"/>
      <c r="F970" s="734"/>
      <c r="G970" s="731"/>
      <c r="H970" s="731"/>
      <c r="I970" s="734"/>
      <c r="J970" s="731"/>
      <c r="K970" s="731"/>
      <c r="L970" s="734"/>
      <c r="M970" s="731"/>
      <c r="N970" s="731"/>
      <c r="O970" s="730"/>
      <c r="P970" s="731"/>
      <c r="Q970" s="731"/>
      <c r="R970" s="734"/>
      <c r="S970" s="731"/>
      <c r="T970" s="731"/>
      <c r="U970" s="734"/>
      <c r="V970" s="731"/>
      <c r="W970" s="731"/>
      <c r="X970" s="734"/>
      <c r="Y970" s="731"/>
      <c r="Z970" s="731"/>
    </row>
    <row r="971">
      <c r="C971" s="734"/>
      <c r="D971" s="731"/>
      <c r="E971" s="731"/>
      <c r="F971" s="734"/>
      <c r="G971" s="731"/>
      <c r="H971" s="731"/>
      <c r="I971" s="734"/>
      <c r="J971" s="731"/>
      <c r="K971" s="731"/>
      <c r="L971" s="734"/>
      <c r="M971" s="731"/>
      <c r="N971" s="731"/>
      <c r="O971" s="730"/>
      <c r="P971" s="731"/>
      <c r="Q971" s="731"/>
      <c r="R971" s="734"/>
      <c r="S971" s="731"/>
      <c r="T971" s="731"/>
      <c r="U971" s="734"/>
      <c r="V971" s="731"/>
      <c r="W971" s="731"/>
      <c r="X971" s="734"/>
      <c r="Y971" s="731"/>
      <c r="Z971" s="731"/>
    </row>
    <row r="972">
      <c r="C972" s="734"/>
      <c r="D972" s="731"/>
      <c r="E972" s="731"/>
      <c r="F972" s="734"/>
      <c r="G972" s="731"/>
      <c r="H972" s="731"/>
      <c r="I972" s="734"/>
      <c r="J972" s="731"/>
      <c r="K972" s="731"/>
      <c r="L972" s="734"/>
      <c r="M972" s="731"/>
      <c r="N972" s="731"/>
      <c r="O972" s="730"/>
      <c r="P972" s="731"/>
      <c r="Q972" s="731"/>
      <c r="R972" s="734"/>
      <c r="S972" s="731"/>
      <c r="T972" s="731"/>
      <c r="U972" s="734"/>
      <c r="V972" s="731"/>
      <c r="W972" s="731"/>
      <c r="X972" s="734"/>
      <c r="Y972" s="731"/>
      <c r="Z972" s="731"/>
    </row>
    <row r="973">
      <c r="C973" s="734"/>
      <c r="D973" s="731"/>
      <c r="E973" s="731"/>
      <c r="F973" s="734"/>
      <c r="G973" s="731"/>
      <c r="H973" s="731"/>
      <c r="I973" s="734"/>
      <c r="J973" s="731"/>
      <c r="K973" s="731"/>
      <c r="L973" s="734"/>
      <c r="M973" s="731"/>
      <c r="N973" s="731"/>
      <c r="O973" s="730"/>
      <c r="P973" s="731"/>
      <c r="Q973" s="731"/>
      <c r="R973" s="734"/>
      <c r="S973" s="731"/>
      <c r="T973" s="731"/>
      <c r="U973" s="734"/>
      <c r="V973" s="731"/>
      <c r="W973" s="731"/>
      <c r="X973" s="734"/>
      <c r="Y973" s="731"/>
      <c r="Z973" s="731"/>
    </row>
    <row r="974">
      <c r="C974" s="734"/>
      <c r="D974" s="731"/>
      <c r="E974" s="731"/>
      <c r="F974" s="734"/>
      <c r="G974" s="731"/>
      <c r="H974" s="731"/>
      <c r="I974" s="734"/>
      <c r="J974" s="731"/>
      <c r="K974" s="731"/>
      <c r="L974" s="734"/>
      <c r="M974" s="731"/>
      <c r="N974" s="731"/>
      <c r="O974" s="730"/>
      <c r="P974" s="731"/>
      <c r="Q974" s="731"/>
      <c r="R974" s="734"/>
      <c r="S974" s="731"/>
      <c r="T974" s="731"/>
      <c r="U974" s="734"/>
      <c r="V974" s="731"/>
      <c r="W974" s="731"/>
      <c r="X974" s="734"/>
      <c r="Y974" s="731"/>
      <c r="Z974" s="731"/>
    </row>
    <row r="975">
      <c r="C975" s="734"/>
      <c r="D975" s="731"/>
      <c r="E975" s="731"/>
      <c r="F975" s="734"/>
      <c r="G975" s="731"/>
      <c r="H975" s="731"/>
      <c r="I975" s="734"/>
      <c r="J975" s="731"/>
      <c r="K975" s="731"/>
      <c r="L975" s="734"/>
      <c r="M975" s="731"/>
      <c r="N975" s="731"/>
      <c r="O975" s="730"/>
      <c r="P975" s="731"/>
      <c r="Q975" s="731"/>
      <c r="R975" s="734"/>
      <c r="S975" s="731"/>
      <c r="T975" s="731"/>
      <c r="U975" s="734"/>
      <c r="V975" s="731"/>
      <c r="W975" s="731"/>
      <c r="X975" s="734"/>
      <c r="Y975" s="731"/>
      <c r="Z975" s="731"/>
    </row>
    <row r="976">
      <c r="C976" s="734"/>
      <c r="D976" s="731"/>
      <c r="E976" s="731"/>
      <c r="F976" s="734"/>
      <c r="G976" s="731"/>
      <c r="H976" s="731"/>
      <c r="I976" s="734"/>
      <c r="J976" s="731"/>
      <c r="K976" s="731"/>
      <c r="L976" s="734"/>
      <c r="M976" s="731"/>
      <c r="N976" s="731"/>
      <c r="O976" s="730"/>
      <c r="P976" s="731"/>
      <c r="Q976" s="731"/>
      <c r="R976" s="734"/>
      <c r="S976" s="731"/>
      <c r="T976" s="731"/>
      <c r="U976" s="734"/>
      <c r="V976" s="731"/>
      <c r="W976" s="731"/>
      <c r="X976" s="734"/>
      <c r="Y976" s="731"/>
      <c r="Z976" s="731"/>
    </row>
    <row r="977">
      <c r="C977" s="734"/>
      <c r="D977" s="731"/>
      <c r="E977" s="731"/>
      <c r="F977" s="734"/>
      <c r="G977" s="731"/>
      <c r="H977" s="731"/>
      <c r="I977" s="734"/>
      <c r="J977" s="731"/>
      <c r="K977" s="731"/>
      <c r="L977" s="734"/>
      <c r="M977" s="731"/>
      <c r="N977" s="731"/>
      <c r="O977" s="730"/>
      <c r="P977" s="731"/>
      <c r="Q977" s="731"/>
      <c r="R977" s="734"/>
      <c r="S977" s="731"/>
      <c r="T977" s="731"/>
      <c r="U977" s="734"/>
      <c r="V977" s="731"/>
      <c r="W977" s="731"/>
      <c r="X977" s="734"/>
      <c r="Y977" s="731"/>
      <c r="Z977" s="731"/>
    </row>
    <row r="978">
      <c r="C978" s="734"/>
      <c r="D978" s="731"/>
      <c r="E978" s="731"/>
      <c r="F978" s="734"/>
      <c r="G978" s="731"/>
      <c r="H978" s="731"/>
      <c r="I978" s="734"/>
      <c r="J978" s="731"/>
      <c r="K978" s="731"/>
      <c r="L978" s="734"/>
      <c r="M978" s="731"/>
      <c r="N978" s="731"/>
      <c r="O978" s="730"/>
      <c r="P978" s="731"/>
      <c r="Q978" s="731"/>
      <c r="R978" s="734"/>
      <c r="S978" s="731"/>
      <c r="T978" s="731"/>
      <c r="U978" s="734"/>
      <c r="V978" s="731"/>
      <c r="W978" s="731"/>
      <c r="X978" s="734"/>
      <c r="Y978" s="731"/>
      <c r="Z978" s="731"/>
    </row>
    <row r="979">
      <c r="C979" s="734"/>
      <c r="D979" s="731"/>
      <c r="E979" s="731"/>
      <c r="F979" s="734"/>
      <c r="G979" s="731"/>
      <c r="H979" s="731"/>
      <c r="I979" s="734"/>
      <c r="J979" s="731"/>
      <c r="K979" s="731"/>
      <c r="L979" s="734"/>
      <c r="M979" s="731"/>
      <c r="N979" s="731"/>
      <c r="O979" s="730"/>
      <c r="P979" s="731"/>
      <c r="Q979" s="731"/>
      <c r="R979" s="734"/>
      <c r="S979" s="731"/>
      <c r="T979" s="731"/>
      <c r="U979" s="734"/>
      <c r="V979" s="731"/>
      <c r="W979" s="731"/>
      <c r="X979" s="734"/>
      <c r="Y979" s="731"/>
      <c r="Z979" s="731"/>
    </row>
    <row r="980">
      <c r="C980" s="734"/>
      <c r="D980" s="731"/>
      <c r="E980" s="731"/>
      <c r="F980" s="734"/>
      <c r="G980" s="731"/>
      <c r="H980" s="731"/>
      <c r="I980" s="734"/>
      <c r="J980" s="731"/>
      <c r="K980" s="731"/>
      <c r="L980" s="734"/>
      <c r="M980" s="731"/>
      <c r="N980" s="731"/>
      <c r="O980" s="730"/>
      <c r="P980" s="731"/>
      <c r="Q980" s="731"/>
      <c r="R980" s="734"/>
      <c r="S980" s="731"/>
      <c r="T980" s="731"/>
      <c r="U980" s="734"/>
      <c r="V980" s="731"/>
      <c r="W980" s="731"/>
      <c r="X980" s="734"/>
      <c r="Y980" s="731"/>
      <c r="Z980" s="731"/>
    </row>
    <row r="981">
      <c r="C981" s="734"/>
      <c r="D981" s="731"/>
      <c r="E981" s="731"/>
      <c r="F981" s="734"/>
      <c r="G981" s="731"/>
      <c r="H981" s="731"/>
      <c r="I981" s="734"/>
      <c r="J981" s="731"/>
      <c r="K981" s="731"/>
      <c r="L981" s="734"/>
      <c r="M981" s="731"/>
      <c r="N981" s="731"/>
      <c r="O981" s="730"/>
      <c r="P981" s="731"/>
      <c r="Q981" s="731"/>
      <c r="R981" s="734"/>
      <c r="S981" s="731"/>
      <c r="T981" s="731"/>
      <c r="U981" s="734"/>
      <c r="V981" s="731"/>
      <c r="W981" s="731"/>
      <c r="X981" s="734"/>
      <c r="Y981" s="731"/>
      <c r="Z981" s="731"/>
    </row>
    <row r="982">
      <c r="C982" s="734"/>
      <c r="D982" s="731"/>
      <c r="E982" s="731"/>
      <c r="F982" s="734"/>
      <c r="G982" s="731"/>
      <c r="H982" s="731"/>
      <c r="I982" s="734"/>
      <c r="J982" s="731"/>
      <c r="K982" s="731"/>
      <c r="L982" s="734"/>
      <c r="M982" s="731"/>
      <c r="N982" s="731"/>
      <c r="O982" s="730"/>
      <c r="P982" s="731"/>
      <c r="Q982" s="731"/>
      <c r="R982" s="734"/>
      <c r="S982" s="731"/>
      <c r="T982" s="731"/>
      <c r="U982" s="734"/>
      <c r="V982" s="731"/>
      <c r="W982" s="731"/>
      <c r="X982" s="734"/>
      <c r="Y982" s="731"/>
      <c r="Z982" s="731"/>
    </row>
    <row r="983">
      <c r="C983" s="734"/>
      <c r="D983" s="731"/>
      <c r="E983" s="731"/>
      <c r="F983" s="734"/>
      <c r="G983" s="731"/>
      <c r="H983" s="731"/>
      <c r="I983" s="734"/>
      <c r="J983" s="731"/>
      <c r="K983" s="731"/>
      <c r="L983" s="734"/>
      <c r="M983" s="731"/>
      <c r="N983" s="731"/>
      <c r="O983" s="730"/>
      <c r="P983" s="731"/>
      <c r="Q983" s="731"/>
      <c r="R983" s="734"/>
      <c r="S983" s="731"/>
      <c r="T983" s="731"/>
      <c r="U983" s="734"/>
      <c r="V983" s="731"/>
      <c r="W983" s="731"/>
      <c r="X983" s="734"/>
      <c r="Y983" s="731"/>
      <c r="Z983" s="731"/>
    </row>
    <row r="984">
      <c r="C984" s="734"/>
      <c r="D984" s="731"/>
      <c r="E984" s="731"/>
      <c r="F984" s="734"/>
      <c r="G984" s="731"/>
      <c r="H984" s="731"/>
      <c r="I984" s="734"/>
      <c r="J984" s="731"/>
      <c r="K984" s="731"/>
      <c r="L984" s="734"/>
      <c r="M984" s="731"/>
      <c r="N984" s="731"/>
      <c r="O984" s="730"/>
      <c r="P984" s="731"/>
      <c r="Q984" s="731"/>
      <c r="R984" s="734"/>
      <c r="S984" s="731"/>
      <c r="T984" s="731"/>
      <c r="U984" s="734"/>
      <c r="V984" s="731"/>
      <c r="W984" s="731"/>
      <c r="X984" s="734"/>
      <c r="Y984" s="731"/>
      <c r="Z984" s="731"/>
    </row>
    <row r="985">
      <c r="C985" s="734"/>
      <c r="D985" s="731"/>
      <c r="E985" s="731"/>
      <c r="F985" s="734"/>
      <c r="G985" s="731"/>
      <c r="H985" s="731"/>
      <c r="I985" s="734"/>
      <c r="J985" s="731"/>
      <c r="K985" s="731"/>
      <c r="L985" s="734"/>
      <c r="M985" s="731"/>
      <c r="N985" s="731"/>
      <c r="O985" s="730"/>
      <c r="P985" s="731"/>
      <c r="Q985" s="731"/>
      <c r="R985" s="734"/>
      <c r="S985" s="731"/>
      <c r="T985" s="731"/>
      <c r="U985" s="734"/>
      <c r="V985" s="731"/>
      <c r="W985" s="731"/>
      <c r="X985" s="734"/>
      <c r="Y985" s="731"/>
      <c r="Z985" s="731"/>
    </row>
    <row r="986">
      <c r="C986" s="734"/>
      <c r="D986" s="731"/>
      <c r="E986" s="731"/>
      <c r="F986" s="734"/>
      <c r="G986" s="731"/>
      <c r="H986" s="731"/>
      <c r="I986" s="734"/>
      <c r="J986" s="731"/>
      <c r="K986" s="731"/>
      <c r="L986" s="734"/>
      <c r="M986" s="731"/>
      <c r="N986" s="731"/>
      <c r="O986" s="730"/>
      <c r="P986" s="731"/>
      <c r="Q986" s="731"/>
      <c r="R986" s="734"/>
      <c r="S986" s="731"/>
      <c r="T986" s="731"/>
      <c r="U986" s="734"/>
      <c r="V986" s="731"/>
      <c r="W986" s="731"/>
      <c r="X986" s="734"/>
      <c r="Y986" s="731"/>
      <c r="Z986" s="731"/>
    </row>
    <row r="987">
      <c r="C987" s="734"/>
      <c r="D987" s="731"/>
      <c r="E987" s="731"/>
      <c r="F987" s="734"/>
      <c r="G987" s="731"/>
      <c r="H987" s="731"/>
      <c r="I987" s="734"/>
      <c r="J987" s="731"/>
      <c r="K987" s="731"/>
      <c r="L987" s="734"/>
      <c r="M987" s="731"/>
      <c r="N987" s="731"/>
      <c r="O987" s="730"/>
      <c r="P987" s="731"/>
      <c r="Q987" s="731"/>
      <c r="R987" s="734"/>
      <c r="S987" s="731"/>
      <c r="T987" s="731"/>
      <c r="U987" s="734"/>
      <c r="V987" s="731"/>
      <c r="W987" s="731"/>
      <c r="X987" s="734"/>
      <c r="Y987" s="731"/>
      <c r="Z987" s="731"/>
    </row>
    <row r="988">
      <c r="C988" s="734"/>
      <c r="D988" s="731"/>
      <c r="E988" s="731"/>
      <c r="F988" s="734"/>
      <c r="G988" s="731"/>
      <c r="H988" s="731"/>
      <c r="I988" s="734"/>
      <c r="J988" s="731"/>
      <c r="K988" s="731"/>
      <c r="L988" s="734"/>
      <c r="M988" s="731"/>
      <c r="N988" s="731"/>
      <c r="O988" s="730"/>
      <c r="P988" s="731"/>
      <c r="Q988" s="731"/>
      <c r="R988" s="734"/>
      <c r="S988" s="731"/>
      <c r="T988" s="731"/>
      <c r="U988" s="734"/>
      <c r="V988" s="731"/>
      <c r="W988" s="731"/>
      <c r="X988" s="734"/>
      <c r="Y988" s="731"/>
      <c r="Z988" s="731"/>
    </row>
    <row r="989">
      <c r="C989" s="734"/>
      <c r="D989" s="731"/>
      <c r="E989" s="731"/>
      <c r="F989" s="734"/>
      <c r="G989" s="731"/>
      <c r="H989" s="731"/>
      <c r="I989" s="734"/>
      <c r="J989" s="731"/>
      <c r="K989" s="731"/>
      <c r="L989" s="734"/>
      <c r="M989" s="731"/>
      <c r="N989" s="731"/>
      <c r="O989" s="730"/>
      <c r="P989" s="731"/>
      <c r="Q989" s="731"/>
      <c r="R989" s="734"/>
      <c r="S989" s="731"/>
      <c r="T989" s="731"/>
      <c r="U989" s="734"/>
      <c r="V989" s="731"/>
      <c r="W989" s="731"/>
      <c r="X989" s="734"/>
      <c r="Y989" s="731"/>
      <c r="Z989" s="731"/>
    </row>
    <row r="990">
      <c r="C990" s="734"/>
      <c r="D990" s="731"/>
      <c r="E990" s="731"/>
      <c r="F990" s="734"/>
      <c r="G990" s="731"/>
      <c r="H990" s="731"/>
      <c r="I990" s="734"/>
      <c r="J990" s="731"/>
      <c r="K990" s="731"/>
      <c r="L990" s="734"/>
      <c r="M990" s="731"/>
      <c r="N990" s="731"/>
      <c r="O990" s="730"/>
      <c r="P990" s="731"/>
      <c r="Q990" s="731"/>
      <c r="R990" s="734"/>
      <c r="S990" s="731"/>
      <c r="T990" s="731"/>
      <c r="U990" s="734"/>
      <c r="V990" s="731"/>
      <c r="W990" s="731"/>
      <c r="X990" s="734"/>
      <c r="Y990" s="731"/>
      <c r="Z990" s="731"/>
    </row>
    <row r="991">
      <c r="C991" s="734"/>
      <c r="D991" s="731"/>
      <c r="E991" s="731"/>
      <c r="F991" s="734"/>
      <c r="G991" s="731"/>
      <c r="H991" s="731"/>
      <c r="I991" s="734"/>
      <c r="J991" s="731"/>
      <c r="K991" s="731"/>
      <c r="L991" s="734"/>
      <c r="M991" s="731"/>
      <c r="N991" s="731"/>
      <c r="O991" s="730"/>
      <c r="P991" s="731"/>
      <c r="Q991" s="731"/>
      <c r="R991" s="734"/>
      <c r="S991" s="731"/>
      <c r="T991" s="731"/>
      <c r="U991" s="734"/>
      <c r="V991" s="731"/>
      <c r="W991" s="731"/>
      <c r="X991" s="734"/>
      <c r="Y991" s="731"/>
      <c r="Z991" s="731"/>
    </row>
    <row r="992">
      <c r="C992" s="734"/>
      <c r="D992" s="731"/>
      <c r="E992" s="731"/>
      <c r="F992" s="734"/>
      <c r="G992" s="731"/>
      <c r="H992" s="731"/>
      <c r="I992" s="734"/>
      <c r="J992" s="731"/>
      <c r="K992" s="731"/>
      <c r="L992" s="734"/>
      <c r="M992" s="731"/>
      <c r="N992" s="731"/>
      <c r="O992" s="730"/>
      <c r="P992" s="731"/>
      <c r="Q992" s="731"/>
      <c r="R992" s="734"/>
      <c r="S992" s="731"/>
      <c r="T992" s="731"/>
      <c r="U992" s="734"/>
      <c r="V992" s="731"/>
      <c r="W992" s="731"/>
      <c r="X992" s="734"/>
      <c r="Y992" s="731"/>
      <c r="Z992" s="731"/>
    </row>
    <row r="993">
      <c r="C993" s="734"/>
      <c r="D993" s="731"/>
      <c r="E993" s="731"/>
      <c r="F993" s="734"/>
      <c r="G993" s="731"/>
      <c r="H993" s="731"/>
      <c r="I993" s="734"/>
      <c r="J993" s="731"/>
      <c r="K993" s="731"/>
      <c r="L993" s="734"/>
      <c r="M993" s="731"/>
      <c r="N993" s="731"/>
      <c r="O993" s="730"/>
      <c r="P993" s="731"/>
      <c r="Q993" s="731"/>
      <c r="R993" s="734"/>
      <c r="S993" s="731"/>
      <c r="T993" s="731"/>
      <c r="U993" s="734"/>
      <c r="V993" s="731"/>
      <c r="W993" s="731"/>
      <c r="X993" s="734"/>
      <c r="Y993" s="731"/>
      <c r="Z993" s="731"/>
    </row>
    <row r="994">
      <c r="C994" s="734"/>
      <c r="D994" s="731"/>
      <c r="E994" s="731"/>
      <c r="F994" s="734"/>
      <c r="G994" s="731"/>
      <c r="H994" s="731"/>
      <c r="I994" s="734"/>
      <c r="J994" s="731"/>
      <c r="K994" s="731"/>
      <c r="L994" s="734"/>
      <c r="M994" s="731"/>
      <c r="N994" s="731"/>
      <c r="O994" s="730"/>
      <c r="P994" s="731"/>
      <c r="Q994" s="731"/>
      <c r="R994" s="734"/>
      <c r="S994" s="731"/>
      <c r="T994" s="731"/>
      <c r="U994" s="734"/>
      <c r="V994" s="731"/>
      <c r="W994" s="731"/>
      <c r="X994" s="734"/>
      <c r="Y994" s="731"/>
      <c r="Z994" s="731"/>
    </row>
    <row r="995">
      <c r="C995" s="734"/>
      <c r="D995" s="731"/>
      <c r="E995" s="731"/>
      <c r="F995" s="734"/>
      <c r="G995" s="731"/>
      <c r="H995" s="731"/>
      <c r="I995" s="734"/>
      <c r="J995" s="731"/>
      <c r="K995" s="731"/>
      <c r="L995" s="734"/>
      <c r="M995" s="731"/>
      <c r="N995" s="731"/>
      <c r="O995" s="730"/>
      <c r="P995" s="731"/>
      <c r="Q995" s="731"/>
      <c r="R995" s="734"/>
      <c r="S995" s="731"/>
      <c r="T995" s="731"/>
      <c r="U995" s="734"/>
      <c r="V995" s="731"/>
      <c r="W995" s="731"/>
      <c r="X995" s="734"/>
      <c r="Y995" s="731"/>
      <c r="Z995" s="731"/>
    </row>
    <row r="996">
      <c r="C996" s="734"/>
      <c r="D996" s="731"/>
      <c r="E996" s="731"/>
      <c r="F996" s="734"/>
      <c r="G996" s="731"/>
      <c r="H996" s="731"/>
      <c r="I996" s="734"/>
      <c r="J996" s="731"/>
      <c r="K996" s="731"/>
      <c r="L996" s="734"/>
      <c r="M996" s="731"/>
      <c r="N996" s="731"/>
      <c r="O996" s="730"/>
      <c r="P996" s="731"/>
      <c r="Q996" s="731"/>
      <c r="R996" s="734"/>
      <c r="S996" s="731"/>
      <c r="T996" s="731"/>
      <c r="U996" s="734"/>
      <c r="V996" s="731"/>
      <c r="W996" s="731"/>
      <c r="X996" s="734"/>
      <c r="Y996" s="731"/>
      <c r="Z996" s="731"/>
    </row>
    <row r="997">
      <c r="C997" s="734"/>
      <c r="D997" s="731"/>
      <c r="E997" s="731"/>
      <c r="F997" s="734"/>
      <c r="G997" s="731"/>
      <c r="H997" s="731"/>
      <c r="I997" s="734"/>
      <c r="J997" s="731"/>
      <c r="K997" s="731"/>
      <c r="L997" s="734"/>
      <c r="M997" s="731"/>
      <c r="N997" s="731"/>
      <c r="O997" s="730"/>
      <c r="P997" s="731"/>
      <c r="Q997" s="731"/>
      <c r="R997" s="734"/>
      <c r="S997" s="731"/>
      <c r="T997" s="731"/>
      <c r="U997" s="734"/>
      <c r="V997" s="731"/>
      <c r="W997" s="731"/>
      <c r="X997" s="734"/>
      <c r="Y997" s="731"/>
      <c r="Z997" s="731"/>
    </row>
    <row r="998">
      <c r="C998" s="734"/>
      <c r="D998" s="731"/>
      <c r="E998" s="731"/>
      <c r="F998" s="734"/>
      <c r="G998" s="731"/>
      <c r="H998" s="731"/>
      <c r="I998" s="734"/>
      <c r="J998" s="731"/>
      <c r="K998" s="731"/>
      <c r="L998" s="734"/>
      <c r="M998" s="731"/>
      <c r="N998" s="731"/>
      <c r="O998" s="730"/>
      <c r="P998" s="731"/>
      <c r="Q998" s="731"/>
      <c r="R998" s="734"/>
      <c r="S998" s="731"/>
      <c r="T998" s="731"/>
      <c r="U998" s="734"/>
      <c r="V998" s="731"/>
      <c r="W998" s="731"/>
      <c r="X998" s="734"/>
      <c r="Y998" s="731"/>
      <c r="Z998" s="731"/>
    </row>
    <row r="999">
      <c r="C999" s="734"/>
      <c r="D999" s="731"/>
      <c r="E999" s="731"/>
      <c r="F999" s="734"/>
      <c r="G999" s="731"/>
      <c r="H999" s="731"/>
      <c r="I999" s="734"/>
      <c r="J999" s="731"/>
      <c r="K999" s="731"/>
      <c r="L999" s="734"/>
      <c r="M999" s="731"/>
      <c r="N999" s="731"/>
      <c r="O999" s="730"/>
      <c r="P999" s="731"/>
      <c r="Q999" s="731"/>
      <c r="R999" s="734"/>
      <c r="S999" s="731"/>
      <c r="T999" s="731"/>
      <c r="U999" s="734"/>
      <c r="V999" s="731"/>
      <c r="W999" s="731"/>
      <c r="X999" s="734"/>
      <c r="Y999" s="731"/>
      <c r="Z999" s="731"/>
    </row>
    <row r="1000">
      <c r="C1000" s="734"/>
      <c r="D1000" s="731"/>
      <c r="E1000" s="731"/>
      <c r="F1000" s="734"/>
      <c r="G1000" s="731"/>
      <c r="H1000" s="731"/>
      <c r="I1000" s="734"/>
      <c r="J1000" s="731"/>
      <c r="K1000" s="731"/>
      <c r="L1000" s="734"/>
      <c r="M1000" s="731"/>
      <c r="N1000" s="731"/>
      <c r="O1000" s="730"/>
      <c r="P1000" s="731"/>
      <c r="Q1000" s="731"/>
      <c r="R1000" s="734"/>
      <c r="S1000" s="731"/>
      <c r="T1000" s="731"/>
      <c r="U1000" s="734"/>
      <c r="V1000" s="731"/>
      <c r="W1000" s="731"/>
      <c r="X1000" s="734"/>
      <c r="Y1000" s="731"/>
      <c r="Z1000" s="731"/>
    </row>
    <row r="1001">
      <c r="C1001" s="734"/>
      <c r="D1001" s="731"/>
      <c r="E1001" s="731"/>
      <c r="F1001" s="734"/>
      <c r="G1001" s="731"/>
      <c r="H1001" s="731"/>
      <c r="I1001" s="734"/>
      <c r="J1001" s="731"/>
      <c r="K1001" s="731"/>
      <c r="L1001" s="734"/>
      <c r="M1001" s="731"/>
      <c r="N1001" s="731"/>
      <c r="O1001" s="730"/>
      <c r="P1001" s="731"/>
      <c r="Q1001" s="731"/>
      <c r="R1001" s="734"/>
      <c r="S1001" s="731"/>
      <c r="T1001" s="731"/>
      <c r="U1001" s="734"/>
      <c r="V1001" s="731"/>
      <c r="W1001" s="731"/>
      <c r="X1001" s="734"/>
      <c r="Y1001" s="731"/>
      <c r="Z1001" s="731"/>
    </row>
    <row r="1002">
      <c r="C1002" s="734"/>
      <c r="D1002" s="731"/>
      <c r="E1002" s="731"/>
      <c r="F1002" s="734"/>
      <c r="G1002" s="731"/>
      <c r="H1002" s="731"/>
      <c r="I1002" s="734"/>
      <c r="J1002" s="731"/>
      <c r="K1002" s="731"/>
      <c r="L1002" s="734"/>
      <c r="M1002" s="731"/>
      <c r="N1002" s="731"/>
      <c r="O1002" s="730"/>
      <c r="P1002" s="731"/>
      <c r="Q1002" s="731"/>
      <c r="R1002" s="734"/>
      <c r="S1002" s="731"/>
      <c r="T1002" s="731"/>
      <c r="U1002" s="734"/>
      <c r="V1002" s="731"/>
      <c r="W1002" s="731"/>
      <c r="X1002" s="734"/>
      <c r="Y1002" s="731"/>
      <c r="Z1002" s="731"/>
    </row>
    <row r="1003">
      <c r="C1003" s="734"/>
      <c r="D1003" s="731"/>
      <c r="E1003" s="731"/>
      <c r="F1003" s="734"/>
      <c r="G1003" s="731"/>
      <c r="H1003" s="731"/>
      <c r="I1003" s="734"/>
      <c r="J1003" s="731"/>
      <c r="K1003" s="731"/>
      <c r="L1003" s="734"/>
      <c r="M1003" s="731"/>
      <c r="N1003" s="731"/>
      <c r="O1003" s="730"/>
      <c r="P1003" s="731"/>
      <c r="Q1003" s="731"/>
      <c r="R1003" s="734"/>
      <c r="S1003" s="731"/>
      <c r="T1003" s="731"/>
      <c r="U1003" s="734"/>
      <c r="V1003" s="731"/>
      <c r="W1003" s="731"/>
      <c r="X1003" s="734"/>
      <c r="Y1003" s="731"/>
      <c r="Z1003" s="731"/>
    </row>
    <row r="1004">
      <c r="C1004" s="734"/>
      <c r="D1004" s="731"/>
      <c r="E1004" s="731"/>
      <c r="F1004" s="734"/>
      <c r="G1004" s="731"/>
      <c r="H1004" s="731"/>
      <c r="I1004" s="734"/>
      <c r="J1004" s="731"/>
      <c r="K1004" s="731"/>
      <c r="L1004" s="734"/>
      <c r="M1004" s="731"/>
      <c r="N1004" s="731"/>
      <c r="O1004" s="730"/>
      <c r="P1004" s="731"/>
      <c r="Q1004" s="731"/>
      <c r="R1004" s="734"/>
      <c r="S1004" s="731"/>
      <c r="T1004" s="731"/>
      <c r="U1004" s="734"/>
      <c r="V1004" s="731"/>
      <c r="W1004" s="731"/>
      <c r="X1004" s="734"/>
      <c r="Y1004" s="731"/>
      <c r="Z1004" s="731"/>
    </row>
    <row r="1005">
      <c r="C1005" s="734"/>
      <c r="D1005" s="731"/>
      <c r="E1005" s="731"/>
      <c r="F1005" s="734"/>
      <c r="G1005" s="731"/>
      <c r="H1005" s="731"/>
      <c r="I1005" s="734"/>
      <c r="J1005" s="731"/>
      <c r="K1005" s="731"/>
      <c r="L1005" s="734"/>
      <c r="M1005" s="731"/>
      <c r="N1005" s="731"/>
      <c r="O1005" s="730"/>
      <c r="P1005" s="731"/>
      <c r="Q1005" s="731"/>
      <c r="R1005" s="734"/>
      <c r="S1005" s="731"/>
      <c r="T1005" s="731"/>
      <c r="U1005" s="734"/>
      <c r="V1005" s="731"/>
      <c r="W1005" s="731"/>
      <c r="X1005" s="734"/>
      <c r="Y1005" s="731"/>
      <c r="Z1005" s="731"/>
    </row>
    <row r="1006">
      <c r="C1006" s="734"/>
      <c r="D1006" s="731"/>
      <c r="E1006" s="731"/>
      <c r="F1006" s="734"/>
      <c r="G1006" s="731"/>
      <c r="H1006" s="731"/>
      <c r="I1006" s="734"/>
      <c r="J1006" s="731"/>
      <c r="K1006" s="731"/>
      <c r="L1006" s="734"/>
      <c r="M1006" s="731"/>
      <c r="N1006" s="731"/>
      <c r="O1006" s="730"/>
      <c r="P1006" s="731"/>
      <c r="Q1006" s="731"/>
      <c r="R1006" s="734"/>
      <c r="S1006" s="731"/>
      <c r="T1006" s="731"/>
      <c r="U1006" s="734"/>
      <c r="V1006" s="731"/>
      <c r="W1006" s="731"/>
      <c r="X1006" s="734"/>
      <c r="Y1006" s="731"/>
      <c r="Z1006" s="731"/>
    </row>
    <row r="1007">
      <c r="C1007" s="734"/>
      <c r="D1007" s="731"/>
      <c r="E1007" s="731"/>
      <c r="F1007" s="734"/>
      <c r="G1007" s="731"/>
      <c r="H1007" s="731"/>
      <c r="I1007" s="734"/>
      <c r="J1007" s="731"/>
      <c r="K1007" s="731"/>
      <c r="L1007" s="734"/>
      <c r="M1007" s="731"/>
      <c r="N1007" s="731"/>
      <c r="O1007" s="730"/>
      <c r="P1007" s="731"/>
      <c r="Q1007" s="731"/>
      <c r="R1007" s="734"/>
      <c r="S1007" s="731"/>
      <c r="T1007" s="731"/>
      <c r="U1007" s="734"/>
      <c r="V1007" s="731"/>
      <c r="W1007" s="731"/>
      <c r="X1007" s="734"/>
      <c r="Y1007" s="731"/>
      <c r="Z1007" s="731"/>
    </row>
    <row r="1008">
      <c r="C1008" s="734"/>
      <c r="D1008" s="731"/>
      <c r="E1008" s="731"/>
      <c r="F1008" s="734"/>
      <c r="G1008" s="731"/>
      <c r="H1008" s="731"/>
      <c r="I1008" s="734"/>
      <c r="J1008" s="731"/>
      <c r="K1008" s="731"/>
      <c r="L1008" s="734"/>
      <c r="M1008" s="731"/>
      <c r="N1008" s="731"/>
      <c r="O1008" s="730"/>
      <c r="P1008" s="731"/>
      <c r="Q1008" s="731"/>
      <c r="R1008" s="734"/>
      <c r="S1008" s="731"/>
      <c r="T1008" s="731"/>
      <c r="U1008" s="734"/>
      <c r="V1008" s="731"/>
      <c r="W1008" s="731"/>
      <c r="X1008" s="734"/>
      <c r="Y1008" s="731"/>
      <c r="Z1008" s="731"/>
    </row>
    <row r="1009">
      <c r="C1009" s="734"/>
      <c r="D1009" s="731"/>
      <c r="E1009" s="731"/>
      <c r="F1009" s="734"/>
      <c r="G1009" s="731"/>
      <c r="H1009" s="731"/>
      <c r="I1009" s="734"/>
      <c r="J1009" s="731"/>
      <c r="K1009" s="731"/>
      <c r="L1009" s="734"/>
      <c r="M1009" s="731"/>
      <c r="N1009" s="731"/>
      <c r="O1009" s="730"/>
      <c r="P1009" s="731"/>
      <c r="Q1009" s="731"/>
      <c r="R1009" s="734"/>
      <c r="S1009" s="731"/>
      <c r="T1009" s="731"/>
      <c r="U1009" s="734"/>
      <c r="V1009" s="731"/>
      <c r="W1009" s="731"/>
      <c r="X1009" s="734"/>
      <c r="Y1009" s="731"/>
      <c r="Z1009" s="731"/>
    </row>
    <row r="1010">
      <c r="C1010" s="734"/>
      <c r="D1010" s="731"/>
      <c r="E1010" s="731"/>
      <c r="F1010" s="734"/>
      <c r="G1010" s="731"/>
      <c r="H1010" s="731"/>
      <c r="I1010" s="734"/>
      <c r="J1010" s="731"/>
      <c r="K1010" s="731"/>
      <c r="L1010" s="734"/>
      <c r="M1010" s="731"/>
      <c r="N1010" s="731"/>
      <c r="O1010" s="730"/>
      <c r="P1010" s="731"/>
      <c r="Q1010" s="731"/>
      <c r="R1010" s="734"/>
      <c r="S1010" s="731"/>
      <c r="T1010" s="731"/>
      <c r="U1010" s="734"/>
      <c r="V1010" s="731"/>
      <c r="W1010" s="731"/>
      <c r="X1010" s="734"/>
      <c r="Y1010" s="731"/>
      <c r="Z1010" s="731"/>
    </row>
    <row r="1011">
      <c r="C1011" s="734"/>
      <c r="D1011" s="731"/>
      <c r="E1011" s="731"/>
      <c r="F1011" s="734"/>
      <c r="G1011" s="731"/>
      <c r="H1011" s="731"/>
      <c r="I1011" s="734"/>
      <c r="J1011" s="731"/>
      <c r="K1011" s="731"/>
      <c r="L1011" s="734"/>
      <c r="M1011" s="731"/>
      <c r="N1011" s="731"/>
      <c r="O1011" s="730"/>
      <c r="P1011" s="731"/>
      <c r="Q1011" s="731"/>
      <c r="R1011" s="734"/>
      <c r="S1011" s="731"/>
      <c r="T1011" s="731"/>
      <c r="U1011" s="734"/>
      <c r="V1011" s="731"/>
      <c r="W1011" s="731"/>
      <c r="X1011" s="734"/>
      <c r="Y1011" s="731"/>
      <c r="Z1011" s="731"/>
    </row>
    <row r="1012">
      <c r="C1012" s="734"/>
      <c r="D1012" s="731"/>
      <c r="E1012" s="731"/>
      <c r="F1012" s="734"/>
      <c r="G1012" s="731"/>
      <c r="H1012" s="731"/>
      <c r="I1012" s="734"/>
      <c r="J1012" s="731"/>
      <c r="K1012" s="731"/>
      <c r="L1012" s="734"/>
      <c r="M1012" s="731"/>
      <c r="N1012" s="731"/>
      <c r="O1012" s="730"/>
      <c r="P1012" s="731"/>
      <c r="Q1012" s="731"/>
      <c r="R1012" s="734"/>
      <c r="S1012" s="731"/>
      <c r="T1012" s="731"/>
      <c r="U1012" s="734"/>
      <c r="V1012" s="731"/>
      <c r="W1012" s="731"/>
      <c r="X1012" s="734"/>
      <c r="Y1012" s="731"/>
      <c r="Z1012" s="731"/>
    </row>
    <row r="1013">
      <c r="C1013" s="734"/>
      <c r="D1013" s="731"/>
      <c r="E1013" s="731"/>
      <c r="F1013" s="734"/>
      <c r="G1013" s="731"/>
      <c r="H1013" s="731"/>
      <c r="I1013" s="734"/>
      <c r="J1013" s="731"/>
      <c r="K1013" s="731"/>
      <c r="L1013" s="734"/>
      <c r="M1013" s="731"/>
      <c r="N1013" s="731"/>
      <c r="O1013" s="730"/>
      <c r="P1013" s="731"/>
      <c r="Q1013" s="731"/>
      <c r="R1013" s="734"/>
      <c r="S1013" s="731"/>
      <c r="T1013" s="731"/>
      <c r="U1013" s="734"/>
      <c r="V1013" s="731"/>
      <c r="W1013" s="731"/>
      <c r="X1013" s="734"/>
      <c r="Y1013" s="731"/>
      <c r="Z1013" s="731"/>
    </row>
    <row r="1014">
      <c r="C1014" s="734"/>
      <c r="D1014" s="731"/>
      <c r="E1014" s="731"/>
      <c r="F1014" s="734"/>
      <c r="G1014" s="731"/>
      <c r="H1014" s="731"/>
      <c r="I1014" s="734"/>
      <c r="J1014" s="731"/>
      <c r="K1014" s="731"/>
      <c r="L1014" s="734"/>
      <c r="M1014" s="731"/>
      <c r="N1014" s="731"/>
      <c r="O1014" s="730"/>
      <c r="P1014" s="731"/>
      <c r="Q1014" s="731"/>
      <c r="R1014" s="734"/>
      <c r="S1014" s="731"/>
      <c r="T1014" s="731"/>
      <c r="U1014" s="734"/>
      <c r="V1014" s="731"/>
      <c r="W1014" s="731"/>
      <c r="X1014" s="734"/>
      <c r="Y1014" s="731"/>
      <c r="Z1014" s="731"/>
    </row>
    <row r="1015">
      <c r="C1015" s="734"/>
      <c r="D1015" s="731"/>
      <c r="E1015" s="731"/>
      <c r="F1015" s="734"/>
      <c r="G1015" s="731"/>
      <c r="H1015" s="731"/>
      <c r="I1015" s="734"/>
      <c r="J1015" s="731"/>
      <c r="K1015" s="731"/>
      <c r="L1015" s="734"/>
      <c r="M1015" s="731"/>
      <c r="N1015" s="731"/>
      <c r="O1015" s="730"/>
      <c r="P1015" s="731"/>
      <c r="Q1015" s="731"/>
      <c r="R1015" s="734"/>
      <c r="S1015" s="731"/>
      <c r="T1015" s="731"/>
      <c r="U1015" s="734"/>
      <c r="V1015" s="731"/>
      <c r="W1015" s="731"/>
      <c r="X1015" s="734"/>
      <c r="Y1015" s="731"/>
      <c r="Z1015" s="731"/>
    </row>
    <row r="1016">
      <c r="C1016" s="734"/>
      <c r="D1016" s="731"/>
      <c r="E1016" s="731"/>
      <c r="F1016" s="734"/>
      <c r="G1016" s="731"/>
      <c r="H1016" s="731"/>
      <c r="I1016" s="734"/>
      <c r="J1016" s="731"/>
      <c r="K1016" s="731"/>
      <c r="L1016" s="734"/>
      <c r="M1016" s="731"/>
      <c r="N1016" s="731"/>
      <c r="O1016" s="730"/>
      <c r="P1016" s="731"/>
      <c r="Q1016" s="731"/>
      <c r="R1016" s="734"/>
      <c r="S1016" s="731"/>
      <c r="T1016" s="731"/>
      <c r="U1016" s="734"/>
      <c r="V1016" s="731"/>
      <c r="W1016" s="731"/>
      <c r="X1016" s="734"/>
      <c r="Y1016" s="731"/>
      <c r="Z1016" s="731"/>
    </row>
    <row r="1017">
      <c r="C1017" s="734"/>
      <c r="D1017" s="731"/>
      <c r="E1017" s="731"/>
      <c r="F1017" s="734"/>
      <c r="G1017" s="731"/>
      <c r="H1017" s="731"/>
      <c r="I1017" s="734"/>
      <c r="J1017" s="731"/>
      <c r="K1017" s="731"/>
      <c r="L1017" s="734"/>
      <c r="M1017" s="731"/>
      <c r="N1017" s="731"/>
      <c r="O1017" s="730"/>
      <c r="P1017" s="731"/>
      <c r="Q1017" s="731"/>
      <c r="R1017" s="734"/>
      <c r="S1017" s="731"/>
      <c r="T1017" s="731"/>
      <c r="U1017" s="734"/>
      <c r="V1017" s="731"/>
      <c r="W1017" s="731"/>
      <c r="X1017" s="734"/>
      <c r="Y1017" s="731"/>
      <c r="Z1017" s="731"/>
    </row>
    <row r="1018">
      <c r="C1018" s="734"/>
      <c r="D1018" s="731"/>
      <c r="E1018" s="731"/>
      <c r="F1018" s="734"/>
      <c r="G1018" s="731"/>
      <c r="H1018" s="731"/>
      <c r="I1018" s="734"/>
      <c r="J1018" s="731"/>
      <c r="K1018" s="731"/>
      <c r="L1018" s="734"/>
      <c r="M1018" s="731"/>
      <c r="N1018" s="731"/>
      <c r="O1018" s="730"/>
      <c r="P1018" s="731"/>
      <c r="Q1018" s="731"/>
      <c r="R1018" s="734"/>
      <c r="S1018" s="731"/>
      <c r="T1018" s="731"/>
      <c r="U1018" s="734"/>
      <c r="V1018" s="731"/>
      <c r="W1018" s="731"/>
      <c r="X1018" s="734"/>
      <c r="Y1018" s="731"/>
      <c r="Z1018" s="731"/>
    </row>
    <row r="1019">
      <c r="C1019" s="734"/>
      <c r="D1019" s="731"/>
      <c r="E1019" s="731"/>
      <c r="F1019" s="734"/>
      <c r="G1019" s="731"/>
      <c r="H1019" s="731"/>
      <c r="I1019" s="734"/>
      <c r="J1019" s="731"/>
      <c r="K1019" s="731"/>
      <c r="L1019" s="734"/>
      <c r="M1019" s="731"/>
      <c r="N1019" s="731"/>
      <c r="O1019" s="730"/>
      <c r="P1019" s="731"/>
      <c r="Q1019" s="731"/>
      <c r="R1019" s="734"/>
      <c r="S1019" s="731"/>
      <c r="T1019" s="731"/>
      <c r="U1019" s="734"/>
      <c r="V1019" s="731"/>
      <c r="W1019" s="731"/>
      <c r="X1019" s="734"/>
      <c r="Y1019" s="731"/>
      <c r="Z1019" s="731"/>
    </row>
    <row r="1020">
      <c r="C1020" s="734"/>
      <c r="D1020" s="731"/>
      <c r="E1020" s="731"/>
      <c r="F1020" s="734"/>
      <c r="G1020" s="731"/>
      <c r="H1020" s="731"/>
      <c r="I1020" s="734"/>
      <c r="J1020" s="731"/>
      <c r="K1020" s="731"/>
      <c r="L1020" s="734"/>
      <c r="M1020" s="731"/>
      <c r="N1020" s="731"/>
      <c r="O1020" s="730"/>
      <c r="P1020" s="731"/>
      <c r="Q1020" s="731"/>
      <c r="R1020" s="734"/>
      <c r="S1020" s="731"/>
      <c r="T1020" s="731"/>
      <c r="U1020" s="734"/>
      <c r="V1020" s="731"/>
      <c r="W1020" s="731"/>
      <c r="X1020" s="734"/>
      <c r="Y1020" s="731"/>
      <c r="Z1020" s="731"/>
    </row>
    <row r="1021">
      <c r="C1021" s="734"/>
      <c r="D1021" s="731"/>
      <c r="E1021" s="731"/>
      <c r="F1021" s="734"/>
      <c r="G1021" s="731"/>
      <c r="H1021" s="731"/>
      <c r="I1021" s="734"/>
      <c r="J1021" s="731"/>
      <c r="K1021" s="731"/>
      <c r="L1021" s="734"/>
      <c r="M1021" s="731"/>
      <c r="N1021" s="731"/>
      <c r="O1021" s="730"/>
      <c r="P1021" s="731"/>
      <c r="Q1021" s="731"/>
      <c r="R1021" s="734"/>
      <c r="S1021" s="731"/>
      <c r="T1021" s="731"/>
      <c r="U1021" s="734"/>
      <c r="V1021" s="731"/>
      <c r="W1021" s="731"/>
      <c r="X1021" s="734"/>
      <c r="Y1021" s="731"/>
      <c r="Z1021" s="731"/>
    </row>
    <row r="1022">
      <c r="C1022" s="734"/>
      <c r="D1022" s="731"/>
      <c r="E1022" s="731"/>
      <c r="F1022" s="734"/>
      <c r="G1022" s="731"/>
      <c r="H1022" s="731"/>
      <c r="I1022" s="734"/>
      <c r="J1022" s="731"/>
      <c r="K1022" s="731"/>
      <c r="L1022" s="734"/>
      <c r="M1022" s="731"/>
      <c r="N1022" s="731"/>
      <c r="O1022" s="730"/>
      <c r="P1022" s="731"/>
      <c r="Q1022" s="731"/>
      <c r="R1022" s="734"/>
      <c r="S1022" s="731"/>
      <c r="T1022" s="731"/>
      <c r="U1022" s="734"/>
      <c r="V1022" s="731"/>
      <c r="W1022" s="731"/>
      <c r="X1022" s="734"/>
      <c r="Y1022" s="731"/>
      <c r="Z1022" s="731"/>
    </row>
    <row r="1023">
      <c r="C1023" s="734"/>
      <c r="D1023" s="731"/>
      <c r="E1023" s="731"/>
      <c r="F1023" s="734"/>
      <c r="G1023" s="731"/>
      <c r="H1023" s="731"/>
      <c r="I1023" s="734"/>
      <c r="J1023" s="731"/>
      <c r="K1023" s="731"/>
      <c r="L1023" s="734"/>
      <c r="M1023" s="731"/>
      <c r="N1023" s="731"/>
      <c r="O1023" s="730"/>
      <c r="P1023" s="731"/>
      <c r="Q1023" s="731"/>
      <c r="R1023" s="734"/>
      <c r="S1023" s="731"/>
      <c r="T1023" s="731"/>
      <c r="U1023" s="734"/>
      <c r="V1023" s="731"/>
      <c r="W1023" s="731"/>
      <c r="X1023" s="734"/>
      <c r="Y1023" s="731"/>
      <c r="Z1023" s="731"/>
    </row>
    <row r="1024">
      <c r="C1024" s="734"/>
      <c r="D1024" s="731"/>
      <c r="E1024" s="731"/>
      <c r="F1024" s="734"/>
      <c r="G1024" s="731"/>
      <c r="H1024" s="731"/>
      <c r="I1024" s="734"/>
      <c r="J1024" s="731"/>
      <c r="K1024" s="731"/>
      <c r="L1024" s="734"/>
      <c r="M1024" s="731"/>
      <c r="N1024" s="731"/>
      <c r="O1024" s="730"/>
      <c r="P1024" s="731"/>
      <c r="Q1024" s="731"/>
      <c r="R1024" s="734"/>
      <c r="S1024" s="731"/>
      <c r="T1024" s="731"/>
      <c r="U1024" s="734"/>
      <c r="V1024" s="731"/>
      <c r="W1024" s="731"/>
      <c r="X1024" s="734"/>
      <c r="Y1024" s="731"/>
      <c r="Z1024" s="731"/>
    </row>
    <row r="1025">
      <c r="C1025" s="734"/>
      <c r="D1025" s="731"/>
      <c r="E1025" s="731"/>
      <c r="F1025" s="734"/>
      <c r="G1025" s="731"/>
      <c r="H1025" s="731"/>
      <c r="I1025" s="734"/>
      <c r="J1025" s="731"/>
      <c r="K1025" s="731"/>
      <c r="L1025" s="734"/>
      <c r="M1025" s="731"/>
      <c r="N1025" s="731"/>
      <c r="O1025" s="730"/>
      <c r="P1025" s="731"/>
      <c r="Q1025" s="731"/>
      <c r="R1025" s="734"/>
      <c r="S1025" s="731"/>
      <c r="T1025" s="731"/>
      <c r="U1025" s="734"/>
      <c r="V1025" s="731"/>
      <c r="W1025" s="731"/>
      <c r="X1025" s="734"/>
      <c r="Y1025" s="731"/>
      <c r="Z1025" s="731"/>
    </row>
    <row r="1026">
      <c r="C1026" s="734"/>
      <c r="D1026" s="731"/>
      <c r="E1026" s="731"/>
      <c r="F1026" s="734"/>
      <c r="G1026" s="731"/>
      <c r="H1026" s="731"/>
      <c r="I1026" s="734"/>
      <c r="J1026" s="731"/>
      <c r="K1026" s="731"/>
      <c r="L1026" s="734"/>
      <c r="M1026" s="731"/>
      <c r="N1026" s="731"/>
      <c r="O1026" s="730"/>
      <c r="P1026" s="731"/>
      <c r="Q1026" s="731"/>
      <c r="R1026" s="734"/>
      <c r="S1026" s="731"/>
      <c r="T1026" s="731"/>
      <c r="U1026" s="734"/>
      <c r="V1026" s="731"/>
      <c r="W1026" s="731"/>
      <c r="X1026" s="734"/>
      <c r="Y1026" s="731"/>
      <c r="Z1026" s="731"/>
    </row>
    <row r="1027">
      <c r="C1027" s="734"/>
      <c r="D1027" s="731"/>
      <c r="E1027" s="731"/>
      <c r="F1027" s="734"/>
      <c r="G1027" s="731"/>
      <c r="H1027" s="731"/>
      <c r="I1027" s="734"/>
      <c r="J1027" s="731"/>
      <c r="K1027" s="731"/>
      <c r="L1027" s="734"/>
      <c r="M1027" s="731"/>
      <c r="N1027" s="731"/>
      <c r="O1027" s="730"/>
      <c r="P1027" s="731"/>
      <c r="Q1027" s="731"/>
      <c r="R1027" s="734"/>
      <c r="S1027" s="731"/>
      <c r="T1027" s="731"/>
      <c r="U1027" s="734"/>
      <c r="V1027" s="731"/>
      <c r="W1027" s="731"/>
      <c r="X1027" s="734"/>
      <c r="Y1027" s="731"/>
      <c r="Z1027" s="731"/>
    </row>
    <row r="1028">
      <c r="C1028" s="734"/>
      <c r="D1028" s="731"/>
      <c r="E1028" s="731"/>
      <c r="F1028" s="734"/>
      <c r="G1028" s="731"/>
      <c r="H1028" s="731"/>
      <c r="I1028" s="734"/>
      <c r="J1028" s="731"/>
      <c r="K1028" s="731"/>
      <c r="L1028" s="734"/>
      <c r="M1028" s="731"/>
      <c r="N1028" s="731"/>
      <c r="O1028" s="730"/>
      <c r="P1028" s="731"/>
      <c r="Q1028" s="731"/>
      <c r="R1028" s="734"/>
      <c r="S1028" s="731"/>
      <c r="T1028" s="731"/>
      <c r="U1028" s="734"/>
      <c r="V1028" s="731"/>
      <c r="W1028" s="731"/>
      <c r="X1028" s="734"/>
      <c r="Y1028" s="731"/>
      <c r="Z1028" s="731"/>
    </row>
    <row r="1029">
      <c r="C1029" s="734"/>
      <c r="D1029" s="731"/>
      <c r="E1029" s="731"/>
      <c r="F1029" s="734"/>
      <c r="G1029" s="731"/>
      <c r="H1029" s="731"/>
      <c r="I1029" s="734"/>
      <c r="J1029" s="731"/>
      <c r="K1029" s="731"/>
      <c r="L1029" s="734"/>
      <c r="M1029" s="731"/>
      <c r="N1029" s="731"/>
      <c r="O1029" s="730"/>
      <c r="P1029" s="731"/>
      <c r="Q1029" s="731"/>
      <c r="R1029" s="734"/>
      <c r="S1029" s="731"/>
      <c r="T1029" s="731"/>
      <c r="U1029" s="734"/>
      <c r="V1029" s="731"/>
      <c r="W1029" s="731"/>
      <c r="X1029" s="734"/>
      <c r="Y1029" s="731"/>
      <c r="Z1029" s="731"/>
    </row>
    <row r="1030">
      <c r="C1030" s="734"/>
      <c r="D1030" s="731"/>
      <c r="E1030" s="731"/>
      <c r="F1030" s="734"/>
      <c r="G1030" s="731"/>
      <c r="H1030" s="731"/>
      <c r="I1030" s="734"/>
      <c r="J1030" s="731"/>
      <c r="K1030" s="731"/>
      <c r="L1030" s="734"/>
      <c r="M1030" s="731"/>
      <c r="N1030" s="731"/>
      <c r="O1030" s="730"/>
      <c r="P1030" s="731"/>
      <c r="Q1030" s="731"/>
      <c r="R1030" s="734"/>
      <c r="S1030" s="731"/>
      <c r="T1030" s="731"/>
      <c r="U1030" s="734"/>
      <c r="V1030" s="731"/>
      <c r="W1030" s="731"/>
      <c r="X1030" s="734"/>
      <c r="Y1030" s="731"/>
      <c r="Z1030" s="731"/>
    </row>
    <row r="1031">
      <c r="C1031" s="734"/>
      <c r="D1031" s="731"/>
      <c r="E1031" s="731"/>
      <c r="F1031" s="734"/>
      <c r="G1031" s="731"/>
      <c r="H1031" s="731"/>
      <c r="I1031" s="734"/>
      <c r="J1031" s="731"/>
      <c r="K1031" s="731"/>
      <c r="L1031" s="734"/>
      <c r="M1031" s="731"/>
      <c r="N1031" s="731"/>
      <c r="O1031" s="730"/>
      <c r="P1031" s="731"/>
      <c r="Q1031" s="731"/>
      <c r="R1031" s="734"/>
      <c r="S1031" s="731"/>
      <c r="T1031" s="731"/>
      <c r="U1031" s="734"/>
      <c r="V1031" s="731"/>
      <c r="W1031" s="731"/>
      <c r="X1031" s="734"/>
      <c r="Y1031" s="731"/>
      <c r="Z1031" s="731"/>
    </row>
    <row r="1032">
      <c r="C1032" s="734"/>
      <c r="D1032" s="731"/>
      <c r="E1032" s="731"/>
      <c r="F1032" s="734"/>
      <c r="G1032" s="731"/>
      <c r="H1032" s="731"/>
      <c r="I1032" s="734"/>
      <c r="J1032" s="731"/>
      <c r="K1032" s="731"/>
      <c r="L1032" s="734"/>
      <c r="M1032" s="731"/>
      <c r="N1032" s="731"/>
      <c r="O1032" s="730"/>
      <c r="P1032" s="731"/>
      <c r="Q1032" s="731"/>
      <c r="R1032" s="734"/>
      <c r="S1032" s="731"/>
      <c r="T1032" s="731"/>
      <c r="U1032" s="734"/>
      <c r="V1032" s="731"/>
      <c r="W1032" s="731"/>
      <c r="X1032" s="734"/>
      <c r="Y1032" s="731"/>
      <c r="Z1032" s="731"/>
    </row>
    <row r="1033">
      <c r="C1033" s="734"/>
      <c r="D1033" s="731"/>
      <c r="E1033" s="731"/>
      <c r="F1033" s="734"/>
      <c r="G1033" s="731"/>
      <c r="H1033" s="731"/>
      <c r="I1033" s="734"/>
      <c r="J1033" s="731"/>
      <c r="K1033" s="731"/>
      <c r="L1033" s="734"/>
      <c r="M1033" s="731"/>
      <c r="N1033" s="731"/>
      <c r="O1033" s="730"/>
      <c r="P1033" s="731"/>
      <c r="Q1033" s="731"/>
      <c r="R1033" s="734"/>
      <c r="S1033" s="731"/>
      <c r="T1033" s="731"/>
      <c r="U1033" s="734"/>
      <c r="V1033" s="731"/>
      <c r="W1033" s="731"/>
      <c r="X1033" s="734"/>
      <c r="Y1033" s="731"/>
      <c r="Z1033" s="731"/>
    </row>
    <row r="1034">
      <c r="C1034" s="734"/>
      <c r="D1034" s="731"/>
      <c r="E1034" s="731"/>
      <c r="F1034" s="734"/>
      <c r="G1034" s="731"/>
      <c r="H1034" s="731"/>
      <c r="I1034" s="734"/>
      <c r="J1034" s="731"/>
      <c r="K1034" s="731"/>
      <c r="L1034" s="734"/>
      <c r="M1034" s="731"/>
      <c r="N1034" s="731"/>
      <c r="O1034" s="730"/>
      <c r="P1034" s="731"/>
      <c r="Q1034" s="731"/>
      <c r="R1034" s="734"/>
      <c r="S1034" s="731"/>
      <c r="T1034" s="731"/>
      <c r="U1034" s="734"/>
      <c r="V1034" s="731"/>
      <c r="W1034" s="731"/>
      <c r="X1034" s="734"/>
      <c r="Y1034" s="731"/>
      <c r="Z1034" s="731"/>
    </row>
    <row r="1035">
      <c r="C1035" s="734"/>
      <c r="D1035" s="731"/>
      <c r="E1035" s="731"/>
      <c r="F1035" s="734"/>
      <c r="G1035" s="731"/>
      <c r="H1035" s="731"/>
      <c r="I1035" s="734"/>
      <c r="J1035" s="731"/>
      <c r="K1035" s="731"/>
      <c r="L1035" s="734"/>
      <c r="M1035" s="731"/>
      <c r="N1035" s="731"/>
      <c r="O1035" s="730"/>
      <c r="P1035" s="731"/>
      <c r="Q1035" s="731"/>
      <c r="R1035" s="734"/>
      <c r="S1035" s="731"/>
      <c r="T1035" s="731"/>
      <c r="U1035" s="734"/>
      <c r="V1035" s="731"/>
      <c r="W1035" s="731"/>
      <c r="X1035" s="734"/>
      <c r="Y1035" s="731"/>
      <c r="Z1035" s="731"/>
    </row>
    <row r="1036">
      <c r="C1036" s="734"/>
      <c r="D1036" s="731"/>
      <c r="E1036" s="731"/>
      <c r="F1036" s="734"/>
      <c r="G1036" s="731"/>
      <c r="H1036" s="731"/>
      <c r="I1036" s="734"/>
      <c r="J1036" s="731"/>
      <c r="K1036" s="731"/>
      <c r="L1036" s="734"/>
      <c r="M1036" s="731"/>
      <c r="N1036" s="731"/>
      <c r="O1036" s="730"/>
      <c r="P1036" s="731"/>
      <c r="Q1036" s="731"/>
      <c r="R1036" s="734"/>
      <c r="S1036" s="731"/>
      <c r="T1036" s="731"/>
      <c r="U1036" s="734"/>
      <c r="V1036" s="731"/>
      <c r="W1036" s="731"/>
      <c r="X1036" s="734"/>
      <c r="Y1036" s="731"/>
      <c r="Z1036" s="731"/>
    </row>
    <row r="1037">
      <c r="C1037" s="734"/>
      <c r="D1037" s="731"/>
      <c r="E1037" s="731"/>
      <c r="F1037" s="734"/>
      <c r="G1037" s="731"/>
      <c r="H1037" s="731"/>
      <c r="I1037" s="734"/>
      <c r="J1037" s="731"/>
      <c r="K1037" s="731"/>
      <c r="L1037" s="734"/>
      <c r="M1037" s="731"/>
      <c r="N1037" s="731"/>
      <c r="O1037" s="730"/>
      <c r="P1037" s="731"/>
      <c r="Q1037" s="731"/>
      <c r="R1037" s="734"/>
      <c r="S1037" s="731"/>
      <c r="T1037" s="731"/>
      <c r="U1037" s="734"/>
      <c r="V1037" s="731"/>
      <c r="W1037" s="731"/>
      <c r="X1037" s="734"/>
      <c r="Y1037" s="731"/>
      <c r="Z1037" s="731"/>
    </row>
    <row r="1038">
      <c r="C1038" s="734"/>
      <c r="D1038" s="731"/>
      <c r="E1038" s="731"/>
      <c r="F1038" s="734"/>
      <c r="G1038" s="731"/>
      <c r="H1038" s="731"/>
      <c r="I1038" s="734"/>
      <c r="J1038" s="731"/>
      <c r="K1038" s="731"/>
      <c r="L1038" s="734"/>
      <c r="M1038" s="731"/>
      <c r="N1038" s="731"/>
      <c r="O1038" s="730"/>
      <c r="P1038" s="731"/>
      <c r="Q1038" s="731"/>
      <c r="R1038" s="734"/>
      <c r="S1038" s="731"/>
      <c r="T1038" s="731"/>
      <c r="U1038" s="734"/>
      <c r="V1038" s="731"/>
      <c r="W1038" s="731"/>
      <c r="X1038" s="734"/>
      <c r="Y1038" s="731"/>
      <c r="Z1038" s="731"/>
    </row>
    <row r="1039">
      <c r="C1039" s="734"/>
      <c r="D1039" s="731"/>
      <c r="E1039" s="731"/>
      <c r="F1039" s="734"/>
      <c r="G1039" s="731"/>
      <c r="H1039" s="731"/>
      <c r="I1039" s="734"/>
      <c r="J1039" s="731"/>
      <c r="K1039" s="731"/>
      <c r="L1039" s="734"/>
      <c r="M1039" s="731"/>
      <c r="N1039" s="731"/>
      <c r="O1039" s="730"/>
      <c r="P1039" s="731"/>
      <c r="Q1039" s="731"/>
      <c r="R1039" s="734"/>
      <c r="S1039" s="731"/>
      <c r="T1039" s="731"/>
      <c r="U1039" s="734"/>
      <c r="V1039" s="731"/>
      <c r="W1039" s="731"/>
      <c r="X1039" s="734"/>
      <c r="Y1039" s="731"/>
      <c r="Z1039" s="731"/>
    </row>
    <row r="1040">
      <c r="C1040" s="734"/>
      <c r="D1040" s="731"/>
      <c r="E1040" s="731"/>
      <c r="F1040" s="734"/>
      <c r="G1040" s="731"/>
      <c r="H1040" s="731"/>
      <c r="I1040" s="734"/>
      <c r="J1040" s="731"/>
      <c r="K1040" s="731"/>
      <c r="L1040" s="734"/>
      <c r="M1040" s="731"/>
      <c r="N1040" s="731"/>
      <c r="O1040" s="730"/>
      <c r="P1040" s="731"/>
      <c r="Q1040" s="731"/>
      <c r="R1040" s="734"/>
      <c r="S1040" s="731"/>
      <c r="T1040" s="731"/>
      <c r="U1040" s="734"/>
      <c r="V1040" s="731"/>
      <c r="W1040" s="731"/>
      <c r="X1040" s="734"/>
      <c r="Y1040" s="731"/>
      <c r="Z1040" s="731"/>
    </row>
    <row r="1041">
      <c r="C1041" s="734"/>
      <c r="D1041" s="731"/>
      <c r="E1041" s="731"/>
      <c r="F1041" s="734"/>
      <c r="G1041" s="731"/>
      <c r="H1041" s="731"/>
      <c r="I1041" s="734"/>
      <c r="J1041" s="731"/>
      <c r="K1041" s="731"/>
      <c r="L1041" s="734"/>
      <c r="M1041" s="731"/>
      <c r="N1041" s="731"/>
      <c r="O1041" s="730"/>
      <c r="P1041" s="731"/>
      <c r="Q1041" s="731"/>
      <c r="R1041" s="734"/>
      <c r="S1041" s="731"/>
      <c r="T1041" s="731"/>
      <c r="U1041" s="734"/>
      <c r="V1041" s="731"/>
      <c r="W1041" s="731"/>
      <c r="X1041" s="734"/>
      <c r="Y1041" s="731"/>
      <c r="Z1041" s="731"/>
    </row>
    <row r="1042">
      <c r="C1042" s="734"/>
      <c r="D1042" s="731"/>
      <c r="E1042" s="731"/>
      <c r="F1042" s="734"/>
      <c r="G1042" s="731"/>
      <c r="H1042" s="731"/>
      <c r="I1042" s="734"/>
      <c r="J1042" s="731"/>
      <c r="K1042" s="731"/>
      <c r="L1042" s="734"/>
      <c r="M1042" s="731"/>
      <c r="N1042" s="731"/>
      <c r="O1042" s="730"/>
      <c r="P1042" s="731"/>
      <c r="Q1042" s="731"/>
      <c r="R1042" s="734"/>
      <c r="S1042" s="731"/>
      <c r="T1042" s="731"/>
      <c r="U1042" s="734"/>
      <c r="V1042" s="731"/>
      <c r="W1042" s="731"/>
      <c r="X1042" s="734"/>
      <c r="Y1042" s="731"/>
      <c r="Z1042" s="731"/>
    </row>
    <row r="1043">
      <c r="C1043" s="734"/>
      <c r="D1043" s="731"/>
      <c r="E1043" s="731"/>
      <c r="F1043" s="734"/>
      <c r="G1043" s="731"/>
      <c r="H1043" s="731"/>
      <c r="I1043" s="734"/>
      <c r="J1043" s="731"/>
      <c r="K1043" s="731"/>
      <c r="L1043" s="734"/>
      <c r="M1043" s="731"/>
      <c r="N1043" s="731"/>
      <c r="O1043" s="730"/>
      <c r="P1043" s="731"/>
      <c r="Q1043" s="731"/>
      <c r="R1043" s="734"/>
      <c r="S1043" s="731"/>
      <c r="T1043" s="731"/>
      <c r="U1043" s="734"/>
      <c r="V1043" s="731"/>
      <c r="W1043" s="731"/>
      <c r="X1043" s="734"/>
      <c r="Y1043" s="731"/>
      <c r="Z1043" s="731"/>
    </row>
    <row r="1044">
      <c r="C1044" s="734"/>
      <c r="D1044" s="731"/>
      <c r="E1044" s="731"/>
      <c r="F1044" s="734"/>
      <c r="G1044" s="731"/>
      <c r="H1044" s="731"/>
      <c r="I1044" s="734"/>
      <c r="J1044" s="731"/>
      <c r="K1044" s="731"/>
      <c r="L1044" s="734"/>
      <c r="M1044" s="731"/>
      <c r="N1044" s="731"/>
      <c r="O1044" s="730"/>
      <c r="P1044" s="731"/>
      <c r="Q1044" s="731"/>
      <c r="R1044" s="734"/>
      <c r="S1044" s="731"/>
      <c r="T1044" s="731"/>
      <c r="U1044" s="734"/>
      <c r="V1044" s="731"/>
      <c r="W1044" s="731"/>
      <c r="X1044" s="734"/>
      <c r="Y1044" s="731"/>
      <c r="Z1044" s="731"/>
    </row>
    <row r="1045">
      <c r="C1045" s="734"/>
      <c r="D1045" s="731"/>
      <c r="E1045" s="731"/>
      <c r="F1045" s="734"/>
      <c r="G1045" s="731"/>
      <c r="H1045" s="731"/>
      <c r="I1045" s="734"/>
      <c r="J1045" s="731"/>
      <c r="K1045" s="731"/>
      <c r="L1045" s="734"/>
      <c r="M1045" s="731"/>
      <c r="N1045" s="731"/>
      <c r="O1045" s="730"/>
      <c r="P1045" s="731"/>
      <c r="Q1045" s="731"/>
      <c r="R1045" s="734"/>
      <c r="S1045" s="731"/>
      <c r="T1045" s="731"/>
      <c r="U1045" s="734"/>
      <c r="V1045" s="731"/>
      <c r="W1045" s="731"/>
      <c r="X1045" s="734"/>
      <c r="Y1045" s="731"/>
      <c r="Z1045" s="731"/>
    </row>
    <row r="1046">
      <c r="C1046" s="734"/>
      <c r="D1046" s="731"/>
      <c r="E1046" s="731"/>
      <c r="F1046" s="734"/>
      <c r="G1046" s="731"/>
      <c r="H1046" s="731"/>
      <c r="I1046" s="734"/>
      <c r="J1046" s="731"/>
      <c r="K1046" s="731"/>
      <c r="L1046" s="734"/>
      <c r="M1046" s="731"/>
      <c r="N1046" s="731"/>
      <c r="O1046" s="730"/>
      <c r="P1046" s="731"/>
      <c r="Q1046" s="731"/>
      <c r="R1046" s="734"/>
      <c r="S1046" s="731"/>
      <c r="T1046" s="731"/>
      <c r="U1046" s="734"/>
      <c r="V1046" s="731"/>
      <c r="W1046" s="731"/>
      <c r="X1046" s="734"/>
      <c r="Y1046" s="731"/>
      <c r="Z1046" s="731"/>
    </row>
    <row r="1047">
      <c r="C1047" s="734"/>
      <c r="D1047" s="731"/>
      <c r="E1047" s="731"/>
      <c r="F1047" s="734"/>
      <c r="G1047" s="731"/>
      <c r="H1047" s="731"/>
      <c r="I1047" s="734"/>
      <c r="J1047" s="731"/>
      <c r="K1047" s="731"/>
      <c r="L1047" s="734"/>
      <c r="M1047" s="731"/>
      <c r="N1047" s="731"/>
      <c r="O1047" s="730"/>
      <c r="P1047" s="731"/>
      <c r="Q1047" s="731"/>
      <c r="R1047" s="734"/>
      <c r="S1047" s="731"/>
      <c r="T1047" s="731"/>
      <c r="U1047" s="734"/>
      <c r="V1047" s="731"/>
      <c r="W1047" s="731"/>
      <c r="X1047" s="734"/>
      <c r="Y1047" s="731"/>
      <c r="Z1047" s="731"/>
    </row>
    <row r="1048">
      <c r="C1048" s="734"/>
      <c r="D1048" s="731"/>
      <c r="E1048" s="731"/>
      <c r="F1048" s="734"/>
      <c r="G1048" s="731"/>
      <c r="H1048" s="731"/>
      <c r="I1048" s="734"/>
      <c r="J1048" s="731"/>
      <c r="K1048" s="731"/>
      <c r="L1048" s="734"/>
      <c r="M1048" s="731"/>
      <c r="N1048" s="731"/>
      <c r="O1048" s="730"/>
      <c r="P1048" s="731"/>
      <c r="Q1048" s="731"/>
      <c r="R1048" s="734"/>
      <c r="S1048" s="731"/>
      <c r="T1048" s="731"/>
      <c r="U1048" s="734"/>
      <c r="V1048" s="731"/>
      <c r="W1048" s="731"/>
      <c r="X1048" s="734"/>
      <c r="Y1048" s="731"/>
      <c r="Z1048" s="731"/>
    </row>
    <row r="1049">
      <c r="C1049" s="734"/>
      <c r="D1049" s="731"/>
      <c r="E1049" s="731"/>
      <c r="F1049" s="734"/>
      <c r="G1049" s="731"/>
      <c r="H1049" s="731"/>
      <c r="I1049" s="734"/>
      <c r="J1049" s="731"/>
      <c r="K1049" s="731"/>
      <c r="L1049" s="734"/>
      <c r="M1049" s="731"/>
      <c r="N1049" s="731"/>
      <c r="O1049" s="730"/>
      <c r="P1049" s="731"/>
      <c r="Q1049" s="731"/>
      <c r="R1049" s="734"/>
      <c r="S1049" s="731"/>
      <c r="T1049" s="731"/>
      <c r="U1049" s="734"/>
      <c r="V1049" s="731"/>
      <c r="W1049" s="731"/>
      <c r="X1049" s="734"/>
      <c r="Y1049" s="731"/>
      <c r="Z1049" s="731"/>
    </row>
    <row r="1050">
      <c r="C1050" s="734"/>
      <c r="D1050" s="731"/>
      <c r="E1050" s="731"/>
      <c r="F1050" s="734"/>
      <c r="G1050" s="731"/>
      <c r="H1050" s="731"/>
      <c r="I1050" s="734"/>
      <c r="J1050" s="731"/>
      <c r="K1050" s="731"/>
      <c r="L1050" s="734"/>
      <c r="M1050" s="731"/>
      <c r="N1050" s="731"/>
      <c r="O1050" s="730"/>
      <c r="P1050" s="731"/>
      <c r="Q1050" s="731"/>
      <c r="R1050" s="734"/>
      <c r="S1050" s="731"/>
      <c r="T1050" s="731"/>
      <c r="U1050" s="734"/>
      <c r="V1050" s="731"/>
      <c r="W1050" s="731"/>
      <c r="X1050" s="734"/>
      <c r="Y1050" s="731"/>
      <c r="Z1050" s="731"/>
    </row>
    <row r="1051">
      <c r="C1051" s="734"/>
      <c r="D1051" s="731"/>
      <c r="E1051" s="731"/>
      <c r="F1051" s="734"/>
      <c r="G1051" s="731"/>
      <c r="H1051" s="731"/>
      <c r="I1051" s="734"/>
      <c r="J1051" s="731"/>
      <c r="K1051" s="731"/>
      <c r="L1051" s="734"/>
      <c r="M1051" s="731"/>
      <c r="N1051" s="731"/>
      <c r="O1051" s="730"/>
      <c r="P1051" s="731"/>
      <c r="Q1051" s="731"/>
      <c r="R1051" s="734"/>
      <c r="S1051" s="731"/>
      <c r="T1051" s="731"/>
      <c r="U1051" s="734"/>
      <c r="V1051" s="731"/>
      <c r="W1051" s="731"/>
      <c r="X1051" s="734"/>
      <c r="Y1051" s="731"/>
      <c r="Z1051" s="731"/>
    </row>
    <row r="1052">
      <c r="C1052" s="734"/>
      <c r="D1052" s="731"/>
      <c r="E1052" s="731"/>
      <c r="F1052" s="734"/>
      <c r="G1052" s="731"/>
      <c r="H1052" s="731"/>
      <c r="I1052" s="734"/>
      <c r="J1052" s="731"/>
      <c r="K1052" s="731"/>
      <c r="L1052" s="734"/>
      <c r="M1052" s="731"/>
      <c r="N1052" s="731"/>
      <c r="O1052" s="730"/>
      <c r="P1052" s="731"/>
      <c r="Q1052" s="731"/>
      <c r="R1052" s="734"/>
      <c r="S1052" s="731"/>
      <c r="T1052" s="731"/>
      <c r="U1052" s="734"/>
      <c r="V1052" s="731"/>
      <c r="W1052" s="731"/>
      <c r="X1052" s="734"/>
      <c r="Y1052" s="731"/>
      <c r="Z1052" s="731"/>
    </row>
    <row r="1053">
      <c r="C1053" s="734"/>
      <c r="D1053" s="731"/>
      <c r="E1053" s="731"/>
      <c r="F1053" s="734"/>
      <c r="G1053" s="731"/>
      <c r="H1053" s="731"/>
      <c r="I1053" s="734"/>
      <c r="J1053" s="731"/>
      <c r="K1053" s="731"/>
      <c r="L1053" s="734"/>
      <c r="M1053" s="731"/>
      <c r="N1053" s="731"/>
      <c r="O1053" s="730"/>
      <c r="P1053" s="731"/>
      <c r="Q1053" s="731"/>
      <c r="R1053" s="734"/>
      <c r="S1053" s="731"/>
      <c r="T1053" s="731"/>
      <c r="U1053" s="734"/>
      <c r="V1053" s="731"/>
      <c r="W1053" s="731"/>
      <c r="X1053" s="734"/>
      <c r="Y1053" s="731"/>
      <c r="Z1053" s="731"/>
    </row>
    <row r="1054">
      <c r="C1054" s="734"/>
      <c r="D1054" s="731"/>
      <c r="E1054" s="731"/>
      <c r="F1054" s="734"/>
      <c r="G1054" s="731"/>
      <c r="H1054" s="731"/>
      <c r="I1054" s="734"/>
      <c r="J1054" s="731"/>
      <c r="K1054" s="731"/>
      <c r="L1054" s="734"/>
      <c r="M1054" s="731"/>
      <c r="N1054" s="731"/>
      <c r="O1054" s="730"/>
      <c r="P1054" s="731"/>
      <c r="Q1054" s="731"/>
      <c r="R1054" s="734"/>
      <c r="S1054" s="731"/>
      <c r="T1054" s="731"/>
      <c r="U1054" s="734"/>
      <c r="V1054" s="731"/>
      <c r="W1054" s="731"/>
      <c r="X1054" s="734"/>
      <c r="Y1054" s="731"/>
      <c r="Z1054" s="731"/>
    </row>
    <row r="1055">
      <c r="C1055" s="734"/>
      <c r="D1055" s="731"/>
      <c r="E1055" s="731"/>
      <c r="F1055" s="734"/>
      <c r="G1055" s="731"/>
      <c r="H1055" s="731"/>
      <c r="I1055" s="734"/>
      <c r="J1055" s="731"/>
      <c r="K1055" s="731"/>
      <c r="L1055" s="734"/>
      <c r="M1055" s="731"/>
      <c r="N1055" s="731"/>
      <c r="O1055" s="730"/>
      <c r="P1055" s="731"/>
      <c r="Q1055" s="731"/>
      <c r="R1055" s="734"/>
      <c r="S1055" s="731"/>
      <c r="T1055" s="731"/>
      <c r="U1055" s="734"/>
      <c r="V1055" s="731"/>
      <c r="W1055" s="731"/>
      <c r="X1055" s="734"/>
      <c r="Y1055" s="731"/>
      <c r="Z1055" s="731"/>
    </row>
    <row r="1056">
      <c r="C1056" s="734"/>
      <c r="D1056" s="731"/>
      <c r="E1056" s="731"/>
      <c r="F1056" s="734"/>
      <c r="G1056" s="731"/>
      <c r="H1056" s="731"/>
      <c r="I1056" s="734"/>
      <c r="J1056" s="731"/>
      <c r="K1056" s="731"/>
      <c r="L1056" s="734"/>
      <c r="M1056" s="731"/>
      <c r="N1056" s="731"/>
      <c r="O1056" s="730"/>
      <c r="P1056" s="731"/>
      <c r="Q1056" s="731"/>
      <c r="R1056" s="734"/>
      <c r="S1056" s="731"/>
      <c r="T1056" s="731"/>
      <c r="U1056" s="734"/>
      <c r="V1056" s="731"/>
      <c r="W1056" s="731"/>
      <c r="X1056" s="734"/>
      <c r="Y1056" s="731"/>
      <c r="Z1056" s="731"/>
    </row>
    <row r="1057">
      <c r="C1057" s="734"/>
      <c r="D1057" s="731"/>
      <c r="E1057" s="731"/>
      <c r="F1057" s="734"/>
      <c r="G1057" s="731"/>
      <c r="H1057" s="731"/>
      <c r="I1057" s="734"/>
      <c r="J1057" s="731"/>
      <c r="K1057" s="731"/>
      <c r="L1057" s="734"/>
      <c r="M1057" s="731"/>
      <c r="N1057" s="731"/>
      <c r="O1057" s="730"/>
      <c r="P1057" s="731"/>
      <c r="Q1057" s="731"/>
      <c r="R1057" s="734"/>
      <c r="S1057" s="731"/>
      <c r="T1057" s="731"/>
      <c r="U1057" s="734"/>
      <c r="V1057" s="731"/>
      <c r="W1057" s="731"/>
      <c r="X1057" s="734"/>
      <c r="Y1057" s="731"/>
      <c r="Z1057" s="731"/>
    </row>
    <row r="1058">
      <c r="C1058" s="734"/>
      <c r="D1058" s="731"/>
      <c r="E1058" s="731"/>
      <c r="F1058" s="734"/>
      <c r="G1058" s="731"/>
      <c r="H1058" s="731"/>
      <c r="I1058" s="734"/>
      <c r="J1058" s="731"/>
      <c r="K1058" s="731"/>
      <c r="L1058" s="734"/>
      <c r="M1058" s="731"/>
      <c r="N1058" s="731"/>
      <c r="O1058" s="730"/>
      <c r="P1058" s="731"/>
      <c r="Q1058" s="731"/>
      <c r="R1058" s="734"/>
      <c r="S1058" s="731"/>
      <c r="T1058" s="731"/>
      <c r="U1058" s="734"/>
      <c r="V1058" s="731"/>
      <c r="W1058" s="731"/>
      <c r="X1058" s="734"/>
      <c r="Y1058" s="731"/>
      <c r="Z1058" s="731"/>
    </row>
    <row r="1059">
      <c r="C1059" s="734"/>
      <c r="D1059" s="731"/>
      <c r="E1059" s="731"/>
      <c r="F1059" s="734"/>
      <c r="G1059" s="731"/>
      <c r="H1059" s="731"/>
      <c r="I1059" s="734"/>
      <c r="J1059" s="731"/>
      <c r="K1059" s="731"/>
      <c r="L1059" s="734"/>
      <c r="M1059" s="731"/>
      <c r="N1059" s="731"/>
      <c r="O1059" s="730"/>
      <c r="P1059" s="731"/>
      <c r="Q1059" s="731"/>
      <c r="R1059" s="734"/>
      <c r="S1059" s="731"/>
      <c r="T1059" s="731"/>
      <c r="U1059" s="734"/>
      <c r="V1059" s="731"/>
      <c r="W1059" s="731"/>
      <c r="X1059" s="734"/>
      <c r="Y1059" s="731"/>
      <c r="Z1059" s="731"/>
    </row>
    <row r="1060">
      <c r="C1060" s="734"/>
      <c r="D1060" s="731"/>
      <c r="E1060" s="731"/>
      <c r="F1060" s="734"/>
      <c r="G1060" s="731"/>
      <c r="H1060" s="731"/>
      <c r="I1060" s="734"/>
      <c r="J1060" s="731"/>
      <c r="K1060" s="731"/>
      <c r="L1060" s="734"/>
      <c r="M1060" s="731"/>
      <c r="N1060" s="731"/>
      <c r="O1060" s="730"/>
      <c r="P1060" s="731"/>
      <c r="Q1060" s="731"/>
      <c r="R1060" s="734"/>
      <c r="S1060" s="731"/>
      <c r="T1060" s="731"/>
      <c r="U1060" s="734"/>
      <c r="V1060" s="731"/>
      <c r="W1060" s="731"/>
      <c r="X1060" s="734"/>
      <c r="Y1060" s="731"/>
      <c r="Z1060" s="731"/>
    </row>
    <row r="1061">
      <c r="C1061" s="734"/>
      <c r="D1061" s="731"/>
      <c r="E1061" s="731"/>
      <c r="F1061" s="734"/>
      <c r="G1061" s="731"/>
      <c r="H1061" s="731"/>
      <c r="I1061" s="734"/>
      <c r="J1061" s="731"/>
      <c r="K1061" s="731"/>
      <c r="L1061" s="734"/>
      <c r="M1061" s="731"/>
      <c r="N1061" s="731"/>
      <c r="O1061" s="730"/>
      <c r="P1061" s="731"/>
      <c r="Q1061" s="731"/>
      <c r="R1061" s="734"/>
      <c r="S1061" s="731"/>
      <c r="T1061" s="731"/>
      <c r="U1061" s="734"/>
      <c r="V1061" s="731"/>
      <c r="W1061" s="731"/>
      <c r="X1061" s="734"/>
      <c r="Y1061" s="731"/>
      <c r="Z1061" s="731"/>
    </row>
    <row r="1062">
      <c r="C1062" s="734"/>
      <c r="D1062" s="731"/>
      <c r="E1062" s="731"/>
      <c r="F1062" s="734"/>
      <c r="G1062" s="731"/>
      <c r="H1062" s="731"/>
      <c r="I1062" s="734"/>
      <c r="J1062" s="731"/>
      <c r="K1062" s="731"/>
      <c r="L1062" s="734"/>
      <c r="M1062" s="731"/>
      <c r="N1062" s="731"/>
      <c r="O1062" s="730"/>
      <c r="P1062" s="731"/>
      <c r="Q1062" s="731"/>
      <c r="R1062" s="734"/>
      <c r="S1062" s="731"/>
      <c r="T1062" s="731"/>
      <c r="U1062" s="734"/>
      <c r="V1062" s="731"/>
      <c r="W1062" s="731"/>
      <c r="X1062" s="734"/>
      <c r="Y1062" s="731"/>
      <c r="Z1062" s="731"/>
    </row>
    <row r="1063">
      <c r="C1063" s="734"/>
      <c r="D1063" s="731"/>
      <c r="E1063" s="731"/>
      <c r="F1063" s="734"/>
      <c r="G1063" s="731"/>
      <c r="H1063" s="731"/>
      <c r="I1063" s="734"/>
      <c r="J1063" s="731"/>
      <c r="K1063" s="731"/>
      <c r="L1063" s="734"/>
      <c r="M1063" s="731"/>
      <c r="N1063" s="731"/>
      <c r="O1063" s="730"/>
      <c r="P1063" s="731"/>
      <c r="Q1063" s="731"/>
      <c r="R1063" s="734"/>
      <c r="S1063" s="731"/>
      <c r="T1063" s="731"/>
      <c r="U1063" s="734"/>
      <c r="V1063" s="731"/>
      <c r="W1063" s="731"/>
      <c r="X1063" s="734"/>
      <c r="Y1063" s="731"/>
      <c r="Z1063" s="731"/>
    </row>
    <row r="1064">
      <c r="C1064" s="734"/>
      <c r="D1064" s="731"/>
      <c r="E1064" s="731"/>
      <c r="F1064" s="734"/>
      <c r="G1064" s="731"/>
      <c r="H1064" s="731"/>
      <c r="I1064" s="734"/>
      <c r="J1064" s="731"/>
      <c r="K1064" s="731"/>
      <c r="L1064" s="734"/>
      <c r="M1064" s="731"/>
      <c r="N1064" s="731"/>
      <c r="O1064" s="730"/>
      <c r="P1064" s="731"/>
      <c r="Q1064" s="731"/>
      <c r="R1064" s="734"/>
      <c r="S1064" s="731"/>
      <c r="T1064" s="731"/>
      <c r="U1064" s="734"/>
      <c r="V1064" s="731"/>
      <c r="W1064" s="731"/>
      <c r="X1064" s="734"/>
      <c r="Y1064" s="731"/>
      <c r="Z1064" s="731"/>
    </row>
    <row r="1065">
      <c r="C1065" s="734"/>
      <c r="D1065" s="731"/>
      <c r="E1065" s="731"/>
      <c r="F1065" s="734"/>
      <c r="G1065" s="731"/>
      <c r="H1065" s="731"/>
      <c r="I1065" s="734"/>
      <c r="J1065" s="731"/>
      <c r="K1065" s="731"/>
      <c r="L1065" s="734"/>
      <c r="M1065" s="731"/>
      <c r="N1065" s="731"/>
      <c r="O1065" s="730"/>
      <c r="P1065" s="731"/>
      <c r="Q1065" s="731"/>
      <c r="R1065" s="734"/>
      <c r="S1065" s="731"/>
      <c r="T1065" s="731"/>
      <c r="U1065" s="734"/>
      <c r="V1065" s="731"/>
      <c r="W1065" s="731"/>
      <c r="X1065" s="734"/>
      <c r="Y1065" s="731"/>
      <c r="Z1065" s="731"/>
    </row>
    <row r="1066">
      <c r="C1066" s="734"/>
      <c r="D1066" s="731"/>
      <c r="E1066" s="731"/>
      <c r="F1066" s="734"/>
      <c r="G1066" s="731"/>
      <c r="H1066" s="731"/>
      <c r="I1066" s="734"/>
      <c r="J1066" s="731"/>
      <c r="K1066" s="731"/>
      <c r="L1066" s="734"/>
      <c r="M1066" s="731"/>
      <c r="N1066" s="731"/>
      <c r="O1066" s="730"/>
      <c r="P1066" s="731"/>
      <c r="Q1066" s="731"/>
      <c r="R1066" s="734"/>
      <c r="S1066" s="731"/>
      <c r="T1066" s="731"/>
      <c r="U1066" s="734"/>
      <c r="V1066" s="731"/>
      <c r="W1066" s="731"/>
      <c r="X1066" s="734"/>
      <c r="Y1066" s="731"/>
      <c r="Z1066" s="731"/>
    </row>
    <row r="1067">
      <c r="C1067" s="734"/>
      <c r="D1067" s="731"/>
      <c r="E1067" s="731"/>
      <c r="F1067" s="734"/>
      <c r="G1067" s="731"/>
      <c r="H1067" s="731"/>
      <c r="I1067" s="734"/>
      <c r="J1067" s="731"/>
      <c r="K1067" s="731"/>
      <c r="L1067" s="734"/>
      <c r="M1067" s="731"/>
      <c r="N1067" s="731"/>
      <c r="O1067" s="730"/>
      <c r="P1067" s="731"/>
      <c r="Q1067" s="731"/>
      <c r="R1067" s="734"/>
      <c r="S1067" s="731"/>
      <c r="T1067" s="731"/>
      <c r="U1067" s="734"/>
      <c r="V1067" s="731"/>
      <c r="W1067" s="731"/>
      <c r="X1067" s="734"/>
      <c r="Y1067" s="731"/>
      <c r="Z1067" s="731"/>
    </row>
    <row r="1068">
      <c r="C1068" s="734"/>
      <c r="D1068" s="731"/>
      <c r="E1068" s="731"/>
      <c r="F1068" s="734"/>
      <c r="G1068" s="731"/>
      <c r="H1068" s="731"/>
      <c r="I1068" s="734"/>
      <c r="J1068" s="731"/>
      <c r="K1068" s="731"/>
      <c r="L1068" s="734"/>
      <c r="M1068" s="731"/>
      <c r="N1068" s="731"/>
      <c r="O1068" s="730"/>
      <c r="P1068" s="731"/>
      <c r="Q1068" s="731"/>
      <c r="R1068" s="734"/>
      <c r="S1068" s="731"/>
      <c r="T1068" s="731"/>
      <c r="U1068" s="734"/>
      <c r="V1068" s="731"/>
      <c r="W1068" s="731"/>
      <c r="X1068" s="734"/>
      <c r="Y1068" s="731"/>
      <c r="Z1068" s="731"/>
    </row>
    <row r="1069">
      <c r="C1069" s="734"/>
      <c r="D1069" s="731"/>
      <c r="E1069" s="731"/>
      <c r="F1069" s="734"/>
      <c r="G1069" s="731"/>
      <c r="H1069" s="731"/>
      <c r="I1069" s="734"/>
      <c r="J1069" s="731"/>
      <c r="K1069" s="731"/>
      <c r="L1069" s="734"/>
      <c r="M1069" s="731"/>
      <c r="N1069" s="731"/>
      <c r="O1069" s="730"/>
      <c r="P1069" s="731"/>
      <c r="Q1069" s="731"/>
      <c r="R1069" s="734"/>
      <c r="S1069" s="731"/>
      <c r="T1069" s="731"/>
      <c r="U1069" s="734"/>
      <c r="V1069" s="731"/>
      <c r="W1069" s="731"/>
      <c r="X1069" s="734"/>
      <c r="Y1069" s="731"/>
      <c r="Z1069" s="731"/>
    </row>
    <row r="1070">
      <c r="C1070" s="734"/>
      <c r="D1070" s="731"/>
      <c r="E1070" s="731"/>
      <c r="F1070" s="734"/>
      <c r="G1070" s="731"/>
      <c r="H1070" s="731"/>
      <c r="I1070" s="734"/>
      <c r="J1070" s="731"/>
      <c r="K1070" s="731"/>
      <c r="L1070" s="734"/>
      <c r="M1070" s="731"/>
      <c r="N1070" s="731"/>
      <c r="O1070" s="730"/>
      <c r="P1070" s="731"/>
      <c r="Q1070" s="731"/>
      <c r="R1070" s="734"/>
      <c r="S1070" s="731"/>
      <c r="T1070" s="731"/>
      <c r="U1070" s="734"/>
      <c r="V1070" s="731"/>
      <c r="W1070" s="731"/>
      <c r="X1070" s="734"/>
      <c r="Y1070" s="731"/>
      <c r="Z1070" s="731"/>
    </row>
    <row r="1071">
      <c r="C1071" s="734"/>
      <c r="D1071" s="731"/>
      <c r="E1071" s="731"/>
      <c r="F1071" s="734"/>
      <c r="G1071" s="731"/>
      <c r="H1071" s="731"/>
      <c r="I1071" s="734"/>
      <c r="J1071" s="731"/>
      <c r="K1071" s="731"/>
      <c r="L1071" s="734"/>
      <c r="M1071" s="731"/>
      <c r="N1071" s="731"/>
      <c r="O1071" s="730"/>
      <c r="P1071" s="731"/>
      <c r="Q1071" s="731"/>
      <c r="R1071" s="734"/>
      <c r="S1071" s="731"/>
      <c r="T1071" s="731"/>
      <c r="U1071" s="734"/>
      <c r="V1071" s="731"/>
      <c r="W1071" s="731"/>
      <c r="X1071" s="734"/>
      <c r="Y1071" s="731"/>
      <c r="Z1071" s="731"/>
    </row>
    <row r="1072">
      <c r="C1072" s="734"/>
      <c r="D1072" s="731"/>
      <c r="E1072" s="731"/>
      <c r="F1072" s="734"/>
      <c r="G1072" s="731"/>
      <c r="H1072" s="731"/>
      <c r="I1072" s="734"/>
      <c r="J1072" s="731"/>
      <c r="K1072" s="731"/>
      <c r="L1072" s="734"/>
      <c r="M1072" s="731"/>
      <c r="N1072" s="731"/>
      <c r="O1072" s="730"/>
      <c r="P1072" s="731"/>
      <c r="Q1072" s="731"/>
      <c r="R1072" s="734"/>
      <c r="S1072" s="731"/>
      <c r="T1072" s="731"/>
      <c r="U1072" s="734"/>
      <c r="V1072" s="731"/>
      <c r="W1072" s="731"/>
      <c r="X1072" s="734"/>
      <c r="Y1072" s="731"/>
      <c r="Z1072" s="731"/>
    </row>
    <row r="1073">
      <c r="C1073" s="734"/>
      <c r="D1073" s="731"/>
      <c r="E1073" s="731"/>
      <c r="F1073" s="734"/>
      <c r="G1073" s="731"/>
      <c r="H1073" s="731"/>
      <c r="I1073" s="734"/>
      <c r="J1073" s="731"/>
      <c r="K1073" s="731"/>
      <c r="L1073" s="734"/>
      <c r="M1073" s="731"/>
      <c r="N1073" s="731"/>
      <c r="O1073" s="730"/>
      <c r="P1073" s="731"/>
      <c r="Q1073" s="731"/>
      <c r="R1073" s="734"/>
      <c r="S1073" s="731"/>
      <c r="T1073" s="731"/>
      <c r="U1073" s="734"/>
      <c r="V1073" s="731"/>
      <c r="W1073" s="731"/>
      <c r="X1073" s="734"/>
      <c r="Y1073" s="731"/>
      <c r="Z1073" s="731"/>
    </row>
    <row r="1074">
      <c r="C1074" s="734"/>
      <c r="D1074" s="731"/>
      <c r="E1074" s="731"/>
      <c r="F1074" s="734"/>
      <c r="G1074" s="731"/>
      <c r="H1074" s="731"/>
      <c r="I1074" s="734"/>
      <c r="J1074" s="731"/>
      <c r="K1074" s="731"/>
      <c r="L1074" s="734"/>
      <c r="M1074" s="731"/>
      <c r="N1074" s="731"/>
      <c r="O1074" s="730"/>
      <c r="P1074" s="731"/>
      <c r="Q1074" s="731"/>
      <c r="R1074" s="734"/>
      <c r="S1074" s="731"/>
      <c r="T1074" s="731"/>
      <c r="U1074" s="734"/>
      <c r="V1074" s="731"/>
      <c r="W1074" s="731"/>
      <c r="X1074" s="734"/>
      <c r="Y1074" s="731"/>
      <c r="Z1074" s="731"/>
    </row>
    <row r="1075">
      <c r="C1075" s="734"/>
      <c r="D1075" s="731"/>
      <c r="E1075" s="731"/>
      <c r="F1075" s="734"/>
      <c r="G1075" s="731"/>
      <c r="H1075" s="731"/>
      <c r="I1075" s="734"/>
      <c r="J1075" s="731"/>
      <c r="K1075" s="731"/>
      <c r="L1075" s="734"/>
      <c r="M1075" s="731"/>
      <c r="N1075" s="731"/>
      <c r="O1075" s="730"/>
      <c r="P1075" s="731"/>
      <c r="Q1075" s="731"/>
      <c r="R1075" s="734"/>
      <c r="S1075" s="731"/>
      <c r="T1075" s="731"/>
      <c r="U1075" s="734"/>
      <c r="V1075" s="731"/>
      <c r="W1075" s="731"/>
      <c r="X1075" s="734"/>
      <c r="Y1075" s="731"/>
      <c r="Z1075" s="731"/>
    </row>
    <row r="1076">
      <c r="C1076" s="734"/>
      <c r="D1076" s="731"/>
      <c r="E1076" s="731"/>
      <c r="F1076" s="734"/>
      <c r="G1076" s="731"/>
      <c r="H1076" s="731"/>
      <c r="I1076" s="734"/>
      <c r="J1076" s="731"/>
      <c r="K1076" s="731"/>
      <c r="L1076" s="734"/>
      <c r="M1076" s="731"/>
      <c r="N1076" s="731"/>
      <c r="O1076" s="730"/>
      <c r="P1076" s="731"/>
      <c r="Q1076" s="731"/>
      <c r="R1076" s="734"/>
      <c r="S1076" s="731"/>
      <c r="T1076" s="731"/>
      <c r="U1076" s="734"/>
      <c r="V1076" s="731"/>
      <c r="W1076" s="731"/>
      <c r="X1076" s="734"/>
      <c r="Y1076" s="731"/>
      <c r="Z1076" s="731"/>
    </row>
    <row r="1077">
      <c r="C1077" s="734"/>
      <c r="D1077" s="731"/>
      <c r="E1077" s="731"/>
      <c r="F1077" s="734"/>
      <c r="G1077" s="731"/>
      <c r="H1077" s="731"/>
      <c r="I1077" s="734"/>
      <c r="J1077" s="731"/>
      <c r="K1077" s="731"/>
      <c r="L1077" s="734"/>
      <c r="M1077" s="731"/>
      <c r="N1077" s="731"/>
      <c r="O1077" s="730"/>
      <c r="P1077" s="731"/>
      <c r="Q1077" s="731"/>
      <c r="R1077" s="734"/>
      <c r="S1077" s="731"/>
      <c r="T1077" s="731"/>
      <c r="U1077" s="734"/>
      <c r="V1077" s="731"/>
      <c r="W1077" s="731"/>
      <c r="X1077" s="734"/>
      <c r="Y1077" s="731"/>
      <c r="Z1077" s="731"/>
    </row>
    <row r="1078">
      <c r="C1078" s="734"/>
      <c r="D1078" s="731"/>
      <c r="E1078" s="731"/>
      <c r="F1078" s="734"/>
      <c r="G1078" s="731"/>
      <c r="H1078" s="731"/>
      <c r="I1078" s="734"/>
      <c r="J1078" s="731"/>
      <c r="K1078" s="731"/>
      <c r="L1078" s="734"/>
      <c r="M1078" s="731"/>
      <c r="N1078" s="731"/>
      <c r="O1078" s="730"/>
      <c r="P1078" s="731"/>
      <c r="Q1078" s="731"/>
      <c r="R1078" s="734"/>
      <c r="S1078" s="731"/>
      <c r="T1078" s="731"/>
      <c r="U1078" s="734"/>
      <c r="V1078" s="731"/>
      <c r="W1078" s="731"/>
      <c r="X1078" s="734"/>
      <c r="Y1078" s="731"/>
      <c r="Z1078" s="731"/>
    </row>
    <row r="1079">
      <c r="C1079" s="734"/>
      <c r="D1079" s="731"/>
      <c r="E1079" s="731"/>
      <c r="F1079" s="734"/>
      <c r="G1079" s="731"/>
      <c r="H1079" s="731"/>
      <c r="I1079" s="734"/>
      <c r="J1079" s="731"/>
      <c r="K1079" s="731"/>
      <c r="L1079" s="734"/>
      <c r="M1079" s="731"/>
      <c r="N1079" s="731"/>
      <c r="O1079" s="730"/>
      <c r="P1079" s="731"/>
      <c r="Q1079" s="731"/>
      <c r="R1079" s="734"/>
      <c r="S1079" s="731"/>
      <c r="T1079" s="731"/>
      <c r="U1079" s="734"/>
      <c r="V1079" s="731"/>
      <c r="W1079" s="731"/>
      <c r="X1079" s="734"/>
      <c r="Y1079" s="731"/>
      <c r="Z1079" s="731"/>
    </row>
    <row r="1080">
      <c r="C1080" s="734"/>
      <c r="D1080" s="731"/>
      <c r="E1080" s="731"/>
      <c r="F1080" s="734"/>
      <c r="G1080" s="731"/>
      <c r="H1080" s="731"/>
      <c r="I1080" s="734"/>
      <c r="J1080" s="731"/>
      <c r="K1080" s="731"/>
      <c r="L1080" s="734"/>
      <c r="M1080" s="731"/>
      <c r="N1080" s="731"/>
      <c r="O1080" s="730"/>
      <c r="P1080" s="731"/>
      <c r="Q1080" s="731"/>
      <c r="R1080" s="734"/>
      <c r="S1080" s="731"/>
      <c r="T1080" s="731"/>
      <c r="U1080" s="734"/>
      <c r="V1080" s="731"/>
      <c r="W1080" s="731"/>
      <c r="X1080" s="734"/>
      <c r="Y1080" s="731"/>
      <c r="Z1080" s="731"/>
    </row>
    <row r="1081">
      <c r="C1081" s="734"/>
      <c r="D1081" s="731"/>
      <c r="E1081" s="731"/>
      <c r="F1081" s="734"/>
      <c r="G1081" s="731"/>
      <c r="H1081" s="731"/>
      <c r="I1081" s="734"/>
      <c r="J1081" s="731"/>
      <c r="K1081" s="731"/>
      <c r="L1081" s="734"/>
      <c r="M1081" s="731"/>
      <c r="N1081" s="731"/>
      <c r="O1081" s="730"/>
      <c r="P1081" s="731"/>
      <c r="Q1081" s="731"/>
      <c r="R1081" s="734"/>
      <c r="S1081" s="731"/>
      <c r="T1081" s="731"/>
      <c r="U1081" s="734"/>
      <c r="V1081" s="731"/>
      <c r="W1081" s="731"/>
      <c r="X1081" s="734"/>
      <c r="Y1081" s="731"/>
      <c r="Z1081" s="731"/>
    </row>
    <row r="1082">
      <c r="C1082" s="734"/>
      <c r="D1082" s="731"/>
      <c r="E1082" s="731"/>
      <c r="F1082" s="734"/>
      <c r="G1082" s="731"/>
      <c r="H1082" s="731"/>
      <c r="I1082" s="734"/>
      <c r="J1082" s="731"/>
      <c r="K1082" s="731"/>
      <c r="L1082" s="734"/>
      <c r="M1082" s="731"/>
      <c r="N1082" s="731"/>
      <c r="O1082" s="730"/>
      <c r="P1082" s="731"/>
      <c r="Q1082" s="731"/>
      <c r="R1082" s="734"/>
      <c r="S1082" s="731"/>
      <c r="T1082" s="731"/>
      <c r="U1082" s="734"/>
      <c r="V1082" s="731"/>
      <c r="W1082" s="731"/>
      <c r="X1082" s="734"/>
      <c r="Y1082" s="731"/>
      <c r="Z1082" s="731"/>
    </row>
    <row r="1083">
      <c r="C1083" s="734"/>
      <c r="D1083" s="731"/>
      <c r="E1083" s="731"/>
      <c r="F1083" s="734"/>
      <c r="G1083" s="731"/>
      <c r="H1083" s="731"/>
      <c r="I1083" s="734"/>
      <c r="J1083" s="731"/>
      <c r="K1083" s="731"/>
      <c r="L1083" s="734"/>
      <c r="M1083" s="731"/>
      <c r="N1083" s="731"/>
      <c r="O1083" s="730"/>
      <c r="P1083" s="731"/>
      <c r="Q1083" s="731"/>
      <c r="R1083" s="734"/>
      <c r="S1083" s="731"/>
      <c r="T1083" s="731"/>
      <c r="U1083" s="734"/>
      <c r="V1083" s="731"/>
      <c r="W1083" s="731"/>
      <c r="X1083" s="734"/>
      <c r="Y1083" s="731"/>
      <c r="Z1083" s="731"/>
    </row>
    <row r="1084">
      <c r="C1084" s="734"/>
      <c r="D1084" s="731"/>
      <c r="E1084" s="731"/>
      <c r="F1084" s="734"/>
      <c r="G1084" s="731"/>
      <c r="H1084" s="731"/>
      <c r="I1084" s="734"/>
      <c r="J1084" s="731"/>
      <c r="K1084" s="731"/>
      <c r="L1084" s="734"/>
      <c r="M1084" s="731"/>
      <c r="N1084" s="731"/>
      <c r="O1084" s="730"/>
      <c r="P1084" s="731"/>
      <c r="Q1084" s="731"/>
      <c r="R1084" s="734"/>
      <c r="S1084" s="731"/>
      <c r="T1084" s="731"/>
      <c r="U1084" s="734"/>
      <c r="V1084" s="731"/>
      <c r="W1084" s="731"/>
      <c r="X1084" s="734"/>
      <c r="Y1084" s="731"/>
      <c r="Z1084" s="731"/>
    </row>
    <row r="1085">
      <c r="C1085" s="734"/>
      <c r="D1085" s="731"/>
      <c r="E1085" s="731"/>
      <c r="F1085" s="734"/>
      <c r="G1085" s="731"/>
      <c r="H1085" s="731"/>
      <c r="I1085" s="734"/>
      <c r="J1085" s="731"/>
      <c r="K1085" s="731"/>
      <c r="L1085" s="734"/>
      <c r="M1085" s="731"/>
      <c r="N1085" s="731"/>
      <c r="O1085" s="730"/>
      <c r="P1085" s="731"/>
      <c r="Q1085" s="731"/>
      <c r="R1085" s="734"/>
      <c r="S1085" s="731"/>
      <c r="T1085" s="731"/>
      <c r="U1085" s="734"/>
      <c r="V1085" s="731"/>
      <c r="W1085" s="731"/>
      <c r="X1085" s="734"/>
      <c r="Y1085" s="731"/>
      <c r="Z1085" s="731"/>
    </row>
    <row r="1086">
      <c r="C1086" s="734"/>
      <c r="D1086" s="731"/>
      <c r="E1086" s="731"/>
      <c r="F1086" s="734"/>
      <c r="G1086" s="731"/>
      <c r="H1086" s="731"/>
      <c r="I1086" s="734"/>
      <c r="J1086" s="731"/>
      <c r="K1086" s="731"/>
      <c r="L1086" s="734"/>
      <c r="M1086" s="731"/>
      <c r="N1086" s="731"/>
      <c r="O1086" s="730"/>
      <c r="P1086" s="731"/>
      <c r="Q1086" s="731"/>
      <c r="R1086" s="734"/>
      <c r="S1086" s="731"/>
      <c r="T1086" s="731"/>
      <c r="U1086" s="734"/>
      <c r="V1086" s="731"/>
      <c r="W1086" s="731"/>
      <c r="X1086" s="734"/>
      <c r="Y1086" s="731"/>
      <c r="Z1086" s="731"/>
    </row>
    <row r="1087">
      <c r="C1087" s="734"/>
      <c r="D1087" s="731"/>
      <c r="E1087" s="731"/>
      <c r="F1087" s="734"/>
      <c r="G1087" s="731"/>
      <c r="H1087" s="731"/>
      <c r="I1087" s="734"/>
      <c r="J1087" s="731"/>
      <c r="K1087" s="731"/>
      <c r="L1087" s="734"/>
      <c r="M1087" s="731"/>
      <c r="N1087" s="731"/>
      <c r="O1087" s="730"/>
      <c r="P1087" s="731"/>
      <c r="Q1087" s="731"/>
      <c r="R1087" s="734"/>
      <c r="S1087" s="731"/>
      <c r="T1087" s="731"/>
      <c r="U1087" s="734"/>
      <c r="V1087" s="731"/>
      <c r="W1087" s="731"/>
      <c r="X1087" s="734"/>
      <c r="Y1087" s="731"/>
      <c r="Z1087" s="731"/>
    </row>
    <row r="1088">
      <c r="C1088" s="734"/>
      <c r="D1088" s="731"/>
      <c r="E1088" s="731"/>
      <c r="F1088" s="734"/>
      <c r="G1088" s="731"/>
      <c r="H1088" s="731"/>
      <c r="I1088" s="734"/>
      <c r="J1088" s="731"/>
      <c r="K1088" s="731"/>
      <c r="L1088" s="734"/>
      <c r="M1088" s="731"/>
      <c r="N1088" s="731"/>
      <c r="O1088" s="730"/>
      <c r="P1088" s="731"/>
      <c r="Q1088" s="731"/>
      <c r="R1088" s="734"/>
      <c r="S1088" s="731"/>
      <c r="T1088" s="731"/>
      <c r="U1088" s="734"/>
      <c r="V1088" s="731"/>
      <c r="W1088" s="731"/>
      <c r="X1088" s="734"/>
      <c r="Y1088" s="731"/>
      <c r="Z1088" s="731"/>
    </row>
    <row r="1089">
      <c r="C1089" s="734"/>
      <c r="D1089" s="731"/>
      <c r="E1089" s="731"/>
      <c r="F1089" s="734"/>
      <c r="G1089" s="731"/>
      <c r="H1089" s="731"/>
      <c r="I1089" s="734"/>
      <c r="J1089" s="731"/>
      <c r="K1089" s="731"/>
      <c r="L1089" s="734"/>
      <c r="M1089" s="731"/>
      <c r="N1089" s="731"/>
      <c r="O1089" s="730"/>
      <c r="P1089" s="731"/>
      <c r="Q1089" s="731"/>
      <c r="R1089" s="734"/>
      <c r="S1089" s="731"/>
      <c r="T1089" s="731"/>
      <c r="U1089" s="734"/>
      <c r="V1089" s="731"/>
      <c r="W1089" s="731"/>
      <c r="X1089" s="734"/>
      <c r="Y1089" s="731"/>
      <c r="Z1089" s="731"/>
    </row>
    <row r="1090">
      <c r="C1090" s="734"/>
      <c r="D1090" s="731"/>
      <c r="E1090" s="731"/>
      <c r="F1090" s="734"/>
      <c r="G1090" s="731"/>
      <c r="H1090" s="731"/>
      <c r="I1090" s="734"/>
      <c r="J1090" s="731"/>
      <c r="K1090" s="731"/>
      <c r="L1090" s="734"/>
      <c r="M1090" s="731"/>
      <c r="N1090" s="731"/>
      <c r="O1090" s="730"/>
      <c r="P1090" s="731"/>
      <c r="Q1090" s="731"/>
      <c r="R1090" s="734"/>
      <c r="S1090" s="731"/>
      <c r="T1090" s="731"/>
      <c r="U1090" s="734"/>
      <c r="V1090" s="731"/>
      <c r="W1090" s="731"/>
      <c r="X1090" s="734"/>
      <c r="Y1090" s="731"/>
      <c r="Z1090" s="731"/>
    </row>
    <row r="1091">
      <c r="C1091" s="734"/>
      <c r="D1091" s="731"/>
      <c r="E1091" s="731"/>
      <c r="F1091" s="734"/>
      <c r="G1091" s="731"/>
      <c r="H1091" s="731"/>
      <c r="I1091" s="734"/>
      <c r="J1091" s="731"/>
      <c r="K1091" s="731"/>
      <c r="L1091" s="734"/>
      <c r="M1091" s="731"/>
      <c r="N1091" s="731"/>
      <c r="O1091" s="730"/>
      <c r="P1091" s="731"/>
      <c r="Q1091" s="731"/>
      <c r="R1091" s="734"/>
      <c r="S1091" s="731"/>
      <c r="T1091" s="731"/>
      <c r="U1091" s="734"/>
      <c r="V1091" s="731"/>
      <c r="W1091" s="731"/>
      <c r="X1091" s="734"/>
      <c r="Y1091" s="731"/>
      <c r="Z1091" s="731"/>
    </row>
    <row r="1092">
      <c r="C1092" s="734"/>
      <c r="D1092" s="731"/>
      <c r="E1092" s="731"/>
      <c r="F1092" s="734"/>
      <c r="G1092" s="731"/>
      <c r="H1092" s="731"/>
      <c r="I1092" s="734"/>
      <c r="J1092" s="731"/>
      <c r="K1092" s="731"/>
      <c r="L1092" s="734"/>
      <c r="M1092" s="731"/>
      <c r="N1092" s="731"/>
      <c r="O1092" s="730"/>
      <c r="P1092" s="731"/>
      <c r="Q1092" s="731"/>
      <c r="R1092" s="734"/>
      <c r="S1092" s="731"/>
      <c r="T1092" s="731"/>
      <c r="U1092" s="734"/>
      <c r="V1092" s="731"/>
      <c r="W1092" s="731"/>
      <c r="X1092" s="734"/>
      <c r="Y1092" s="731"/>
      <c r="Z1092" s="731"/>
    </row>
    <row r="1093">
      <c r="C1093" s="734"/>
      <c r="D1093" s="731"/>
      <c r="E1093" s="731"/>
      <c r="F1093" s="734"/>
      <c r="G1093" s="731"/>
      <c r="H1093" s="731"/>
      <c r="I1093" s="734"/>
      <c r="J1093" s="731"/>
      <c r="K1093" s="731"/>
      <c r="L1093" s="734"/>
      <c r="M1093" s="731"/>
      <c r="N1093" s="731"/>
      <c r="O1093" s="730"/>
      <c r="P1093" s="731"/>
      <c r="Q1093" s="731"/>
      <c r="R1093" s="734"/>
      <c r="S1093" s="731"/>
      <c r="T1093" s="731"/>
      <c r="U1093" s="734"/>
      <c r="V1093" s="731"/>
      <c r="W1093" s="731"/>
      <c r="X1093" s="734"/>
      <c r="Y1093" s="731"/>
      <c r="Z1093" s="731"/>
    </row>
    <row r="1094">
      <c r="C1094" s="734"/>
      <c r="D1094" s="731"/>
      <c r="E1094" s="731"/>
      <c r="F1094" s="734"/>
      <c r="G1094" s="731"/>
      <c r="H1094" s="731"/>
      <c r="I1094" s="734"/>
      <c r="J1094" s="731"/>
      <c r="K1094" s="731"/>
      <c r="L1094" s="734"/>
      <c r="M1094" s="731"/>
      <c r="N1094" s="731"/>
      <c r="O1094" s="730"/>
      <c r="P1094" s="731"/>
      <c r="Q1094" s="731"/>
      <c r="R1094" s="734"/>
      <c r="S1094" s="731"/>
      <c r="T1094" s="731"/>
      <c r="U1094" s="734"/>
      <c r="V1094" s="731"/>
      <c r="W1094" s="731"/>
      <c r="X1094" s="734"/>
      <c r="Y1094" s="731"/>
      <c r="Z1094" s="731"/>
    </row>
    <row r="1095">
      <c r="C1095" s="734"/>
      <c r="D1095" s="731"/>
      <c r="E1095" s="731"/>
      <c r="F1095" s="734"/>
      <c r="G1095" s="731"/>
      <c r="H1095" s="731"/>
      <c r="I1095" s="734"/>
      <c r="J1095" s="731"/>
      <c r="K1095" s="731"/>
      <c r="L1095" s="734"/>
      <c r="M1095" s="731"/>
      <c r="N1095" s="731"/>
      <c r="O1095" s="730"/>
      <c r="P1095" s="731"/>
      <c r="Q1095" s="731"/>
      <c r="R1095" s="734"/>
      <c r="S1095" s="731"/>
      <c r="T1095" s="731"/>
      <c r="U1095" s="734"/>
      <c r="V1095" s="731"/>
      <c r="W1095" s="731"/>
      <c r="X1095" s="734"/>
      <c r="Y1095" s="731"/>
      <c r="Z1095" s="731"/>
    </row>
    <row r="1096">
      <c r="C1096" s="734"/>
      <c r="D1096" s="731"/>
      <c r="E1096" s="731"/>
      <c r="F1096" s="734"/>
      <c r="G1096" s="731"/>
      <c r="H1096" s="731"/>
      <c r="I1096" s="734"/>
      <c r="J1096" s="731"/>
      <c r="K1096" s="731"/>
      <c r="L1096" s="734"/>
      <c r="M1096" s="731"/>
      <c r="N1096" s="731"/>
      <c r="O1096" s="730"/>
      <c r="P1096" s="731"/>
      <c r="Q1096" s="731"/>
      <c r="R1096" s="734"/>
      <c r="S1096" s="731"/>
      <c r="T1096" s="731"/>
      <c r="U1096" s="734"/>
      <c r="V1096" s="731"/>
      <c r="W1096" s="731"/>
      <c r="X1096" s="734"/>
      <c r="Y1096" s="731"/>
      <c r="Z1096" s="731"/>
    </row>
    <row r="1097">
      <c r="C1097" s="734"/>
      <c r="D1097" s="731"/>
      <c r="E1097" s="731"/>
      <c r="F1097" s="734"/>
      <c r="G1097" s="731"/>
      <c r="H1097" s="731"/>
      <c r="I1097" s="734"/>
      <c r="J1097" s="731"/>
      <c r="K1097" s="731"/>
      <c r="L1097" s="734"/>
      <c r="M1097" s="731"/>
      <c r="N1097" s="731"/>
      <c r="O1097" s="730"/>
      <c r="P1097" s="731"/>
      <c r="Q1097" s="731"/>
      <c r="R1097" s="734"/>
      <c r="S1097" s="731"/>
      <c r="T1097" s="731"/>
      <c r="U1097" s="734"/>
      <c r="V1097" s="731"/>
      <c r="W1097" s="731"/>
      <c r="X1097" s="734"/>
      <c r="Y1097" s="731"/>
      <c r="Z1097" s="731"/>
    </row>
    <row r="1098">
      <c r="C1098" s="734"/>
      <c r="D1098" s="731"/>
      <c r="E1098" s="731"/>
      <c r="F1098" s="734"/>
      <c r="G1098" s="731"/>
      <c r="H1098" s="731"/>
      <c r="I1098" s="734"/>
      <c r="J1098" s="731"/>
      <c r="K1098" s="731"/>
      <c r="L1098" s="734"/>
      <c r="M1098" s="731"/>
      <c r="N1098" s="731"/>
      <c r="O1098" s="730"/>
      <c r="P1098" s="731"/>
      <c r="Q1098" s="731"/>
      <c r="R1098" s="734"/>
      <c r="S1098" s="731"/>
      <c r="T1098" s="731"/>
      <c r="U1098" s="734"/>
      <c r="V1098" s="731"/>
      <c r="W1098" s="731"/>
      <c r="X1098" s="734"/>
      <c r="Y1098" s="731"/>
      <c r="Z1098" s="731"/>
    </row>
    <row r="1099">
      <c r="C1099" s="734"/>
      <c r="D1099" s="731"/>
      <c r="E1099" s="731"/>
      <c r="F1099" s="734"/>
      <c r="G1099" s="731"/>
      <c r="H1099" s="731"/>
      <c r="I1099" s="734"/>
      <c r="J1099" s="731"/>
      <c r="K1099" s="731"/>
      <c r="L1099" s="734"/>
      <c r="M1099" s="731"/>
      <c r="N1099" s="731"/>
      <c r="O1099" s="730"/>
      <c r="P1099" s="731"/>
      <c r="Q1099" s="731"/>
      <c r="R1099" s="734"/>
      <c r="S1099" s="731"/>
      <c r="T1099" s="731"/>
      <c r="U1099" s="734"/>
      <c r="V1099" s="731"/>
      <c r="W1099" s="731"/>
      <c r="X1099" s="734"/>
      <c r="Y1099" s="731"/>
      <c r="Z1099" s="731"/>
    </row>
    <row r="1100">
      <c r="C1100" s="734"/>
      <c r="D1100" s="731"/>
      <c r="E1100" s="731"/>
      <c r="F1100" s="734"/>
      <c r="G1100" s="731"/>
      <c r="H1100" s="731"/>
      <c r="I1100" s="734"/>
      <c r="J1100" s="731"/>
      <c r="K1100" s="731"/>
      <c r="L1100" s="734"/>
      <c r="M1100" s="731"/>
      <c r="N1100" s="731"/>
      <c r="O1100" s="730"/>
      <c r="P1100" s="731"/>
      <c r="Q1100" s="731"/>
      <c r="R1100" s="734"/>
      <c r="S1100" s="731"/>
      <c r="T1100" s="731"/>
      <c r="U1100" s="734"/>
      <c r="V1100" s="731"/>
      <c r="W1100" s="731"/>
      <c r="X1100" s="734"/>
      <c r="Y1100" s="731"/>
      <c r="Z1100" s="731"/>
    </row>
    <row r="1101">
      <c r="C1101" s="734"/>
      <c r="D1101" s="731"/>
      <c r="E1101" s="731"/>
      <c r="F1101" s="734"/>
      <c r="G1101" s="731"/>
      <c r="H1101" s="731"/>
      <c r="I1101" s="734"/>
      <c r="J1101" s="731"/>
      <c r="K1101" s="731"/>
      <c r="L1101" s="734"/>
      <c r="M1101" s="731"/>
      <c r="N1101" s="731"/>
      <c r="O1101" s="730"/>
      <c r="P1101" s="731"/>
      <c r="Q1101" s="731"/>
      <c r="R1101" s="734"/>
      <c r="S1101" s="731"/>
      <c r="T1101" s="731"/>
      <c r="U1101" s="734"/>
      <c r="V1101" s="731"/>
      <c r="W1101" s="731"/>
      <c r="X1101" s="734"/>
      <c r="Y1101" s="731"/>
      <c r="Z1101" s="731"/>
    </row>
    <row r="1102">
      <c r="C1102" s="734"/>
      <c r="D1102" s="731"/>
      <c r="E1102" s="731"/>
      <c r="F1102" s="734"/>
      <c r="G1102" s="731"/>
      <c r="H1102" s="731"/>
      <c r="I1102" s="734"/>
      <c r="J1102" s="731"/>
      <c r="K1102" s="731"/>
      <c r="L1102" s="734"/>
      <c r="M1102" s="731"/>
      <c r="N1102" s="731"/>
      <c r="O1102" s="730"/>
      <c r="P1102" s="731"/>
      <c r="Q1102" s="731"/>
      <c r="R1102" s="734"/>
      <c r="S1102" s="731"/>
      <c r="T1102" s="731"/>
      <c r="U1102" s="734"/>
      <c r="V1102" s="731"/>
      <c r="W1102" s="731"/>
      <c r="X1102" s="734"/>
      <c r="Y1102" s="731"/>
      <c r="Z1102" s="731"/>
    </row>
    <row r="1103">
      <c r="C1103" s="734"/>
      <c r="D1103" s="731"/>
      <c r="E1103" s="731"/>
      <c r="F1103" s="734"/>
      <c r="G1103" s="731"/>
      <c r="H1103" s="731"/>
      <c r="I1103" s="734"/>
      <c r="J1103" s="731"/>
      <c r="K1103" s="731"/>
      <c r="L1103" s="734"/>
      <c r="M1103" s="731"/>
      <c r="N1103" s="731"/>
      <c r="O1103" s="730"/>
      <c r="P1103" s="731"/>
      <c r="Q1103" s="731"/>
      <c r="R1103" s="734"/>
      <c r="S1103" s="731"/>
      <c r="T1103" s="731"/>
      <c r="U1103" s="734"/>
      <c r="V1103" s="731"/>
      <c r="W1103" s="731"/>
      <c r="X1103" s="734"/>
      <c r="Y1103" s="731"/>
      <c r="Z1103" s="731"/>
    </row>
    <row r="1104">
      <c r="C1104" s="734"/>
      <c r="D1104" s="731"/>
      <c r="E1104" s="731"/>
      <c r="F1104" s="734"/>
      <c r="G1104" s="731"/>
      <c r="H1104" s="731"/>
      <c r="I1104" s="734"/>
      <c r="J1104" s="731"/>
      <c r="K1104" s="731"/>
      <c r="L1104" s="734"/>
      <c r="M1104" s="731"/>
      <c r="N1104" s="731"/>
      <c r="O1104" s="730"/>
      <c r="P1104" s="731"/>
      <c r="Q1104" s="731"/>
      <c r="R1104" s="734"/>
      <c r="S1104" s="731"/>
      <c r="T1104" s="731"/>
      <c r="U1104" s="734"/>
      <c r="V1104" s="731"/>
      <c r="W1104" s="731"/>
      <c r="X1104" s="734"/>
      <c r="Y1104" s="731"/>
      <c r="Z1104" s="731"/>
    </row>
    <row r="1105">
      <c r="C1105" s="734"/>
      <c r="D1105" s="731"/>
      <c r="E1105" s="731"/>
      <c r="F1105" s="734"/>
      <c r="G1105" s="731"/>
      <c r="H1105" s="731"/>
      <c r="I1105" s="734"/>
      <c r="J1105" s="731"/>
      <c r="K1105" s="731"/>
      <c r="L1105" s="734"/>
      <c r="M1105" s="731"/>
      <c r="N1105" s="731"/>
      <c r="O1105" s="730"/>
      <c r="P1105" s="731"/>
      <c r="Q1105" s="731"/>
      <c r="R1105" s="734"/>
      <c r="S1105" s="731"/>
      <c r="T1105" s="731"/>
      <c r="U1105" s="734"/>
      <c r="V1105" s="731"/>
      <c r="W1105" s="731"/>
      <c r="X1105" s="734"/>
      <c r="Y1105" s="731"/>
      <c r="Z1105" s="731"/>
    </row>
    <row r="1106">
      <c r="C1106" s="734"/>
      <c r="D1106" s="731"/>
      <c r="E1106" s="731"/>
      <c r="F1106" s="734"/>
      <c r="G1106" s="731"/>
      <c r="H1106" s="731"/>
      <c r="I1106" s="734"/>
      <c r="J1106" s="731"/>
      <c r="K1106" s="731"/>
      <c r="L1106" s="734"/>
      <c r="M1106" s="731"/>
      <c r="N1106" s="731"/>
      <c r="O1106" s="730"/>
      <c r="P1106" s="731"/>
      <c r="Q1106" s="731"/>
      <c r="R1106" s="734"/>
      <c r="S1106" s="731"/>
      <c r="T1106" s="731"/>
      <c r="U1106" s="734"/>
      <c r="V1106" s="731"/>
      <c r="W1106" s="731"/>
      <c r="X1106" s="734"/>
      <c r="Y1106" s="731"/>
      <c r="Z1106" s="731"/>
    </row>
    <row r="1107">
      <c r="C1107" s="734"/>
      <c r="D1107" s="731"/>
      <c r="E1107" s="731"/>
      <c r="F1107" s="734"/>
      <c r="G1107" s="731"/>
      <c r="H1107" s="731"/>
      <c r="I1107" s="734"/>
      <c r="J1107" s="731"/>
      <c r="K1107" s="731"/>
      <c r="L1107" s="734"/>
      <c r="M1107" s="731"/>
      <c r="N1107" s="731"/>
      <c r="O1107" s="730"/>
      <c r="P1107" s="731"/>
      <c r="Q1107" s="731"/>
      <c r="R1107" s="734"/>
      <c r="S1107" s="731"/>
      <c r="T1107" s="731"/>
      <c r="U1107" s="734"/>
      <c r="V1107" s="731"/>
      <c r="W1107" s="731"/>
      <c r="X1107" s="734"/>
      <c r="Y1107" s="731"/>
      <c r="Z1107" s="731"/>
    </row>
    <row r="1108">
      <c r="C1108" s="734"/>
      <c r="D1108" s="731"/>
      <c r="E1108" s="731"/>
      <c r="F1108" s="734"/>
      <c r="G1108" s="731"/>
      <c r="H1108" s="731"/>
      <c r="I1108" s="734"/>
      <c r="J1108" s="731"/>
      <c r="K1108" s="731"/>
      <c r="L1108" s="734"/>
      <c r="M1108" s="731"/>
      <c r="N1108" s="731"/>
      <c r="O1108" s="730"/>
      <c r="P1108" s="731"/>
      <c r="Q1108" s="731"/>
      <c r="R1108" s="734"/>
      <c r="S1108" s="731"/>
      <c r="T1108" s="731"/>
      <c r="U1108" s="734"/>
      <c r="V1108" s="731"/>
      <c r="W1108" s="731"/>
      <c r="X1108" s="734"/>
      <c r="Y1108" s="731"/>
      <c r="Z1108" s="731"/>
    </row>
    <row r="1109">
      <c r="C1109" s="734"/>
      <c r="D1109" s="731"/>
      <c r="E1109" s="731"/>
      <c r="F1109" s="734"/>
      <c r="G1109" s="731"/>
      <c r="H1109" s="731"/>
      <c r="I1109" s="734"/>
      <c r="J1109" s="731"/>
      <c r="K1109" s="731"/>
      <c r="L1109" s="734"/>
      <c r="M1109" s="731"/>
      <c r="N1109" s="731"/>
      <c r="O1109" s="730"/>
      <c r="P1109" s="731"/>
      <c r="Q1109" s="731"/>
      <c r="R1109" s="734"/>
      <c r="S1109" s="731"/>
      <c r="T1109" s="731"/>
      <c r="U1109" s="734"/>
      <c r="V1109" s="731"/>
      <c r="W1109" s="731"/>
      <c r="X1109" s="734"/>
      <c r="Y1109" s="731"/>
      <c r="Z1109" s="731"/>
    </row>
    <row r="1110">
      <c r="C1110" s="734"/>
      <c r="D1110" s="731"/>
      <c r="E1110" s="731"/>
      <c r="F1110" s="734"/>
      <c r="G1110" s="731"/>
      <c r="H1110" s="731"/>
      <c r="I1110" s="734"/>
      <c r="J1110" s="731"/>
      <c r="K1110" s="731"/>
      <c r="L1110" s="734"/>
      <c r="M1110" s="731"/>
      <c r="N1110" s="731"/>
      <c r="O1110" s="730"/>
      <c r="P1110" s="731"/>
      <c r="Q1110" s="731"/>
      <c r="R1110" s="734"/>
      <c r="S1110" s="731"/>
      <c r="T1110" s="731"/>
      <c r="U1110" s="734"/>
      <c r="V1110" s="731"/>
      <c r="W1110" s="731"/>
      <c r="X1110" s="734"/>
      <c r="Y1110" s="731"/>
      <c r="Z1110" s="731"/>
    </row>
    <row r="1111">
      <c r="C1111" s="734"/>
      <c r="D1111" s="731"/>
      <c r="E1111" s="731"/>
      <c r="F1111" s="734"/>
      <c r="G1111" s="731"/>
      <c r="H1111" s="731"/>
      <c r="I1111" s="734"/>
      <c r="J1111" s="731"/>
      <c r="K1111" s="731"/>
      <c r="L1111" s="734"/>
      <c r="M1111" s="731"/>
      <c r="N1111" s="731"/>
      <c r="O1111" s="730"/>
      <c r="P1111" s="731"/>
      <c r="Q1111" s="731"/>
      <c r="R1111" s="734"/>
      <c r="S1111" s="731"/>
      <c r="T1111" s="731"/>
      <c r="U1111" s="734"/>
      <c r="V1111" s="731"/>
      <c r="W1111" s="731"/>
      <c r="X1111" s="734"/>
      <c r="Y1111" s="731"/>
      <c r="Z1111" s="731"/>
    </row>
    <row r="1112">
      <c r="C1112" s="734"/>
      <c r="D1112" s="731"/>
      <c r="E1112" s="731"/>
      <c r="F1112" s="734"/>
      <c r="G1112" s="731"/>
      <c r="H1112" s="731"/>
      <c r="I1112" s="734"/>
      <c r="J1112" s="731"/>
      <c r="K1112" s="731"/>
      <c r="L1112" s="734"/>
      <c r="M1112" s="731"/>
      <c r="N1112" s="731"/>
      <c r="O1112" s="730"/>
      <c r="P1112" s="731"/>
      <c r="Q1112" s="731"/>
      <c r="R1112" s="734"/>
      <c r="S1112" s="731"/>
      <c r="T1112" s="731"/>
      <c r="U1112" s="734"/>
      <c r="V1112" s="731"/>
      <c r="W1112" s="731"/>
      <c r="X1112" s="734"/>
      <c r="Y1112" s="731"/>
      <c r="Z1112" s="731"/>
    </row>
    <row r="1113">
      <c r="C1113" s="734"/>
      <c r="D1113" s="731"/>
      <c r="E1113" s="731"/>
      <c r="F1113" s="734"/>
      <c r="G1113" s="731"/>
      <c r="H1113" s="731"/>
      <c r="I1113" s="734"/>
      <c r="J1113" s="731"/>
      <c r="K1113" s="731"/>
      <c r="L1113" s="734"/>
      <c r="M1113" s="731"/>
      <c r="N1113" s="731"/>
      <c r="O1113" s="730"/>
      <c r="P1113" s="731"/>
      <c r="Q1113" s="731"/>
      <c r="R1113" s="734"/>
      <c r="S1113" s="731"/>
      <c r="T1113" s="731"/>
      <c r="U1113" s="734"/>
      <c r="V1113" s="731"/>
      <c r="W1113" s="731"/>
      <c r="X1113" s="734"/>
      <c r="Y1113" s="731"/>
      <c r="Z1113" s="731"/>
    </row>
    <row r="1114">
      <c r="C1114" s="734"/>
      <c r="D1114" s="731"/>
      <c r="E1114" s="731"/>
      <c r="F1114" s="734"/>
      <c r="G1114" s="731"/>
      <c r="H1114" s="731"/>
      <c r="I1114" s="734"/>
      <c r="J1114" s="731"/>
      <c r="K1114" s="731"/>
      <c r="L1114" s="734"/>
      <c r="M1114" s="731"/>
      <c r="N1114" s="731"/>
      <c r="O1114" s="730"/>
      <c r="P1114" s="731"/>
      <c r="Q1114" s="731"/>
      <c r="R1114" s="734"/>
      <c r="S1114" s="731"/>
      <c r="T1114" s="731"/>
      <c r="U1114" s="734"/>
      <c r="V1114" s="731"/>
      <c r="W1114" s="731"/>
      <c r="X1114" s="734"/>
      <c r="Y1114" s="731"/>
      <c r="Z1114" s="731"/>
    </row>
    <row r="1115">
      <c r="C1115" s="734"/>
      <c r="D1115" s="731"/>
      <c r="E1115" s="731"/>
      <c r="F1115" s="734"/>
      <c r="G1115" s="731"/>
      <c r="H1115" s="731"/>
      <c r="I1115" s="734"/>
      <c r="J1115" s="731"/>
      <c r="K1115" s="731"/>
      <c r="L1115" s="734"/>
      <c r="M1115" s="731"/>
      <c r="N1115" s="731"/>
      <c r="O1115" s="730"/>
      <c r="P1115" s="731"/>
      <c r="Q1115" s="731"/>
      <c r="R1115" s="734"/>
      <c r="S1115" s="731"/>
      <c r="T1115" s="731"/>
      <c r="U1115" s="734"/>
      <c r="V1115" s="731"/>
      <c r="W1115" s="731"/>
      <c r="X1115" s="734"/>
      <c r="Y1115" s="731"/>
      <c r="Z1115" s="731"/>
    </row>
    <row r="1116">
      <c r="C1116" s="734"/>
      <c r="D1116" s="731"/>
      <c r="E1116" s="731"/>
      <c r="F1116" s="734"/>
      <c r="G1116" s="731"/>
      <c r="H1116" s="731"/>
      <c r="I1116" s="734"/>
      <c r="J1116" s="731"/>
      <c r="K1116" s="731"/>
      <c r="L1116" s="734"/>
      <c r="M1116" s="731"/>
      <c r="N1116" s="731"/>
      <c r="O1116" s="730"/>
      <c r="P1116" s="731"/>
      <c r="Q1116" s="731"/>
      <c r="R1116" s="734"/>
      <c r="S1116" s="731"/>
      <c r="T1116" s="731"/>
      <c r="U1116" s="734"/>
      <c r="V1116" s="731"/>
      <c r="W1116" s="731"/>
      <c r="X1116" s="734"/>
      <c r="Y1116" s="731"/>
      <c r="Z1116" s="731"/>
    </row>
    <row r="1117">
      <c r="C1117" s="734"/>
      <c r="D1117" s="731"/>
      <c r="E1117" s="731"/>
      <c r="F1117" s="734"/>
      <c r="G1117" s="731"/>
      <c r="H1117" s="731"/>
      <c r="I1117" s="734"/>
      <c r="J1117" s="731"/>
      <c r="K1117" s="731"/>
      <c r="L1117" s="734"/>
      <c r="M1117" s="731"/>
      <c r="N1117" s="731"/>
      <c r="O1117" s="730"/>
      <c r="P1117" s="731"/>
      <c r="Q1117" s="731"/>
      <c r="R1117" s="734"/>
      <c r="S1117" s="731"/>
      <c r="T1117" s="731"/>
      <c r="U1117" s="734"/>
      <c r="V1117" s="731"/>
      <c r="W1117" s="731"/>
      <c r="X1117" s="734"/>
      <c r="Y1117" s="731"/>
      <c r="Z1117" s="731"/>
    </row>
    <row r="1118">
      <c r="C1118" s="734"/>
      <c r="D1118" s="731"/>
      <c r="E1118" s="731"/>
      <c r="F1118" s="734"/>
      <c r="G1118" s="731"/>
      <c r="H1118" s="731"/>
      <c r="I1118" s="734"/>
      <c r="J1118" s="731"/>
      <c r="K1118" s="731"/>
      <c r="L1118" s="734"/>
      <c r="M1118" s="731"/>
      <c r="N1118" s="731"/>
      <c r="O1118" s="730"/>
      <c r="P1118" s="731"/>
      <c r="Q1118" s="731"/>
      <c r="R1118" s="734"/>
      <c r="S1118" s="731"/>
      <c r="T1118" s="731"/>
      <c r="U1118" s="734"/>
      <c r="V1118" s="731"/>
      <c r="W1118" s="731"/>
      <c r="X1118" s="734"/>
      <c r="Y1118" s="731"/>
      <c r="Z1118" s="731"/>
    </row>
    <row r="1119">
      <c r="C1119" s="734"/>
      <c r="D1119" s="731"/>
      <c r="E1119" s="731"/>
      <c r="F1119" s="734"/>
      <c r="G1119" s="731"/>
      <c r="H1119" s="731"/>
      <c r="I1119" s="734"/>
      <c r="J1119" s="731"/>
      <c r="K1119" s="731"/>
      <c r="L1119" s="734"/>
      <c r="M1119" s="731"/>
      <c r="N1119" s="731"/>
      <c r="O1119" s="730"/>
      <c r="P1119" s="731"/>
      <c r="Q1119" s="731"/>
      <c r="R1119" s="734"/>
      <c r="S1119" s="731"/>
      <c r="T1119" s="731"/>
      <c r="U1119" s="734"/>
      <c r="V1119" s="731"/>
      <c r="W1119" s="731"/>
      <c r="X1119" s="734"/>
      <c r="Y1119" s="731"/>
      <c r="Z1119" s="731"/>
    </row>
    <row r="1120">
      <c r="C1120" s="734"/>
      <c r="D1120" s="731"/>
      <c r="E1120" s="731"/>
      <c r="F1120" s="734"/>
      <c r="G1120" s="731"/>
      <c r="H1120" s="731"/>
      <c r="I1120" s="734"/>
      <c r="J1120" s="731"/>
      <c r="K1120" s="731"/>
      <c r="L1120" s="734"/>
      <c r="M1120" s="731"/>
      <c r="N1120" s="731"/>
      <c r="O1120" s="730"/>
      <c r="P1120" s="731"/>
      <c r="Q1120" s="731"/>
      <c r="R1120" s="734"/>
      <c r="S1120" s="731"/>
      <c r="T1120" s="731"/>
      <c r="U1120" s="734"/>
      <c r="V1120" s="731"/>
      <c r="W1120" s="731"/>
      <c r="X1120" s="734"/>
      <c r="Y1120" s="731"/>
      <c r="Z1120" s="731"/>
    </row>
    <row r="1121">
      <c r="C1121" s="734"/>
      <c r="D1121" s="731"/>
      <c r="E1121" s="731"/>
      <c r="F1121" s="734"/>
      <c r="G1121" s="731"/>
      <c r="H1121" s="731"/>
      <c r="I1121" s="734"/>
      <c r="J1121" s="731"/>
      <c r="K1121" s="731"/>
      <c r="L1121" s="734"/>
      <c r="M1121" s="731"/>
      <c r="N1121" s="731"/>
      <c r="O1121" s="730"/>
      <c r="P1121" s="731"/>
      <c r="Q1121" s="731"/>
      <c r="R1121" s="734"/>
      <c r="S1121" s="731"/>
      <c r="T1121" s="731"/>
      <c r="U1121" s="734"/>
      <c r="V1121" s="731"/>
      <c r="W1121" s="731"/>
      <c r="X1121" s="734"/>
      <c r="Y1121" s="731"/>
      <c r="Z1121" s="731"/>
    </row>
    <row r="1122">
      <c r="C1122" s="734"/>
      <c r="D1122" s="731"/>
      <c r="E1122" s="731"/>
      <c r="F1122" s="734"/>
      <c r="G1122" s="731"/>
      <c r="H1122" s="731"/>
      <c r="I1122" s="734"/>
      <c r="J1122" s="731"/>
      <c r="K1122" s="731"/>
      <c r="L1122" s="734"/>
      <c r="M1122" s="731"/>
      <c r="N1122" s="731"/>
      <c r="O1122" s="730"/>
      <c r="P1122" s="731"/>
      <c r="Q1122" s="731"/>
      <c r="R1122" s="734"/>
      <c r="S1122" s="731"/>
      <c r="T1122" s="731"/>
      <c r="U1122" s="734"/>
      <c r="V1122" s="731"/>
      <c r="W1122" s="731"/>
      <c r="X1122" s="734"/>
      <c r="Y1122" s="731"/>
      <c r="Z1122" s="731"/>
    </row>
    <row r="1123">
      <c r="C1123" s="734"/>
      <c r="D1123" s="731"/>
      <c r="E1123" s="731"/>
      <c r="F1123" s="734"/>
      <c r="G1123" s="731"/>
      <c r="H1123" s="731"/>
      <c r="I1123" s="734"/>
      <c r="J1123" s="731"/>
      <c r="K1123" s="731"/>
      <c r="L1123" s="734"/>
      <c r="M1123" s="731"/>
      <c r="N1123" s="731"/>
      <c r="O1123" s="730"/>
      <c r="P1123" s="731"/>
      <c r="Q1123" s="731"/>
      <c r="R1123" s="734"/>
      <c r="S1123" s="731"/>
      <c r="T1123" s="731"/>
      <c r="U1123" s="734"/>
      <c r="V1123" s="731"/>
      <c r="W1123" s="731"/>
      <c r="X1123" s="734"/>
      <c r="Y1123" s="731"/>
      <c r="Z1123" s="731"/>
    </row>
    <row r="1124">
      <c r="C1124" s="734"/>
      <c r="D1124" s="731"/>
      <c r="E1124" s="731"/>
      <c r="F1124" s="734"/>
      <c r="G1124" s="731"/>
      <c r="H1124" s="731"/>
      <c r="I1124" s="734"/>
      <c r="J1124" s="731"/>
      <c r="K1124" s="731"/>
      <c r="L1124" s="734"/>
      <c r="M1124" s="731"/>
      <c r="N1124" s="731"/>
      <c r="O1124" s="730"/>
      <c r="P1124" s="731"/>
      <c r="Q1124" s="731"/>
      <c r="R1124" s="734"/>
      <c r="S1124" s="731"/>
      <c r="T1124" s="731"/>
      <c r="U1124" s="734"/>
      <c r="V1124" s="731"/>
      <c r="W1124" s="731"/>
      <c r="X1124" s="734"/>
      <c r="Y1124" s="731"/>
      <c r="Z1124" s="731"/>
    </row>
    <row r="1125">
      <c r="C1125" s="734"/>
      <c r="D1125" s="731"/>
      <c r="E1125" s="731"/>
      <c r="F1125" s="734"/>
      <c r="G1125" s="731"/>
      <c r="H1125" s="731"/>
      <c r="I1125" s="734"/>
      <c r="J1125" s="731"/>
      <c r="K1125" s="731"/>
      <c r="L1125" s="734"/>
      <c r="M1125" s="731"/>
      <c r="N1125" s="731"/>
      <c r="O1125" s="730"/>
      <c r="P1125" s="731"/>
      <c r="Q1125" s="731"/>
      <c r="R1125" s="734"/>
      <c r="S1125" s="731"/>
      <c r="T1125" s="731"/>
      <c r="U1125" s="734"/>
      <c r="V1125" s="731"/>
      <c r="W1125" s="731"/>
      <c r="X1125" s="734"/>
      <c r="Y1125" s="731"/>
      <c r="Z1125" s="731"/>
    </row>
    <row r="1126">
      <c r="C1126" s="734"/>
      <c r="D1126" s="731"/>
      <c r="E1126" s="731"/>
      <c r="F1126" s="734"/>
      <c r="G1126" s="731"/>
      <c r="H1126" s="731"/>
      <c r="I1126" s="734"/>
      <c r="J1126" s="731"/>
      <c r="K1126" s="731"/>
      <c r="L1126" s="734"/>
      <c r="M1126" s="731"/>
      <c r="N1126" s="731"/>
      <c r="O1126" s="730"/>
      <c r="P1126" s="731"/>
      <c r="Q1126" s="731"/>
      <c r="R1126" s="734"/>
      <c r="S1126" s="731"/>
      <c r="T1126" s="731"/>
      <c r="U1126" s="734"/>
      <c r="V1126" s="731"/>
      <c r="W1126" s="731"/>
      <c r="X1126" s="734"/>
      <c r="Y1126" s="731"/>
      <c r="Z1126" s="731"/>
    </row>
    <row r="1127">
      <c r="C1127" s="734"/>
      <c r="D1127" s="731"/>
      <c r="E1127" s="731"/>
      <c r="F1127" s="734"/>
      <c r="G1127" s="731"/>
      <c r="H1127" s="731"/>
      <c r="I1127" s="734"/>
      <c r="J1127" s="731"/>
      <c r="K1127" s="731"/>
      <c r="L1127" s="734"/>
      <c r="M1127" s="731"/>
      <c r="N1127" s="731"/>
      <c r="O1127" s="730"/>
      <c r="P1127" s="731"/>
      <c r="Q1127" s="731"/>
      <c r="R1127" s="734"/>
      <c r="S1127" s="731"/>
      <c r="T1127" s="731"/>
      <c r="U1127" s="734"/>
      <c r="V1127" s="731"/>
      <c r="W1127" s="731"/>
      <c r="X1127" s="734"/>
      <c r="Y1127" s="731"/>
      <c r="Z1127" s="731"/>
    </row>
    <row r="1128">
      <c r="C1128" s="734"/>
      <c r="D1128" s="731"/>
      <c r="E1128" s="731"/>
      <c r="F1128" s="734"/>
      <c r="G1128" s="731"/>
      <c r="H1128" s="731"/>
      <c r="I1128" s="734"/>
      <c r="J1128" s="731"/>
      <c r="K1128" s="731"/>
      <c r="L1128" s="734"/>
      <c r="M1128" s="731"/>
      <c r="N1128" s="731"/>
      <c r="O1128" s="730"/>
      <c r="P1128" s="731"/>
      <c r="Q1128" s="731"/>
      <c r="R1128" s="734"/>
      <c r="S1128" s="731"/>
      <c r="T1128" s="731"/>
      <c r="U1128" s="734"/>
      <c r="V1128" s="731"/>
      <c r="W1128" s="731"/>
      <c r="X1128" s="734"/>
      <c r="Y1128" s="731"/>
      <c r="Z1128" s="731"/>
    </row>
    <row r="1129">
      <c r="C1129" s="734"/>
      <c r="D1129" s="731"/>
      <c r="E1129" s="731"/>
      <c r="F1129" s="734"/>
      <c r="G1129" s="731"/>
      <c r="H1129" s="731"/>
      <c r="I1129" s="734"/>
      <c r="J1129" s="731"/>
      <c r="K1129" s="731"/>
      <c r="L1129" s="734"/>
      <c r="M1129" s="731"/>
      <c r="N1129" s="731"/>
      <c r="O1129" s="730"/>
      <c r="P1129" s="731"/>
      <c r="Q1129" s="731"/>
      <c r="R1129" s="734"/>
      <c r="S1129" s="731"/>
      <c r="T1129" s="731"/>
      <c r="U1129" s="734"/>
      <c r="V1129" s="731"/>
      <c r="W1129" s="731"/>
      <c r="X1129" s="734"/>
      <c r="Y1129" s="731"/>
      <c r="Z1129" s="731"/>
    </row>
    <row r="1130">
      <c r="C1130" s="734"/>
      <c r="D1130" s="731"/>
      <c r="E1130" s="731"/>
      <c r="F1130" s="734"/>
      <c r="G1130" s="731"/>
      <c r="H1130" s="731"/>
      <c r="I1130" s="734"/>
      <c r="J1130" s="731"/>
      <c r="K1130" s="731"/>
      <c r="L1130" s="734"/>
      <c r="M1130" s="731"/>
      <c r="N1130" s="731"/>
      <c r="O1130" s="730"/>
      <c r="P1130" s="731"/>
      <c r="Q1130" s="731"/>
      <c r="R1130" s="734"/>
      <c r="S1130" s="731"/>
      <c r="T1130" s="731"/>
      <c r="U1130" s="734"/>
      <c r="V1130" s="731"/>
      <c r="W1130" s="731"/>
      <c r="X1130" s="734"/>
      <c r="Y1130" s="731"/>
      <c r="Z1130" s="731"/>
    </row>
    <row r="1131">
      <c r="C1131" s="734"/>
      <c r="D1131" s="731"/>
      <c r="E1131" s="731"/>
      <c r="F1131" s="734"/>
      <c r="G1131" s="731"/>
      <c r="H1131" s="731"/>
      <c r="I1131" s="734"/>
      <c r="J1131" s="731"/>
      <c r="K1131" s="731"/>
      <c r="L1131" s="734"/>
      <c r="M1131" s="731"/>
      <c r="N1131" s="731"/>
      <c r="O1131" s="730"/>
      <c r="P1131" s="731"/>
      <c r="Q1131" s="731"/>
      <c r="R1131" s="734"/>
      <c r="S1131" s="731"/>
      <c r="T1131" s="731"/>
      <c r="U1131" s="734"/>
      <c r="V1131" s="731"/>
      <c r="W1131" s="731"/>
      <c r="X1131" s="734"/>
      <c r="Y1131" s="731"/>
      <c r="Z1131" s="731"/>
    </row>
    <row r="1132">
      <c r="C1132" s="734"/>
      <c r="D1132" s="731"/>
      <c r="E1132" s="731"/>
      <c r="F1132" s="734"/>
      <c r="G1132" s="731"/>
      <c r="H1132" s="731"/>
      <c r="I1132" s="734"/>
      <c r="J1132" s="731"/>
      <c r="K1132" s="731"/>
      <c r="L1132" s="734"/>
      <c r="M1132" s="731"/>
      <c r="N1132" s="731"/>
      <c r="O1132" s="730"/>
      <c r="P1132" s="731"/>
      <c r="Q1132" s="731"/>
      <c r="R1132" s="734"/>
      <c r="S1132" s="731"/>
      <c r="T1132" s="731"/>
      <c r="U1132" s="734"/>
      <c r="V1132" s="731"/>
      <c r="W1132" s="731"/>
      <c r="X1132" s="734"/>
      <c r="Y1132" s="731"/>
      <c r="Z1132" s="731"/>
    </row>
    <row r="1133">
      <c r="C1133" s="734"/>
      <c r="D1133" s="731"/>
      <c r="E1133" s="731"/>
      <c r="F1133" s="734"/>
      <c r="G1133" s="731"/>
      <c r="H1133" s="731"/>
      <c r="I1133" s="734"/>
      <c r="J1133" s="731"/>
      <c r="K1133" s="731"/>
      <c r="L1133" s="734"/>
      <c r="M1133" s="731"/>
      <c r="N1133" s="731"/>
      <c r="O1133" s="730"/>
      <c r="P1133" s="731"/>
      <c r="Q1133" s="731"/>
      <c r="R1133" s="734"/>
      <c r="S1133" s="731"/>
      <c r="T1133" s="731"/>
      <c r="U1133" s="734"/>
      <c r="V1133" s="731"/>
      <c r="W1133" s="731"/>
      <c r="X1133" s="734"/>
      <c r="Y1133" s="731"/>
      <c r="Z1133" s="731"/>
    </row>
    <row r="1134">
      <c r="C1134" s="734"/>
      <c r="D1134" s="731"/>
      <c r="E1134" s="731"/>
      <c r="F1134" s="734"/>
      <c r="G1134" s="731"/>
      <c r="H1134" s="731"/>
      <c r="I1134" s="734"/>
      <c r="J1134" s="731"/>
      <c r="K1134" s="731"/>
      <c r="L1134" s="734"/>
      <c r="M1134" s="731"/>
      <c r="N1134" s="731"/>
      <c r="O1134" s="730"/>
      <c r="P1134" s="731"/>
      <c r="Q1134" s="731"/>
      <c r="R1134" s="734"/>
      <c r="S1134" s="731"/>
      <c r="T1134" s="731"/>
      <c r="U1134" s="734"/>
      <c r="V1134" s="731"/>
      <c r="W1134" s="731"/>
      <c r="X1134" s="734"/>
      <c r="Y1134" s="731"/>
      <c r="Z1134" s="731"/>
    </row>
    <row r="1135">
      <c r="C1135" s="734"/>
      <c r="D1135" s="731"/>
      <c r="E1135" s="731"/>
      <c r="F1135" s="734"/>
      <c r="G1135" s="731"/>
      <c r="H1135" s="731"/>
      <c r="I1135" s="734"/>
      <c r="J1135" s="731"/>
      <c r="K1135" s="731"/>
      <c r="L1135" s="734"/>
      <c r="M1135" s="731"/>
      <c r="N1135" s="731"/>
      <c r="O1135" s="730"/>
      <c r="P1135" s="731"/>
      <c r="Q1135" s="731"/>
      <c r="R1135" s="734"/>
      <c r="S1135" s="731"/>
      <c r="T1135" s="731"/>
      <c r="U1135" s="734"/>
      <c r="V1135" s="731"/>
      <c r="W1135" s="731"/>
      <c r="X1135" s="734"/>
      <c r="Y1135" s="731"/>
      <c r="Z1135" s="731"/>
    </row>
    <row r="1136">
      <c r="C1136" s="734"/>
      <c r="D1136" s="731"/>
      <c r="E1136" s="731"/>
      <c r="F1136" s="734"/>
      <c r="G1136" s="731"/>
      <c r="H1136" s="731"/>
      <c r="I1136" s="734"/>
      <c r="J1136" s="731"/>
      <c r="K1136" s="731"/>
      <c r="L1136" s="734"/>
      <c r="M1136" s="731"/>
      <c r="N1136" s="731"/>
      <c r="O1136" s="730"/>
      <c r="P1136" s="731"/>
      <c r="Q1136" s="731"/>
      <c r="R1136" s="734"/>
      <c r="S1136" s="731"/>
      <c r="T1136" s="731"/>
      <c r="U1136" s="734"/>
      <c r="V1136" s="731"/>
      <c r="W1136" s="731"/>
      <c r="X1136" s="734"/>
      <c r="Y1136" s="731"/>
      <c r="Z1136" s="731"/>
    </row>
    <row r="1137">
      <c r="C1137" s="734"/>
      <c r="D1137" s="731"/>
      <c r="E1137" s="731"/>
      <c r="F1137" s="734"/>
      <c r="G1137" s="731"/>
      <c r="H1137" s="731"/>
      <c r="I1137" s="734"/>
      <c r="J1137" s="731"/>
      <c r="K1137" s="731"/>
      <c r="L1137" s="734"/>
      <c r="M1137" s="731"/>
      <c r="N1137" s="731"/>
      <c r="O1137" s="730"/>
      <c r="P1137" s="731"/>
      <c r="Q1137" s="731"/>
      <c r="R1137" s="734"/>
      <c r="S1137" s="731"/>
      <c r="T1137" s="731"/>
      <c r="U1137" s="734"/>
      <c r="V1137" s="731"/>
      <c r="W1137" s="731"/>
      <c r="X1137" s="734"/>
      <c r="Y1137" s="731"/>
      <c r="Z1137" s="731"/>
    </row>
    <row r="1138">
      <c r="C1138" s="734"/>
      <c r="D1138" s="731"/>
      <c r="E1138" s="731"/>
      <c r="F1138" s="734"/>
      <c r="G1138" s="731"/>
      <c r="H1138" s="731"/>
      <c r="I1138" s="734"/>
      <c r="J1138" s="731"/>
      <c r="K1138" s="731"/>
      <c r="L1138" s="734"/>
      <c r="M1138" s="731"/>
      <c r="N1138" s="731"/>
      <c r="O1138" s="730"/>
      <c r="P1138" s="731"/>
      <c r="Q1138" s="731"/>
      <c r="R1138" s="734"/>
      <c r="S1138" s="731"/>
      <c r="T1138" s="731"/>
      <c r="U1138" s="734"/>
      <c r="V1138" s="731"/>
      <c r="W1138" s="731"/>
      <c r="X1138" s="734"/>
      <c r="Y1138" s="731"/>
      <c r="Z1138" s="731"/>
    </row>
    <row r="1139">
      <c r="C1139" s="734"/>
      <c r="D1139" s="731"/>
      <c r="E1139" s="731"/>
      <c r="F1139" s="734"/>
      <c r="G1139" s="731"/>
      <c r="H1139" s="731"/>
      <c r="I1139" s="734"/>
      <c r="J1139" s="731"/>
      <c r="K1139" s="731"/>
      <c r="L1139" s="734"/>
      <c r="M1139" s="731"/>
      <c r="N1139" s="731"/>
      <c r="O1139" s="730"/>
      <c r="P1139" s="731"/>
      <c r="Q1139" s="731"/>
      <c r="R1139" s="734"/>
      <c r="S1139" s="731"/>
      <c r="T1139" s="731"/>
      <c r="U1139" s="734"/>
      <c r="V1139" s="731"/>
      <c r="W1139" s="731"/>
      <c r="X1139" s="734"/>
      <c r="Y1139" s="731"/>
      <c r="Z1139" s="731"/>
    </row>
    <row r="1140">
      <c r="C1140" s="734"/>
      <c r="D1140" s="731"/>
      <c r="E1140" s="731"/>
      <c r="F1140" s="734"/>
      <c r="G1140" s="731"/>
      <c r="H1140" s="731"/>
      <c r="I1140" s="734"/>
      <c r="J1140" s="731"/>
      <c r="K1140" s="731"/>
      <c r="L1140" s="734"/>
      <c r="M1140" s="731"/>
      <c r="N1140" s="731"/>
      <c r="O1140" s="730"/>
      <c r="P1140" s="731"/>
      <c r="Q1140" s="731"/>
      <c r="R1140" s="734"/>
      <c r="S1140" s="731"/>
      <c r="T1140" s="731"/>
      <c r="U1140" s="734"/>
      <c r="V1140" s="731"/>
      <c r="W1140" s="731"/>
      <c r="X1140" s="734"/>
      <c r="Y1140" s="731"/>
      <c r="Z1140" s="731"/>
    </row>
    <row r="1141">
      <c r="C1141" s="734"/>
      <c r="D1141" s="731"/>
      <c r="E1141" s="731"/>
      <c r="F1141" s="734"/>
      <c r="G1141" s="731"/>
      <c r="H1141" s="731"/>
      <c r="I1141" s="734"/>
      <c r="J1141" s="731"/>
      <c r="K1141" s="731"/>
      <c r="L1141" s="734"/>
      <c r="M1141" s="731"/>
      <c r="N1141" s="731"/>
      <c r="O1141" s="730"/>
      <c r="P1141" s="731"/>
      <c r="Q1141" s="731"/>
      <c r="R1141" s="734"/>
      <c r="S1141" s="731"/>
      <c r="T1141" s="731"/>
      <c r="U1141" s="734"/>
      <c r="V1141" s="731"/>
      <c r="W1141" s="731"/>
      <c r="X1141" s="734"/>
      <c r="Y1141" s="731"/>
      <c r="Z1141" s="731"/>
    </row>
    <row r="1142">
      <c r="C1142" s="734"/>
      <c r="D1142" s="731"/>
      <c r="E1142" s="731"/>
      <c r="F1142" s="734"/>
      <c r="G1142" s="731"/>
      <c r="H1142" s="731"/>
      <c r="I1142" s="734"/>
      <c r="J1142" s="731"/>
      <c r="K1142" s="731"/>
      <c r="L1142" s="734"/>
      <c r="M1142" s="731"/>
      <c r="N1142" s="731"/>
      <c r="O1142" s="730"/>
      <c r="P1142" s="731"/>
      <c r="Q1142" s="731"/>
      <c r="R1142" s="734"/>
      <c r="S1142" s="731"/>
      <c r="T1142" s="731"/>
      <c r="U1142" s="734"/>
      <c r="V1142" s="731"/>
      <c r="W1142" s="731"/>
      <c r="X1142" s="734"/>
      <c r="Y1142" s="731"/>
      <c r="Z1142" s="731"/>
    </row>
    <row r="1143">
      <c r="C1143" s="734"/>
      <c r="D1143" s="731"/>
      <c r="E1143" s="731"/>
      <c r="F1143" s="734"/>
      <c r="G1143" s="731"/>
      <c r="H1143" s="731"/>
      <c r="I1143" s="734"/>
      <c r="J1143" s="731"/>
      <c r="K1143" s="731"/>
      <c r="L1143" s="734"/>
      <c r="M1143" s="731"/>
      <c r="N1143" s="731"/>
      <c r="O1143" s="730"/>
      <c r="P1143" s="731"/>
      <c r="Q1143" s="731"/>
      <c r="R1143" s="734"/>
      <c r="S1143" s="731"/>
      <c r="T1143" s="731"/>
      <c r="U1143" s="734"/>
      <c r="V1143" s="731"/>
      <c r="W1143" s="731"/>
      <c r="X1143" s="734"/>
      <c r="Y1143" s="731"/>
      <c r="Z1143" s="731"/>
    </row>
    <row r="1144">
      <c r="C1144" s="734"/>
      <c r="D1144" s="731"/>
      <c r="E1144" s="731"/>
      <c r="F1144" s="734"/>
      <c r="G1144" s="731"/>
      <c r="H1144" s="731"/>
      <c r="I1144" s="734"/>
      <c r="J1144" s="731"/>
      <c r="K1144" s="731"/>
      <c r="L1144" s="734"/>
      <c r="M1144" s="731"/>
      <c r="N1144" s="731"/>
      <c r="O1144" s="730"/>
      <c r="P1144" s="731"/>
      <c r="Q1144" s="731"/>
      <c r="R1144" s="734"/>
      <c r="S1144" s="731"/>
      <c r="T1144" s="731"/>
      <c r="U1144" s="734"/>
      <c r="V1144" s="731"/>
      <c r="W1144" s="731"/>
      <c r="X1144" s="734"/>
      <c r="Y1144" s="731"/>
      <c r="Z1144" s="731"/>
    </row>
    <row r="1145">
      <c r="C1145" s="734"/>
      <c r="D1145" s="731"/>
      <c r="E1145" s="731"/>
      <c r="F1145" s="734"/>
      <c r="G1145" s="731"/>
      <c r="H1145" s="731"/>
      <c r="I1145" s="734"/>
      <c r="J1145" s="731"/>
      <c r="K1145" s="731"/>
      <c r="L1145" s="734"/>
      <c r="M1145" s="731"/>
      <c r="N1145" s="731"/>
      <c r="O1145" s="730"/>
      <c r="P1145" s="731"/>
      <c r="Q1145" s="731"/>
      <c r="R1145" s="734"/>
      <c r="S1145" s="731"/>
      <c r="T1145" s="731"/>
      <c r="U1145" s="734"/>
      <c r="V1145" s="731"/>
      <c r="W1145" s="731"/>
      <c r="X1145" s="734"/>
      <c r="Y1145" s="731"/>
      <c r="Z1145" s="731"/>
    </row>
    <row r="1146">
      <c r="C1146" s="734"/>
      <c r="D1146" s="731"/>
      <c r="E1146" s="731"/>
      <c r="F1146" s="734"/>
      <c r="G1146" s="731"/>
      <c r="H1146" s="731"/>
      <c r="I1146" s="734"/>
      <c r="J1146" s="731"/>
      <c r="K1146" s="731"/>
      <c r="L1146" s="734"/>
      <c r="M1146" s="731"/>
      <c r="N1146" s="731"/>
      <c r="O1146" s="730"/>
      <c r="P1146" s="731"/>
      <c r="Q1146" s="731"/>
      <c r="R1146" s="734"/>
      <c r="S1146" s="731"/>
      <c r="T1146" s="731"/>
      <c r="U1146" s="734"/>
      <c r="V1146" s="731"/>
      <c r="W1146" s="731"/>
      <c r="X1146" s="734"/>
      <c r="Y1146" s="731"/>
      <c r="Z1146" s="731"/>
    </row>
    <row r="1147">
      <c r="C1147" s="734"/>
      <c r="D1147" s="731"/>
      <c r="E1147" s="731"/>
      <c r="F1147" s="734"/>
      <c r="G1147" s="731"/>
      <c r="H1147" s="731"/>
      <c r="I1147" s="734"/>
      <c r="J1147" s="731"/>
      <c r="K1147" s="731"/>
      <c r="L1147" s="734"/>
      <c r="M1147" s="731"/>
      <c r="N1147" s="731"/>
      <c r="O1147" s="730"/>
      <c r="P1147" s="731"/>
      <c r="Q1147" s="731"/>
      <c r="R1147" s="734"/>
      <c r="S1147" s="731"/>
      <c r="T1147" s="731"/>
      <c r="U1147" s="734"/>
      <c r="V1147" s="731"/>
      <c r="W1147" s="731"/>
      <c r="X1147" s="734"/>
      <c r="Y1147" s="731"/>
      <c r="Z1147" s="731"/>
    </row>
    <row r="1148">
      <c r="C1148" s="734"/>
      <c r="D1148" s="731"/>
      <c r="E1148" s="731"/>
      <c r="F1148" s="734"/>
      <c r="G1148" s="731"/>
      <c r="H1148" s="731"/>
      <c r="I1148" s="734"/>
      <c r="J1148" s="731"/>
      <c r="K1148" s="731"/>
      <c r="L1148" s="734"/>
      <c r="M1148" s="731"/>
      <c r="N1148" s="731"/>
      <c r="O1148" s="730"/>
      <c r="P1148" s="731"/>
      <c r="Q1148" s="731"/>
      <c r="R1148" s="734"/>
      <c r="S1148" s="731"/>
      <c r="T1148" s="731"/>
      <c r="U1148" s="734"/>
      <c r="V1148" s="731"/>
      <c r="W1148" s="731"/>
      <c r="X1148" s="734"/>
      <c r="Y1148" s="731"/>
      <c r="Z1148" s="731"/>
    </row>
    <row r="1149">
      <c r="C1149" s="734"/>
      <c r="D1149" s="731"/>
      <c r="E1149" s="731"/>
      <c r="F1149" s="734"/>
      <c r="G1149" s="731"/>
      <c r="H1149" s="731"/>
      <c r="I1149" s="734"/>
      <c r="J1149" s="731"/>
      <c r="K1149" s="731"/>
      <c r="L1149" s="734"/>
      <c r="M1149" s="731"/>
      <c r="N1149" s="731"/>
      <c r="O1149" s="730"/>
      <c r="P1149" s="731"/>
      <c r="Q1149" s="731"/>
      <c r="R1149" s="734"/>
      <c r="S1149" s="731"/>
      <c r="T1149" s="731"/>
      <c r="U1149" s="734"/>
      <c r="V1149" s="731"/>
      <c r="W1149" s="731"/>
      <c r="X1149" s="734"/>
      <c r="Y1149" s="731"/>
      <c r="Z1149" s="731"/>
    </row>
    <row r="1150">
      <c r="C1150" s="734"/>
      <c r="D1150" s="731"/>
      <c r="E1150" s="731"/>
      <c r="F1150" s="734"/>
      <c r="G1150" s="731"/>
      <c r="H1150" s="731"/>
      <c r="I1150" s="734"/>
      <c r="J1150" s="731"/>
      <c r="K1150" s="731"/>
      <c r="L1150" s="734"/>
      <c r="M1150" s="731"/>
      <c r="N1150" s="731"/>
      <c r="O1150" s="730"/>
      <c r="P1150" s="731"/>
      <c r="Q1150" s="731"/>
      <c r="R1150" s="734"/>
      <c r="S1150" s="731"/>
      <c r="T1150" s="731"/>
      <c r="U1150" s="734"/>
      <c r="V1150" s="731"/>
      <c r="W1150" s="731"/>
      <c r="X1150" s="734"/>
      <c r="Y1150" s="731"/>
      <c r="Z1150" s="731"/>
    </row>
    <row r="1151">
      <c r="C1151" s="734"/>
      <c r="D1151" s="731"/>
      <c r="E1151" s="731"/>
      <c r="F1151" s="734"/>
      <c r="G1151" s="731"/>
      <c r="H1151" s="731"/>
      <c r="I1151" s="734"/>
      <c r="J1151" s="731"/>
      <c r="K1151" s="731"/>
      <c r="L1151" s="734"/>
      <c r="M1151" s="731"/>
      <c r="N1151" s="731"/>
      <c r="O1151" s="730"/>
      <c r="P1151" s="731"/>
      <c r="Q1151" s="731"/>
      <c r="R1151" s="734"/>
      <c r="S1151" s="731"/>
      <c r="T1151" s="731"/>
      <c r="U1151" s="734"/>
      <c r="V1151" s="731"/>
      <c r="W1151" s="731"/>
      <c r="X1151" s="734"/>
      <c r="Y1151" s="731"/>
      <c r="Z1151" s="731"/>
    </row>
    <row r="1152">
      <c r="C1152" s="734"/>
      <c r="D1152" s="731"/>
      <c r="E1152" s="731"/>
      <c r="F1152" s="734"/>
      <c r="G1152" s="731"/>
      <c r="H1152" s="731"/>
      <c r="I1152" s="734"/>
      <c r="J1152" s="731"/>
      <c r="K1152" s="731"/>
      <c r="L1152" s="734"/>
      <c r="M1152" s="731"/>
      <c r="N1152" s="731"/>
      <c r="O1152" s="730"/>
      <c r="P1152" s="731"/>
      <c r="Q1152" s="731"/>
      <c r="R1152" s="734"/>
      <c r="S1152" s="731"/>
      <c r="T1152" s="731"/>
      <c r="U1152" s="734"/>
      <c r="V1152" s="731"/>
      <c r="W1152" s="731"/>
      <c r="X1152" s="734"/>
      <c r="Y1152" s="731"/>
      <c r="Z1152" s="731"/>
    </row>
    <row r="1153">
      <c r="C1153" s="734"/>
      <c r="D1153" s="731"/>
      <c r="E1153" s="731"/>
      <c r="F1153" s="734"/>
      <c r="G1153" s="731"/>
      <c r="H1153" s="731"/>
      <c r="I1153" s="734"/>
      <c r="J1153" s="731"/>
      <c r="K1153" s="731"/>
      <c r="L1153" s="734"/>
      <c r="M1153" s="731"/>
      <c r="N1153" s="731"/>
      <c r="O1153" s="730"/>
      <c r="P1153" s="731"/>
      <c r="Q1153" s="731"/>
      <c r="R1153" s="734"/>
      <c r="S1153" s="731"/>
      <c r="T1153" s="731"/>
      <c r="U1153" s="734"/>
      <c r="V1153" s="731"/>
      <c r="W1153" s="731"/>
      <c r="X1153" s="734"/>
      <c r="Y1153" s="731"/>
      <c r="Z1153" s="731"/>
    </row>
    <row r="1154">
      <c r="C1154" s="734"/>
      <c r="D1154" s="731"/>
      <c r="E1154" s="731"/>
      <c r="F1154" s="734"/>
      <c r="G1154" s="731"/>
      <c r="H1154" s="731"/>
      <c r="I1154" s="734"/>
      <c r="J1154" s="731"/>
      <c r="K1154" s="731"/>
      <c r="L1154" s="734"/>
      <c r="M1154" s="731"/>
      <c r="N1154" s="731"/>
      <c r="O1154" s="730"/>
      <c r="P1154" s="731"/>
      <c r="Q1154" s="731"/>
      <c r="R1154" s="734"/>
      <c r="S1154" s="731"/>
      <c r="T1154" s="731"/>
      <c r="U1154" s="734"/>
      <c r="V1154" s="731"/>
      <c r="W1154" s="731"/>
      <c r="X1154" s="734"/>
      <c r="Y1154" s="731"/>
      <c r="Z1154" s="731"/>
    </row>
    <row r="1155">
      <c r="C1155" s="734"/>
      <c r="D1155" s="731"/>
      <c r="E1155" s="731"/>
      <c r="F1155" s="734"/>
      <c r="G1155" s="731"/>
      <c r="H1155" s="731"/>
      <c r="I1155" s="734"/>
      <c r="J1155" s="731"/>
      <c r="K1155" s="731"/>
      <c r="L1155" s="734"/>
      <c r="M1155" s="731"/>
      <c r="N1155" s="731"/>
      <c r="O1155" s="730"/>
      <c r="P1155" s="731"/>
      <c r="Q1155" s="731"/>
      <c r="R1155" s="734"/>
      <c r="S1155" s="731"/>
      <c r="T1155" s="731"/>
      <c r="U1155" s="734"/>
      <c r="V1155" s="731"/>
      <c r="W1155" s="731"/>
      <c r="X1155" s="734"/>
      <c r="Y1155" s="731"/>
      <c r="Z1155" s="731"/>
    </row>
    <row r="1156">
      <c r="C1156" s="734"/>
      <c r="D1156" s="731"/>
      <c r="E1156" s="731"/>
      <c r="F1156" s="734"/>
      <c r="G1156" s="731"/>
      <c r="H1156" s="731"/>
      <c r="I1156" s="734"/>
      <c r="J1156" s="731"/>
      <c r="K1156" s="731"/>
      <c r="L1156" s="734"/>
      <c r="M1156" s="731"/>
      <c r="N1156" s="731"/>
      <c r="O1156" s="730"/>
      <c r="P1156" s="731"/>
      <c r="Q1156" s="731"/>
      <c r="R1156" s="734"/>
      <c r="S1156" s="731"/>
      <c r="T1156" s="731"/>
      <c r="U1156" s="734"/>
      <c r="V1156" s="731"/>
      <c r="W1156" s="731"/>
      <c r="X1156" s="734"/>
      <c r="Y1156" s="731"/>
      <c r="Z1156" s="731"/>
    </row>
    <row r="1157">
      <c r="C1157" s="734"/>
      <c r="D1157" s="731"/>
      <c r="E1157" s="731"/>
      <c r="F1157" s="734"/>
      <c r="G1157" s="731"/>
      <c r="H1157" s="731"/>
      <c r="I1157" s="734"/>
      <c r="J1157" s="731"/>
      <c r="K1157" s="731"/>
      <c r="L1157" s="734"/>
      <c r="M1157" s="731"/>
      <c r="N1157" s="731"/>
      <c r="O1157" s="730"/>
      <c r="P1157" s="731"/>
      <c r="Q1157" s="731"/>
      <c r="R1157" s="734"/>
      <c r="S1157" s="731"/>
      <c r="T1157" s="731"/>
      <c r="U1157" s="734"/>
      <c r="V1157" s="731"/>
      <c r="W1157" s="731"/>
      <c r="X1157" s="734"/>
      <c r="Y1157" s="731"/>
      <c r="Z1157" s="731"/>
    </row>
    <row r="1158">
      <c r="C1158" s="734"/>
      <c r="D1158" s="731"/>
      <c r="E1158" s="731"/>
      <c r="F1158" s="734"/>
      <c r="G1158" s="731"/>
      <c r="H1158" s="731"/>
      <c r="I1158" s="734"/>
      <c r="J1158" s="731"/>
      <c r="K1158" s="731"/>
      <c r="L1158" s="734"/>
      <c r="M1158" s="731"/>
      <c r="N1158" s="731"/>
      <c r="O1158" s="730"/>
      <c r="P1158" s="731"/>
      <c r="Q1158" s="731"/>
      <c r="R1158" s="734"/>
      <c r="S1158" s="731"/>
      <c r="T1158" s="731"/>
      <c r="U1158" s="734"/>
      <c r="V1158" s="731"/>
      <c r="W1158" s="731"/>
      <c r="X1158" s="734"/>
      <c r="Y1158" s="731"/>
      <c r="Z1158" s="731"/>
    </row>
    <row r="1159">
      <c r="C1159" s="734"/>
      <c r="D1159" s="731"/>
      <c r="E1159" s="731"/>
      <c r="F1159" s="734"/>
      <c r="G1159" s="731"/>
      <c r="H1159" s="731"/>
      <c r="I1159" s="734"/>
      <c r="J1159" s="731"/>
      <c r="K1159" s="731"/>
      <c r="L1159" s="734"/>
      <c r="M1159" s="731"/>
      <c r="N1159" s="731"/>
      <c r="O1159" s="730"/>
      <c r="P1159" s="731"/>
      <c r="Q1159" s="731"/>
      <c r="R1159" s="734"/>
      <c r="S1159" s="731"/>
      <c r="T1159" s="731"/>
      <c r="U1159" s="734"/>
      <c r="V1159" s="731"/>
      <c r="W1159" s="731"/>
      <c r="X1159" s="734"/>
      <c r="Y1159" s="731"/>
      <c r="Z1159" s="731"/>
    </row>
    <row r="1160">
      <c r="C1160" s="734"/>
      <c r="D1160" s="731"/>
      <c r="E1160" s="731"/>
      <c r="F1160" s="734"/>
      <c r="G1160" s="731"/>
      <c r="H1160" s="731"/>
      <c r="I1160" s="734"/>
      <c r="J1160" s="731"/>
      <c r="K1160" s="731"/>
      <c r="L1160" s="734"/>
      <c r="M1160" s="731"/>
      <c r="N1160" s="731"/>
      <c r="O1160" s="730"/>
      <c r="P1160" s="731"/>
      <c r="Q1160" s="731"/>
      <c r="R1160" s="734"/>
      <c r="S1160" s="731"/>
      <c r="T1160" s="731"/>
      <c r="U1160" s="734"/>
      <c r="V1160" s="731"/>
      <c r="W1160" s="731"/>
      <c r="X1160" s="734"/>
      <c r="Y1160" s="731"/>
      <c r="Z1160" s="731"/>
    </row>
    <row r="1161">
      <c r="C1161" s="734"/>
      <c r="D1161" s="731"/>
      <c r="E1161" s="731"/>
      <c r="F1161" s="734"/>
      <c r="G1161" s="731"/>
      <c r="H1161" s="731"/>
      <c r="I1161" s="734"/>
      <c r="J1161" s="731"/>
      <c r="K1161" s="731"/>
      <c r="L1161" s="734"/>
      <c r="M1161" s="731"/>
      <c r="N1161" s="731"/>
      <c r="O1161" s="730"/>
      <c r="P1161" s="731"/>
      <c r="Q1161" s="731"/>
      <c r="R1161" s="734"/>
      <c r="S1161" s="731"/>
      <c r="T1161" s="731"/>
      <c r="U1161" s="734"/>
      <c r="V1161" s="731"/>
      <c r="W1161" s="731"/>
      <c r="X1161" s="734"/>
      <c r="Y1161" s="731"/>
      <c r="Z1161" s="731"/>
    </row>
    <row r="1162">
      <c r="C1162" s="734"/>
      <c r="D1162" s="731"/>
      <c r="E1162" s="731"/>
      <c r="F1162" s="734"/>
      <c r="G1162" s="731"/>
      <c r="H1162" s="731"/>
      <c r="I1162" s="734"/>
      <c r="J1162" s="731"/>
      <c r="K1162" s="731"/>
      <c r="L1162" s="734"/>
      <c r="M1162" s="731"/>
      <c r="N1162" s="731"/>
      <c r="O1162" s="730"/>
      <c r="P1162" s="731"/>
      <c r="Q1162" s="731"/>
      <c r="R1162" s="734"/>
      <c r="S1162" s="731"/>
      <c r="T1162" s="731"/>
      <c r="U1162" s="734"/>
      <c r="V1162" s="731"/>
      <c r="W1162" s="731"/>
      <c r="X1162" s="734"/>
      <c r="Y1162" s="731"/>
      <c r="Z1162" s="731"/>
    </row>
    <row r="1163">
      <c r="C1163" s="734"/>
      <c r="D1163" s="731"/>
      <c r="E1163" s="731"/>
      <c r="F1163" s="734"/>
      <c r="G1163" s="731"/>
      <c r="H1163" s="731"/>
      <c r="I1163" s="734"/>
      <c r="J1163" s="731"/>
      <c r="K1163" s="731"/>
      <c r="L1163" s="734"/>
      <c r="M1163" s="731"/>
      <c r="N1163" s="731"/>
      <c r="O1163" s="730"/>
      <c r="P1163" s="731"/>
      <c r="Q1163" s="731"/>
      <c r="R1163" s="734"/>
      <c r="S1163" s="731"/>
      <c r="T1163" s="731"/>
      <c r="U1163" s="734"/>
      <c r="V1163" s="731"/>
      <c r="W1163" s="731"/>
      <c r="X1163" s="734"/>
      <c r="Y1163" s="731"/>
      <c r="Z1163" s="731"/>
    </row>
    <row r="1164">
      <c r="C1164" s="734"/>
      <c r="D1164" s="731"/>
      <c r="E1164" s="731"/>
      <c r="F1164" s="734"/>
      <c r="G1164" s="731"/>
      <c r="H1164" s="731"/>
      <c r="I1164" s="734"/>
      <c r="J1164" s="731"/>
      <c r="K1164" s="731"/>
      <c r="L1164" s="734"/>
      <c r="M1164" s="731"/>
      <c r="N1164" s="731"/>
      <c r="O1164" s="730"/>
      <c r="P1164" s="731"/>
      <c r="Q1164" s="731"/>
      <c r="R1164" s="734"/>
      <c r="S1164" s="731"/>
      <c r="T1164" s="731"/>
      <c r="U1164" s="734"/>
      <c r="V1164" s="731"/>
      <c r="W1164" s="731"/>
      <c r="X1164" s="734"/>
      <c r="Y1164" s="731"/>
      <c r="Z1164" s="731"/>
    </row>
    <row r="1165">
      <c r="C1165" s="734"/>
      <c r="D1165" s="731"/>
      <c r="E1165" s="731"/>
      <c r="F1165" s="734"/>
      <c r="G1165" s="731"/>
      <c r="H1165" s="731"/>
      <c r="I1165" s="734"/>
      <c r="J1165" s="731"/>
      <c r="K1165" s="731"/>
      <c r="L1165" s="734"/>
      <c r="M1165" s="731"/>
      <c r="N1165" s="731"/>
      <c r="O1165" s="730"/>
      <c r="P1165" s="731"/>
      <c r="Q1165" s="731"/>
      <c r="R1165" s="734"/>
      <c r="S1165" s="731"/>
      <c r="T1165" s="731"/>
      <c r="U1165" s="734"/>
      <c r="V1165" s="731"/>
      <c r="W1165" s="731"/>
      <c r="X1165" s="734"/>
      <c r="Y1165" s="731"/>
      <c r="Z1165" s="731"/>
    </row>
    <row r="1166">
      <c r="C1166" s="734"/>
      <c r="D1166" s="731"/>
      <c r="E1166" s="731"/>
      <c r="F1166" s="734"/>
      <c r="G1166" s="731"/>
      <c r="H1166" s="731"/>
      <c r="I1166" s="734"/>
      <c r="J1166" s="731"/>
      <c r="K1166" s="731"/>
      <c r="L1166" s="734"/>
      <c r="M1166" s="731"/>
      <c r="N1166" s="731"/>
      <c r="O1166" s="730"/>
      <c r="P1166" s="731"/>
      <c r="Q1166" s="731"/>
      <c r="R1166" s="734"/>
      <c r="S1166" s="731"/>
      <c r="T1166" s="731"/>
      <c r="U1166" s="734"/>
      <c r="V1166" s="731"/>
      <c r="W1166" s="731"/>
      <c r="X1166" s="734"/>
      <c r="Y1166" s="731"/>
      <c r="Z1166" s="731"/>
    </row>
    <row r="1167">
      <c r="C1167" s="734"/>
      <c r="D1167" s="731"/>
      <c r="E1167" s="731"/>
      <c r="F1167" s="734"/>
      <c r="G1167" s="731"/>
      <c r="H1167" s="731"/>
      <c r="I1167" s="734"/>
      <c r="J1167" s="731"/>
      <c r="K1167" s="731"/>
      <c r="L1167" s="734"/>
      <c r="M1167" s="731"/>
      <c r="N1167" s="731"/>
      <c r="O1167" s="730"/>
      <c r="P1167" s="731"/>
      <c r="Q1167" s="731"/>
      <c r="R1167" s="734"/>
      <c r="S1167" s="731"/>
      <c r="T1167" s="731"/>
      <c r="U1167" s="734"/>
      <c r="V1167" s="731"/>
      <c r="W1167" s="731"/>
      <c r="X1167" s="734"/>
      <c r="Y1167" s="731"/>
      <c r="Z1167" s="731"/>
    </row>
    <row r="1168">
      <c r="C1168" s="734"/>
      <c r="D1168" s="731"/>
      <c r="E1168" s="731"/>
      <c r="F1168" s="734"/>
      <c r="G1168" s="731"/>
      <c r="H1168" s="731"/>
      <c r="I1168" s="734"/>
      <c r="J1168" s="731"/>
      <c r="K1168" s="731"/>
      <c r="L1168" s="734"/>
      <c r="M1168" s="731"/>
      <c r="N1168" s="731"/>
      <c r="O1168" s="730"/>
      <c r="P1168" s="731"/>
      <c r="Q1168" s="731"/>
      <c r="R1168" s="734"/>
      <c r="S1168" s="731"/>
      <c r="T1168" s="731"/>
      <c r="U1168" s="734"/>
      <c r="V1168" s="731"/>
      <c r="W1168" s="731"/>
      <c r="X1168" s="734"/>
      <c r="Y1168" s="731"/>
      <c r="Z1168" s="731"/>
    </row>
    <row r="1169">
      <c r="C1169" s="734"/>
      <c r="D1169" s="731"/>
      <c r="E1169" s="731"/>
      <c r="F1169" s="734"/>
      <c r="G1169" s="731"/>
      <c r="H1169" s="731"/>
      <c r="I1169" s="734"/>
      <c r="J1169" s="731"/>
      <c r="K1169" s="731"/>
      <c r="L1169" s="734"/>
      <c r="M1169" s="731"/>
      <c r="N1169" s="731"/>
      <c r="O1169" s="730"/>
      <c r="P1169" s="731"/>
      <c r="Q1169" s="731"/>
      <c r="R1169" s="734"/>
      <c r="S1169" s="731"/>
      <c r="T1169" s="731"/>
      <c r="U1169" s="734"/>
      <c r="V1169" s="731"/>
      <c r="W1169" s="731"/>
      <c r="X1169" s="734"/>
      <c r="Y1169" s="731"/>
      <c r="Z1169" s="731"/>
    </row>
    <row r="1170">
      <c r="C1170" s="734"/>
      <c r="D1170" s="731"/>
      <c r="E1170" s="731"/>
      <c r="F1170" s="734"/>
      <c r="G1170" s="731"/>
      <c r="H1170" s="731"/>
      <c r="I1170" s="734"/>
      <c r="J1170" s="731"/>
      <c r="K1170" s="731"/>
      <c r="L1170" s="734"/>
      <c r="M1170" s="731"/>
      <c r="N1170" s="731"/>
      <c r="O1170" s="730"/>
      <c r="P1170" s="731"/>
      <c r="Q1170" s="731"/>
      <c r="R1170" s="734"/>
      <c r="S1170" s="731"/>
      <c r="T1170" s="731"/>
      <c r="U1170" s="734"/>
      <c r="V1170" s="731"/>
      <c r="W1170" s="731"/>
      <c r="X1170" s="734"/>
      <c r="Y1170" s="731"/>
      <c r="Z1170" s="731"/>
    </row>
    <row r="1171">
      <c r="C1171" s="734"/>
      <c r="D1171" s="731"/>
      <c r="E1171" s="731"/>
      <c r="F1171" s="734"/>
      <c r="G1171" s="731"/>
      <c r="H1171" s="731"/>
      <c r="I1171" s="734"/>
      <c r="J1171" s="731"/>
      <c r="K1171" s="731"/>
      <c r="L1171" s="734"/>
      <c r="M1171" s="731"/>
      <c r="N1171" s="731"/>
      <c r="O1171" s="730"/>
      <c r="P1171" s="731"/>
      <c r="Q1171" s="731"/>
      <c r="R1171" s="734"/>
      <c r="S1171" s="731"/>
      <c r="T1171" s="731"/>
      <c r="U1171" s="734"/>
      <c r="V1171" s="731"/>
      <c r="W1171" s="731"/>
      <c r="X1171" s="734"/>
      <c r="Y1171" s="731"/>
      <c r="Z1171" s="731"/>
    </row>
    <row r="1172">
      <c r="C1172" s="734"/>
      <c r="D1172" s="731"/>
      <c r="E1172" s="731"/>
      <c r="F1172" s="734"/>
      <c r="G1172" s="731"/>
      <c r="H1172" s="731"/>
      <c r="I1172" s="734"/>
      <c r="J1172" s="731"/>
      <c r="K1172" s="731"/>
      <c r="L1172" s="734"/>
      <c r="M1172" s="731"/>
      <c r="N1172" s="731"/>
      <c r="O1172" s="730"/>
      <c r="P1172" s="731"/>
      <c r="Q1172" s="731"/>
      <c r="R1172" s="734"/>
      <c r="S1172" s="731"/>
      <c r="T1172" s="731"/>
      <c r="U1172" s="734"/>
      <c r="V1172" s="731"/>
      <c r="W1172" s="731"/>
      <c r="X1172" s="734"/>
      <c r="Y1172" s="731"/>
      <c r="Z1172" s="731"/>
    </row>
    <row r="1173">
      <c r="C1173" s="734"/>
      <c r="D1173" s="731"/>
      <c r="E1173" s="731"/>
      <c r="F1173" s="734"/>
      <c r="G1173" s="731"/>
      <c r="H1173" s="731"/>
      <c r="I1173" s="734"/>
      <c r="J1173" s="731"/>
      <c r="K1173" s="731"/>
      <c r="L1173" s="734"/>
      <c r="M1173" s="731"/>
      <c r="N1173" s="731"/>
      <c r="O1173" s="730"/>
      <c r="P1173" s="731"/>
      <c r="Q1173" s="731"/>
      <c r="R1173" s="734"/>
      <c r="S1173" s="731"/>
      <c r="T1173" s="731"/>
      <c r="U1173" s="734"/>
      <c r="V1173" s="731"/>
      <c r="W1173" s="731"/>
      <c r="X1173" s="734"/>
      <c r="Y1173" s="731"/>
      <c r="Z1173" s="731"/>
    </row>
    <row r="1174">
      <c r="C1174" s="734"/>
      <c r="D1174" s="731"/>
      <c r="E1174" s="731"/>
      <c r="F1174" s="734"/>
      <c r="G1174" s="731"/>
      <c r="H1174" s="731"/>
      <c r="I1174" s="734"/>
      <c r="J1174" s="731"/>
      <c r="K1174" s="731"/>
      <c r="L1174" s="734"/>
      <c r="M1174" s="731"/>
      <c r="N1174" s="731"/>
      <c r="O1174" s="730"/>
      <c r="P1174" s="731"/>
      <c r="Q1174" s="731"/>
      <c r="R1174" s="734"/>
      <c r="S1174" s="731"/>
      <c r="T1174" s="731"/>
      <c r="U1174" s="734"/>
      <c r="V1174" s="731"/>
      <c r="W1174" s="731"/>
      <c r="X1174" s="734"/>
      <c r="Y1174" s="731"/>
      <c r="Z1174" s="731"/>
    </row>
    <row r="1175">
      <c r="C1175" s="734"/>
      <c r="D1175" s="731"/>
      <c r="E1175" s="731"/>
      <c r="F1175" s="734"/>
      <c r="G1175" s="731"/>
      <c r="H1175" s="731"/>
      <c r="I1175" s="734"/>
      <c r="J1175" s="731"/>
      <c r="K1175" s="731"/>
      <c r="L1175" s="734"/>
      <c r="M1175" s="731"/>
      <c r="N1175" s="731"/>
      <c r="O1175" s="730"/>
      <c r="P1175" s="731"/>
      <c r="Q1175" s="731"/>
      <c r="R1175" s="734"/>
      <c r="S1175" s="731"/>
      <c r="T1175" s="731"/>
      <c r="U1175" s="734"/>
      <c r="V1175" s="731"/>
      <c r="W1175" s="731"/>
      <c r="X1175" s="734"/>
      <c r="Y1175" s="731"/>
      <c r="Z1175" s="731"/>
    </row>
    <row r="1176">
      <c r="C1176" s="734"/>
      <c r="D1176" s="731"/>
      <c r="E1176" s="731"/>
      <c r="F1176" s="734"/>
      <c r="G1176" s="731"/>
      <c r="H1176" s="731"/>
      <c r="I1176" s="734"/>
      <c r="J1176" s="731"/>
      <c r="K1176" s="731"/>
      <c r="L1176" s="734"/>
      <c r="M1176" s="731"/>
      <c r="N1176" s="731"/>
      <c r="O1176" s="730"/>
      <c r="P1176" s="731"/>
      <c r="Q1176" s="731"/>
      <c r="R1176" s="734"/>
      <c r="S1176" s="731"/>
      <c r="T1176" s="731"/>
      <c r="U1176" s="734"/>
      <c r="V1176" s="731"/>
      <c r="W1176" s="731"/>
      <c r="X1176" s="734"/>
      <c r="Y1176" s="731"/>
      <c r="Z1176" s="731"/>
    </row>
    <row r="1177">
      <c r="C1177" s="734"/>
      <c r="D1177" s="731"/>
      <c r="E1177" s="731"/>
      <c r="F1177" s="734"/>
      <c r="G1177" s="731"/>
      <c r="H1177" s="731"/>
      <c r="I1177" s="734"/>
      <c r="J1177" s="731"/>
      <c r="K1177" s="731"/>
      <c r="L1177" s="734"/>
      <c r="M1177" s="731"/>
      <c r="N1177" s="731"/>
      <c r="O1177" s="730"/>
      <c r="P1177" s="731"/>
      <c r="Q1177" s="731"/>
      <c r="R1177" s="734"/>
      <c r="S1177" s="731"/>
      <c r="T1177" s="731"/>
      <c r="U1177" s="734"/>
      <c r="V1177" s="731"/>
      <c r="W1177" s="731"/>
      <c r="X1177" s="734"/>
      <c r="Y1177" s="731"/>
      <c r="Z1177" s="731"/>
    </row>
    <row r="1178">
      <c r="C1178" s="734"/>
      <c r="D1178" s="731"/>
      <c r="E1178" s="731"/>
      <c r="F1178" s="734"/>
      <c r="G1178" s="731"/>
      <c r="H1178" s="731"/>
      <c r="I1178" s="734"/>
      <c r="J1178" s="731"/>
      <c r="K1178" s="731"/>
      <c r="L1178" s="734"/>
      <c r="M1178" s="731"/>
      <c r="N1178" s="731"/>
      <c r="O1178" s="730"/>
      <c r="P1178" s="731"/>
      <c r="Q1178" s="731"/>
      <c r="R1178" s="734"/>
      <c r="S1178" s="731"/>
      <c r="T1178" s="731"/>
      <c r="U1178" s="734"/>
      <c r="V1178" s="731"/>
      <c r="W1178" s="731"/>
      <c r="X1178" s="734"/>
      <c r="Y1178" s="731"/>
      <c r="Z1178" s="731"/>
    </row>
    <row r="1179">
      <c r="C1179" s="734"/>
      <c r="D1179" s="731"/>
      <c r="E1179" s="731"/>
      <c r="F1179" s="734"/>
      <c r="G1179" s="731"/>
      <c r="H1179" s="731"/>
      <c r="I1179" s="734"/>
      <c r="J1179" s="731"/>
      <c r="K1179" s="731"/>
      <c r="L1179" s="734"/>
      <c r="M1179" s="731"/>
      <c r="N1179" s="731"/>
      <c r="O1179" s="730"/>
      <c r="P1179" s="731"/>
      <c r="Q1179" s="731"/>
      <c r="R1179" s="734"/>
      <c r="S1179" s="731"/>
      <c r="T1179" s="731"/>
      <c r="U1179" s="734"/>
      <c r="V1179" s="731"/>
      <c r="W1179" s="731"/>
      <c r="X1179" s="734"/>
      <c r="Y1179" s="731"/>
      <c r="Z1179" s="731"/>
    </row>
    <row r="1180">
      <c r="C1180" s="734"/>
      <c r="D1180" s="731"/>
      <c r="E1180" s="731"/>
      <c r="F1180" s="734"/>
      <c r="G1180" s="731"/>
      <c r="H1180" s="731"/>
      <c r="I1180" s="734"/>
      <c r="J1180" s="731"/>
      <c r="K1180" s="731"/>
      <c r="L1180" s="734"/>
      <c r="M1180" s="731"/>
      <c r="N1180" s="731"/>
      <c r="O1180" s="730"/>
      <c r="P1180" s="731"/>
      <c r="Q1180" s="731"/>
      <c r="R1180" s="734"/>
      <c r="S1180" s="731"/>
      <c r="T1180" s="731"/>
      <c r="U1180" s="734"/>
      <c r="V1180" s="731"/>
      <c r="W1180" s="731"/>
      <c r="X1180" s="734"/>
      <c r="Y1180" s="731"/>
      <c r="Z1180" s="731"/>
    </row>
    <row r="1181">
      <c r="C1181" s="734"/>
      <c r="D1181" s="731"/>
      <c r="E1181" s="731"/>
      <c r="F1181" s="734"/>
      <c r="G1181" s="731"/>
      <c r="H1181" s="731"/>
      <c r="I1181" s="734"/>
      <c r="J1181" s="731"/>
      <c r="K1181" s="731"/>
      <c r="L1181" s="734"/>
      <c r="M1181" s="731"/>
      <c r="N1181" s="731"/>
      <c r="O1181" s="730"/>
      <c r="P1181" s="731"/>
      <c r="Q1181" s="731"/>
      <c r="R1181" s="734"/>
      <c r="S1181" s="731"/>
      <c r="T1181" s="731"/>
      <c r="U1181" s="734"/>
      <c r="V1181" s="731"/>
      <c r="W1181" s="731"/>
      <c r="X1181" s="734"/>
      <c r="Y1181" s="731"/>
      <c r="Z1181" s="731"/>
    </row>
    <row r="1182">
      <c r="C1182" s="734"/>
      <c r="D1182" s="731"/>
      <c r="E1182" s="731"/>
      <c r="F1182" s="734"/>
      <c r="G1182" s="731"/>
      <c r="H1182" s="731"/>
      <c r="I1182" s="734"/>
      <c r="J1182" s="731"/>
      <c r="K1182" s="731"/>
      <c r="L1182" s="734"/>
      <c r="M1182" s="731"/>
      <c r="N1182" s="731"/>
      <c r="O1182" s="730"/>
      <c r="P1182" s="731"/>
      <c r="Q1182" s="731"/>
      <c r="R1182" s="734"/>
      <c r="S1182" s="731"/>
      <c r="T1182" s="731"/>
      <c r="U1182" s="734"/>
      <c r="V1182" s="731"/>
      <c r="W1182" s="731"/>
      <c r="X1182" s="734"/>
      <c r="Y1182" s="731"/>
      <c r="Z1182" s="731"/>
    </row>
    <row r="1183">
      <c r="C1183" s="734"/>
      <c r="D1183" s="731"/>
      <c r="E1183" s="731"/>
      <c r="F1183" s="734"/>
      <c r="G1183" s="731"/>
      <c r="H1183" s="731"/>
      <c r="I1183" s="734"/>
      <c r="J1183" s="731"/>
      <c r="K1183" s="731"/>
      <c r="L1183" s="734"/>
      <c r="M1183" s="731"/>
      <c r="N1183" s="731"/>
      <c r="O1183" s="730"/>
      <c r="P1183" s="731"/>
      <c r="Q1183" s="731"/>
      <c r="R1183" s="734"/>
      <c r="S1183" s="731"/>
      <c r="T1183" s="731"/>
      <c r="U1183" s="734"/>
      <c r="V1183" s="731"/>
      <c r="W1183" s="731"/>
      <c r="X1183" s="734"/>
      <c r="Y1183" s="731"/>
      <c r="Z1183" s="731"/>
    </row>
    <row r="1184">
      <c r="C1184" s="734"/>
      <c r="D1184" s="731"/>
      <c r="E1184" s="731"/>
      <c r="F1184" s="734"/>
      <c r="G1184" s="731"/>
      <c r="H1184" s="731"/>
      <c r="I1184" s="734"/>
      <c r="J1184" s="731"/>
      <c r="K1184" s="731"/>
      <c r="L1184" s="734"/>
      <c r="M1184" s="731"/>
      <c r="N1184" s="731"/>
      <c r="O1184" s="730"/>
      <c r="P1184" s="731"/>
      <c r="Q1184" s="731"/>
      <c r="R1184" s="734"/>
      <c r="S1184" s="731"/>
      <c r="T1184" s="731"/>
      <c r="U1184" s="734"/>
      <c r="V1184" s="731"/>
      <c r="W1184" s="731"/>
      <c r="X1184" s="734"/>
      <c r="Y1184" s="731"/>
      <c r="Z1184" s="731"/>
    </row>
    <row r="1185">
      <c r="C1185" s="734"/>
      <c r="D1185" s="731"/>
      <c r="E1185" s="731"/>
      <c r="F1185" s="734"/>
      <c r="G1185" s="731"/>
      <c r="H1185" s="731"/>
      <c r="I1185" s="734"/>
      <c r="J1185" s="731"/>
      <c r="K1185" s="731"/>
      <c r="L1185" s="734"/>
      <c r="M1185" s="731"/>
      <c r="N1185" s="731"/>
      <c r="O1185" s="730"/>
      <c r="P1185" s="731"/>
      <c r="Q1185" s="731"/>
      <c r="R1185" s="734"/>
      <c r="S1185" s="731"/>
      <c r="T1185" s="731"/>
      <c r="U1185" s="734"/>
      <c r="V1185" s="731"/>
      <c r="W1185" s="731"/>
      <c r="X1185" s="734"/>
      <c r="Y1185" s="731"/>
      <c r="Z1185" s="731"/>
    </row>
  </sheetData>
  <mergeCells count="8">
    <mergeCell ref="C1:E1"/>
    <mergeCell ref="F1:H1"/>
    <mergeCell ref="I1:K1"/>
    <mergeCell ref="L1:N1"/>
    <mergeCell ref="O1:Q1"/>
    <mergeCell ref="R1:T1"/>
    <mergeCell ref="U1:W1"/>
    <mergeCell ref="X1:Z1"/>
  </mergeCells>
  <drawing r:id="rId1"/>
</worksheet>
</file>